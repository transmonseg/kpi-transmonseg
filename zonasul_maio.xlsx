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0.50\Escala_hlog\ESCALA 2026\MAIO\"/>
    </mc:Choice>
  </mc:AlternateContent>
  <xr:revisionPtr revIDLastSave="0" documentId="13_ncr:1_{8EB09A31-4606-4B5A-94A9-C431DE4BE90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ABELA FRETE" sheetId="3" r:id="rId1"/>
    <sheet name="MATRIZ" sheetId="1" r:id="rId2"/>
    <sheet name="CTRL+C" sheetId="4" r:id="rId3"/>
    <sheet name="ENDEREÇO - FILIAIS" sheetId="5" r:id="rId4"/>
    <sheet name="CONTATOS" sheetId="6" r:id="rId5"/>
    <sheet name="TONELAGEM" sheetId="7" r:id="rId6"/>
    <sheet name="RELAÇÃO (CARROS - DOCAS)" sheetId="8" r:id="rId7"/>
    <sheet name="DIÁRIA (MOTORISTAS)" sheetId="9" r:id="rId8"/>
  </sheets>
  <externalReferences>
    <externalReference r:id="rId9"/>
  </externalReferences>
  <definedNames>
    <definedName name="_xlnm._FilterDatabase" localSheetId="4" hidden="1">CONTATOS!$B$2:$G$46</definedName>
    <definedName name="_xlnm._FilterDatabase" localSheetId="2" hidden="1">'CTRL+C'!$B$2:$J$80</definedName>
    <definedName name="_xlnm._FilterDatabase" localSheetId="7" hidden="1">'DIÁRIA (MOTORISTAS)'!$B$3:$M$61</definedName>
    <definedName name="_xlnm._FilterDatabase" localSheetId="1" hidden="1">MATRIZ!$D$943:$T$1007</definedName>
    <definedName name="_xlnm.Print_Area" localSheetId="2">'CTRL+C'!#REF!</definedName>
    <definedName name="_xlnm.Print_Area" localSheetId="7">'DIÁRIA (MOTORISTAS)'!$B$2:$M$65</definedName>
    <definedName name="_xlnm.Print_Area" localSheetId="3">'ENDEREÇO - FILIAIS'!$A$1:$E$26</definedName>
    <definedName name="_xlnm.Print_Area" localSheetId="1">MATRIZ!$B$939:$T$1009</definedName>
    <definedName name="_xlnm.Print_Area" localSheetId="6">'RELAÇÃO (CARROS - DOCAS)'!$B$2:$N$16</definedName>
    <definedName name="_xlnm.Print_Area" localSheetId="0">'TABELA FRETE'!$A$1:$E$12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35" i="1" l="1"/>
  <c r="J1135" i="1"/>
  <c r="K1135" i="1" s="1"/>
  <c r="V1146" i="1"/>
  <c r="J1146" i="1"/>
  <c r="K1146" i="1" s="1"/>
  <c r="X1552" i="1"/>
  <c r="C1552" i="1"/>
  <c r="C1551" i="1"/>
  <c r="C1550" i="1"/>
  <c r="C1549" i="1"/>
  <c r="C1548" i="1"/>
  <c r="X1542" i="1"/>
  <c r="R1542" i="1"/>
  <c r="N1542" i="1"/>
  <c r="L1542" i="1"/>
  <c r="E1544" i="1" s="1"/>
  <c r="I1542" i="1"/>
  <c r="G1542" i="1"/>
  <c r="E1542" i="1"/>
  <c r="V1541" i="1"/>
  <c r="J1541" i="1"/>
  <c r="K1541" i="1" s="1"/>
  <c r="V1540" i="1"/>
  <c r="J1540" i="1"/>
  <c r="K1540" i="1" s="1"/>
  <c r="V1539" i="1"/>
  <c r="J1539" i="1"/>
  <c r="K1539" i="1" s="1"/>
  <c r="V1538" i="1"/>
  <c r="J1538" i="1"/>
  <c r="K1538" i="1" s="1"/>
  <c r="V1537" i="1"/>
  <c r="J1537" i="1"/>
  <c r="K1537" i="1" s="1"/>
  <c r="V1536" i="1"/>
  <c r="J1536" i="1"/>
  <c r="K1536" i="1" s="1"/>
  <c r="V1535" i="1"/>
  <c r="J1535" i="1"/>
  <c r="K1535" i="1" s="1"/>
  <c r="V1534" i="1"/>
  <c r="J1534" i="1"/>
  <c r="K1534" i="1" s="1"/>
  <c r="V1533" i="1"/>
  <c r="J1533" i="1"/>
  <c r="K1533" i="1" s="1"/>
  <c r="V1531" i="1"/>
  <c r="J1531" i="1"/>
  <c r="K1531" i="1" s="1"/>
  <c r="V1530" i="1"/>
  <c r="J1530" i="1"/>
  <c r="K1530" i="1" s="1"/>
  <c r="V1529" i="1"/>
  <c r="J1529" i="1"/>
  <c r="K1529" i="1" s="1"/>
  <c r="V1528" i="1"/>
  <c r="J1528" i="1"/>
  <c r="K1528" i="1" s="1"/>
  <c r="V1527" i="1"/>
  <c r="J1527" i="1"/>
  <c r="K1527" i="1" s="1"/>
  <c r="V1526" i="1"/>
  <c r="J1526" i="1"/>
  <c r="K1526" i="1" s="1"/>
  <c r="V1525" i="1"/>
  <c r="J1525" i="1"/>
  <c r="K1525" i="1" s="1"/>
  <c r="V1524" i="1"/>
  <c r="J1524" i="1"/>
  <c r="K1524" i="1" s="1"/>
  <c r="V1523" i="1"/>
  <c r="J1523" i="1"/>
  <c r="K1523" i="1" s="1"/>
  <c r="V1522" i="1"/>
  <c r="J1522" i="1"/>
  <c r="K1522" i="1" s="1"/>
  <c r="V1521" i="1"/>
  <c r="J1521" i="1"/>
  <c r="K1521" i="1" s="1"/>
  <c r="V1520" i="1"/>
  <c r="J1520" i="1"/>
  <c r="K1520" i="1" s="1"/>
  <c r="V1519" i="1"/>
  <c r="J1519" i="1"/>
  <c r="K1519" i="1" s="1"/>
  <c r="V1518" i="1"/>
  <c r="J1518" i="1"/>
  <c r="K1518" i="1" s="1"/>
  <c r="V1517" i="1"/>
  <c r="J1517" i="1"/>
  <c r="K1517" i="1" s="1"/>
  <c r="V1516" i="1"/>
  <c r="J1516" i="1"/>
  <c r="K1516" i="1" s="1"/>
  <c r="V1514" i="1"/>
  <c r="J1514" i="1"/>
  <c r="K1514" i="1" s="1"/>
  <c r="V1513" i="1"/>
  <c r="J1513" i="1"/>
  <c r="K1513" i="1" s="1"/>
  <c r="V1512" i="1"/>
  <c r="J1512" i="1"/>
  <c r="K1512" i="1" s="1"/>
  <c r="V1511" i="1"/>
  <c r="J1511" i="1"/>
  <c r="K1511" i="1" s="1"/>
  <c r="V1510" i="1"/>
  <c r="J1510" i="1"/>
  <c r="K1510" i="1" s="1"/>
  <c r="V1509" i="1"/>
  <c r="J1509" i="1"/>
  <c r="K1509" i="1" s="1"/>
  <c r="V1508" i="1"/>
  <c r="J1508" i="1"/>
  <c r="K1508" i="1" s="1"/>
  <c r="V1507" i="1"/>
  <c r="J1507" i="1"/>
  <c r="K1507" i="1" s="1"/>
  <c r="V1506" i="1"/>
  <c r="J1506" i="1"/>
  <c r="K1506" i="1" s="1"/>
  <c r="V1505" i="1"/>
  <c r="J1505" i="1"/>
  <c r="K1505" i="1" s="1"/>
  <c r="V1504" i="1"/>
  <c r="J1504" i="1"/>
  <c r="K1504" i="1" s="1"/>
  <c r="V1503" i="1"/>
  <c r="J1503" i="1"/>
  <c r="K1503" i="1" s="1"/>
  <c r="V1502" i="1"/>
  <c r="J1502" i="1"/>
  <c r="K1502" i="1" s="1"/>
  <c r="V1501" i="1"/>
  <c r="J1501" i="1"/>
  <c r="K1501" i="1" s="1"/>
  <c r="V1499" i="1"/>
  <c r="J1499" i="1"/>
  <c r="K1499" i="1" s="1"/>
  <c r="V1498" i="1"/>
  <c r="J1498" i="1"/>
  <c r="K1498" i="1" s="1"/>
  <c r="V1497" i="1"/>
  <c r="J1497" i="1"/>
  <c r="K1497" i="1" s="1"/>
  <c r="V1496" i="1"/>
  <c r="J1496" i="1"/>
  <c r="K1496" i="1" s="1"/>
  <c r="V1495" i="1"/>
  <c r="J1495" i="1"/>
  <c r="K1495" i="1" s="1"/>
  <c r="V1493" i="1"/>
  <c r="J1493" i="1"/>
  <c r="K1493" i="1" s="1"/>
  <c r="V1492" i="1"/>
  <c r="J1492" i="1"/>
  <c r="K1492" i="1" s="1"/>
  <c r="V1491" i="1"/>
  <c r="J1491" i="1"/>
  <c r="K1491" i="1" s="1"/>
  <c r="V1490" i="1"/>
  <c r="J1490" i="1"/>
  <c r="K1490" i="1" s="1"/>
  <c r="V1489" i="1"/>
  <c r="J1489" i="1"/>
  <c r="K1489" i="1" s="1"/>
  <c r="V1488" i="1"/>
  <c r="J1488" i="1"/>
  <c r="K1488" i="1" s="1"/>
  <c r="V1487" i="1"/>
  <c r="J1487" i="1"/>
  <c r="K1487" i="1" s="1"/>
  <c r="V1486" i="1"/>
  <c r="J1486" i="1"/>
  <c r="K1486" i="1" s="1"/>
  <c r="V1485" i="1"/>
  <c r="J1485" i="1"/>
  <c r="K1485" i="1" s="1"/>
  <c r="V1484" i="1"/>
  <c r="J1484" i="1"/>
  <c r="K1484" i="1" s="1"/>
  <c r="X1466" i="1"/>
  <c r="C1466" i="1"/>
  <c r="C1465" i="1"/>
  <c r="C1464" i="1"/>
  <c r="C1463" i="1"/>
  <c r="C1462" i="1"/>
  <c r="X1456" i="1"/>
  <c r="N1456" i="1"/>
  <c r="L1456" i="1"/>
  <c r="T1387" i="1" s="1"/>
  <c r="I1456" i="1"/>
  <c r="G1456" i="1"/>
  <c r="E1456" i="1"/>
  <c r="V1453" i="1"/>
  <c r="J1453" i="1"/>
  <c r="K1453" i="1" s="1"/>
  <c r="V1451" i="1"/>
  <c r="J1451" i="1"/>
  <c r="K1451" i="1" s="1"/>
  <c r="V1448" i="1"/>
  <c r="J1448" i="1"/>
  <c r="K1448" i="1" s="1"/>
  <c r="V1446" i="1"/>
  <c r="J1446" i="1"/>
  <c r="K1446" i="1" s="1"/>
  <c r="V1444" i="1"/>
  <c r="J1444" i="1"/>
  <c r="K1444" i="1" s="1"/>
  <c r="V1442" i="1"/>
  <c r="J1442" i="1"/>
  <c r="K1442" i="1" s="1"/>
  <c r="V1440" i="1"/>
  <c r="J1440" i="1"/>
  <c r="K1440" i="1" s="1"/>
  <c r="V1438" i="1"/>
  <c r="J1438" i="1"/>
  <c r="K1438" i="1" s="1"/>
  <c r="V1436" i="1"/>
  <c r="J1436" i="1"/>
  <c r="K1436" i="1" s="1"/>
  <c r="V1434" i="1"/>
  <c r="J1434" i="1"/>
  <c r="K1434" i="1" s="1"/>
  <c r="V1433" i="1"/>
  <c r="J1433" i="1"/>
  <c r="K1433" i="1" s="1"/>
  <c r="V1432" i="1"/>
  <c r="J1432" i="1"/>
  <c r="K1432" i="1" s="1"/>
  <c r="V1431" i="1"/>
  <c r="V1430" i="1"/>
  <c r="J1430" i="1"/>
  <c r="K1430" i="1" s="1"/>
  <c r="V1429" i="1"/>
  <c r="J1429" i="1"/>
  <c r="K1429" i="1" s="1"/>
  <c r="V1428" i="1"/>
  <c r="J1428" i="1"/>
  <c r="K1428" i="1" s="1"/>
  <c r="V1427" i="1"/>
  <c r="J1427" i="1"/>
  <c r="K1427" i="1" s="1"/>
  <c r="V1426" i="1"/>
  <c r="J1426" i="1"/>
  <c r="K1426" i="1" s="1"/>
  <c r="V1425" i="1"/>
  <c r="J1425" i="1"/>
  <c r="K1425" i="1" s="1"/>
  <c r="V1424" i="1"/>
  <c r="J1424" i="1"/>
  <c r="K1424" i="1" s="1"/>
  <c r="V1423" i="1"/>
  <c r="J1423" i="1"/>
  <c r="K1423" i="1" s="1"/>
  <c r="V1422" i="1"/>
  <c r="J1422" i="1"/>
  <c r="K1422" i="1" s="1"/>
  <c r="V1421" i="1"/>
  <c r="J1421" i="1"/>
  <c r="K1421" i="1" s="1"/>
  <c r="V1420" i="1"/>
  <c r="J1420" i="1"/>
  <c r="K1420" i="1" s="1"/>
  <c r="V1419" i="1"/>
  <c r="J1419" i="1"/>
  <c r="K1419" i="1" s="1"/>
  <c r="V1418" i="1"/>
  <c r="J1418" i="1"/>
  <c r="K1418" i="1" s="1"/>
  <c r="V1417" i="1"/>
  <c r="J1417" i="1"/>
  <c r="K1417" i="1" s="1"/>
  <c r="V1416" i="1"/>
  <c r="J1416" i="1"/>
  <c r="K1416" i="1" s="1"/>
  <c r="V1415" i="1"/>
  <c r="J1415" i="1"/>
  <c r="K1415" i="1" s="1"/>
  <c r="V1414" i="1"/>
  <c r="J1414" i="1"/>
  <c r="K1414" i="1" s="1"/>
  <c r="V1413" i="1"/>
  <c r="J1413" i="1"/>
  <c r="K1413" i="1" s="1"/>
  <c r="V1411" i="1"/>
  <c r="J1411" i="1"/>
  <c r="K1411" i="1" s="1"/>
  <c r="V1410" i="1"/>
  <c r="J1410" i="1"/>
  <c r="K1410" i="1" s="1"/>
  <c r="V1409" i="1"/>
  <c r="J1409" i="1"/>
  <c r="K1409" i="1" s="1"/>
  <c r="V1408" i="1"/>
  <c r="J1408" i="1"/>
  <c r="K1408" i="1" s="1"/>
  <c r="V1407" i="1"/>
  <c r="J1407" i="1"/>
  <c r="K1407" i="1" s="1"/>
  <c r="V1406" i="1"/>
  <c r="J1406" i="1"/>
  <c r="K1406" i="1" s="1"/>
  <c r="V1405" i="1"/>
  <c r="J1405" i="1"/>
  <c r="K1405" i="1" s="1"/>
  <c r="V1404" i="1"/>
  <c r="J1404" i="1"/>
  <c r="K1404" i="1" s="1"/>
  <c r="V1403" i="1"/>
  <c r="J1403" i="1"/>
  <c r="K1403" i="1" s="1"/>
  <c r="V1402" i="1"/>
  <c r="J1402" i="1"/>
  <c r="K1402" i="1" s="1"/>
  <c r="V1401" i="1"/>
  <c r="J1401" i="1"/>
  <c r="K1401" i="1" s="1"/>
  <c r="V1400" i="1"/>
  <c r="J1400" i="1"/>
  <c r="K1400" i="1" s="1"/>
  <c r="V1399" i="1"/>
  <c r="J1399" i="1"/>
  <c r="K1399" i="1" s="1"/>
  <c r="V1398" i="1"/>
  <c r="J1398" i="1"/>
  <c r="K1398" i="1" s="1"/>
  <c r="V1397" i="1"/>
  <c r="J1397" i="1"/>
  <c r="K1397" i="1" s="1"/>
  <c r="V1396" i="1"/>
  <c r="J1396" i="1"/>
  <c r="K1396" i="1" s="1"/>
  <c r="V1394" i="1"/>
  <c r="J1394" i="1"/>
  <c r="K1394" i="1" s="1"/>
  <c r="J1393" i="1"/>
  <c r="K1393" i="1" s="1"/>
  <c r="V1392" i="1"/>
  <c r="J1392" i="1"/>
  <c r="K1392" i="1" s="1"/>
  <c r="V1391" i="1"/>
  <c r="J1391" i="1"/>
  <c r="K1391" i="1" s="1"/>
  <c r="V1390" i="1"/>
  <c r="J1390" i="1"/>
  <c r="K1390" i="1" s="1"/>
  <c r="V1389" i="1"/>
  <c r="V1456" i="1" s="1"/>
  <c r="J1389" i="1"/>
  <c r="K1389" i="1" s="1"/>
  <c r="X1373" i="1"/>
  <c r="C1373" i="1"/>
  <c r="C1372" i="1"/>
  <c r="C1371" i="1"/>
  <c r="C1370" i="1"/>
  <c r="C1369" i="1"/>
  <c r="X1363" i="1"/>
  <c r="R1363" i="1"/>
  <c r="N1363" i="1"/>
  <c r="L1363" i="1"/>
  <c r="E1365" i="1" s="1"/>
  <c r="I1363" i="1"/>
  <c r="G1363" i="1"/>
  <c r="E1363" i="1"/>
  <c r="V1362" i="1"/>
  <c r="J1362" i="1"/>
  <c r="K1362" i="1" s="1"/>
  <c r="V1361" i="1"/>
  <c r="J1361" i="1"/>
  <c r="K1361" i="1" s="1"/>
  <c r="V1360" i="1"/>
  <c r="J1360" i="1"/>
  <c r="K1360" i="1" s="1"/>
  <c r="V1359" i="1"/>
  <c r="J1359" i="1"/>
  <c r="K1359" i="1" s="1"/>
  <c r="V1358" i="1"/>
  <c r="J1358" i="1"/>
  <c r="K1358" i="1" s="1"/>
  <c r="V1357" i="1"/>
  <c r="J1357" i="1"/>
  <c r="K1357" i="1" s="1"/>
  <c r="V1356" i="1"/>
  <c r="J1356" i="1"/>
  <c r="K1356" i="1" s="1"/>
  <c r="V1354" i="1"/>
  <c r="J1354" i="1"/>
  <c r="K1354" i="1" s="1"/>
  <c r="V1353" i="1"/>
  <c r="J1353" i="1"/>
  <c r="K1353" i="1" s="1"/>
  <c r="V1352" i="1"/>
  <c r="J1352" i="1"/>
  <c r="K1352" i="1" s="1"/>
  <c r="V1351" i="1"/>
  <c r="J1351" i="1"/>
  <c r="K1351" i="1" s="1"/>
  <c r="V1350" i="1"/>
  <c r="J1350" i="1"/>
  <c r="K1350" i="1" s="1"/>
  <c r="V1349" i="1"/>
  <c r="J1349" i="1"/>
  <c r="K1349" i="1" s="1"/>
  <c r="V1348" i="1"/>
  <c r="J1348" i="1"/>
  <c r="K1348" i="1" s="1"/>
  <c r="V1347" i="1"/>
  <c r="J1347" i="1"/>
  <c r="K1347" i="1" s="1"/>
  <c r="V1346" i="1"/>
  <c r="J1346" i="1"/>
  <c r="K1346" i="1" s="1"/>
  <c r="V1345" i="1"/>
  <c r="J1345" i="1"/>
  <c r="K1345" i="1" s="1"/>
  <c r="V1344" i="1"/>
  <c r="J1344" i="1"/>
  <c r="K1344" i="1" s="1"/>
  <c r="V1343" i="1"/>
  <c r="J1343" i="1"/>
  <c r="K1343" i="1" s="1"/>
  <c r="V1342" i="1"/>
  <c r="J1342" i="1"/>
  <c r="K1342" i="1" s="1"/>
  <c r="V1340" i="1"/>
  <c r="J1340" i="1"/>
  <c r="K1340" i="1" s="1"/>
  <c r="V1339" i="1"/>
  <c r="J1339" i="1"/>
  <c r="K1339" i="1" s="1"/>
  <c r="V1338" i="1"/>
  <c r="J1338" i="1"/>
  <c r="K1338" i="1" s="1"/>
  <c r="V1337" i="1"/>
  <c r="J1337" i="1"/>
  <c r="K1337" i="1" s="1"/>
  <c r="V1336" i="1"/>
  <c r="J1336" i="1"/>
  <c r="K1336" i="1" s="1"/>
  <c r="V1335" i="1"/>
  <c r="J1335" i="1"/>
  <c r="K1335" i="1" s="1"/>
  <c r="V1334" i="1"/>
  <c r="J1334" i="1"/>
  <c r="K1334" i="1" s="1"/>
  <c r="V1333" i="1"/>
  <c r="J1333" i="1"/>
  <c r="K1333" i="1" s="1"/>
  <c r="V1332" i="1"/>
  <c r="J1332" i="1"/>
  <c r="K1332" i="1" s="1"/>
  <c r="V1330" i="1"/>
  <c r="J1330" i="1"/>
  <c r="K1330" i="1" s="1"/>
  <c r="J1329" i="1"/>
  <c r="K1329" i="1" s="1"/>
  <c r="V1328" i="1"/>
  <c r="J1328" i="1"/>
  <c r="K1328" i="1" s="1"/>
  <c r="V1327" i="1"/>
  <c r="J1327" i="1"/>
  <c r="K1327" i="1" s="1"/>
  <c r="V1326" i="1"/>
  <c r="J1326" i="1"/>
  <c r="K1326" i="1" s="1"/>
  <c r="V1325" i="1"/>
  <c r="V1363" i="1" s="1"/>
  <c r="J1325" i="1"/>
  <c r="K1325" i="1" s="1"/>
  <c r="X1308" i="1"/>
  <c r="C1308" i="1"/>
  <c r="C1307" i="1"/>
  <c r="C1306" i="1"/>
  <c r="C1305" i="1"/>
  <c r="C1304" i="1"/>
  <c r="X1298" i="1"/>
  <c r="R1298" i="1"/>
  <c r="N1298" i="1"/>
  <c r="L1298" i="1"/>
  <c r="E1300" i="1" s="1"/>
  <c r="I1298" i="1"/>
  <c r="G1298" i="1"/>
  <c r="E1298" i="1"/>
  <c r="V1297" i="1"/>
  <c r="J1297" i="1"/>
  <c r="K1297" i="1" s="1"/>
  <c r="V1296" i="1"/>
  <c r="J1296" i="1"/>
  <c r="K1296" i="1" s="1"/>
  <c r="V1295" i="1"/>
  <c r="J1295" i="1"/>
  <c r="K1295" i="1" s="1"/>
  <c r="V1294" i="1"/>
  <c r="J1294" i="1"/>
  <c r="K1294" i="1" s="1"/>
  <c r="V1293" i="1"/>
  <c r="J1293" i="1"/>
  <c r="K1293" i="1" s="1"/>
  <c r="V1292" i="1"/>
  <c r="J1292" i="1"/>
  <c r="K1292" i="1" s="1"/>
  <c r="V1291" i="1"/>
  <c r="J1291" i="1"/>
  <c r="K1291" i="1" s="1"/>
  <c r="V1290" i="1"/>
  <c r="J1290" i="1"/>
  <c r="K1290" i="1" s="1"/>
  <c r="V1289" i="1"/>
  <c r="J1289" i="1"/>
  <c r="K1289" i="1" s="1"/>
  <c r="V1287" i="1"/>
  <c r="J1287" i="1"/>
  <c r="K1287" i="1" s="1"/>
  <c r="V1286" i="1"/>
  <c r="J1286" i="1"/>
  <c r="K1286" i="1" s="1"/>
  <c r="V1285" i="1"/>
  <c r="J1285" i="1"/>
  <c r="K1285" i="1" s="1"/>
  <c r="V1284" i="1"/>
  <c r="J1284" i="1"/>
  <c r="K1284" i="1" s="1"/>
  <c r="V1283" i="1"/>
  <c r="J1283" i="1"/>
  <c r="K1283" i="1" s="1"/>
  <c r="V1282" i="1"/>
  <c r="J1282" i="1"/>
  <c r="K1282" i="1" s="1"/>
  <c r="V1281" i="1"/>
  <c r="J1281" i="1"/>
  <c r="K1281" i="1" s="1"/>
  <c r="V1280" i="1"/>
  <c r="J1280" i="1"/>
  <c r="K1280" i="1" s="1"/>
  <c r="V1279" i="1"/>
  <c r="J1279" i="1"/>
  <c r="K1279" i="1" s="1"/>
  <c r="V1278" i="1"/>
  <c r="J1278" i="1"/>
  <c r="K1278" i="1" s="1"/>
  <c r="V1277" i="1"/>
  <c r="J1277" i="1"/>
  <c r="K1277" i="1" s="1"/>
  <c r="V1276" i="1"/>
  <c r="J1276" i="1"/>
  <c r="K1276" i="1" s="1"/>
  <c r="V1275" i="1"/>
  <c r="J1275" i="1"/>
  <c r="K1275" i="1" s="1"/>
  <c r="V1274" i="1"/>
  <c r="J1274" i="1"/>
  <c r="K1274" i="1" s="1"/>
  <c r="V1273" i="1"/>
  <c r="J1273" i="1"/>
  <c r="K1273" i="1" s="1"/>
  <c r="V1271" i="1"/>
  <c r="J1271" i="1"/>
  <c r="K1271" i="1" s="1"/>
  <c r="V1270" i="1"/>
  <c r="J1270" i="1"/>
  <c r="K1270" i="1" s="1"/>
  <c r="V1269" i="1"/>
  <c r="J1269" i="1"/>
  <c r="K1269" i="1" s="1"/>
  <c r="V1268" i="1"/>
  <c r="J1268" i="1"/>
  <c r="K1268" i="1" s="1"/>
  <c r="V1267" i="1"/>
  <c r="J1267" i="1"/>
  <c r="K1267" i="1" s="1"/>
  <c r="V1266" i="1"/>
  <c r="J1266" i="1"/>
  <c r="K1266" i="1" s="1"/>
  <c r="V1265" i="1"/>
  <c r="J1265" i="1"/>
  <c r="K1265" i="1" s="1"/>
  <c r="V1264" i="1"/>
  <c r="J1264" i="1"/>
  <c r="K1264" i="1" s="1"/>
  <c r="V1263" i="1"/>
  <c r="J1263" i="1"/>
  <c r="K1263" i="1" s="1"/>
  <c r="V1262" i="1"/>
  <c r="J1262" i="1"/>
  <c r="K1262" i="1" s="1"/>
  <c r="V1261" i="1"/>
  <c r="J1261" i="1"/>
  <c r="K1261" i="1" s="1"/>
  <c r="V1259" i="1"/>
  <c r="J1259" i="1"/>
  <c r="K1259" i="1" s="1"/>
  <c r="J1258" i="1"/>
  <c r="K1258" i="1" s="1"/>
  <c r="V1257" i="1"/>
  <c r="J1257" i="1"/>
  <c r="K1257" i="1" s="1"/>
  <c r="V1256" i="1"/>
  <c r="J1256" i="1"/>
  <c r="K1256" i="1" s="1"/>
  <c r="V1255" i="1"/>
  <c r="J1255" i="1"/>
  <c r="K1255" i="1" s="1"/>
  <c r="V1254" i="1"/>
  <c r="V1298" i="1" s="1"/>
  <c r="J1254" i="1"/>
  <c r="K1254" i="1" s="1"/>
  <c r="X1238" i="1"/>
  <c r="C1238" i="1"/>
  <c r="C1237" i="1"/>
  <c r="C1236" i="1"/>
  <c r="C1235" i="1"/>
  <c r="C1234" i="1"/>
  <c r="X1228" i="1"/>
  <c r="R1228" i="1"/>
  <c r="N1228" i="1"/>
  <c r="L1228" i="1"/>
  <c r="E1230" i="1" s="1"/>
  <c r="I1228" i="1"/>
  <c r="G1228" i="1"/>
  <c r="E1228" i="1"/>
  <c r="V1227" i="1"/>
  <c r="J1227" i="1"/>
  <c r="K1227" i="1" s="1"/>
  <c r="V1226" i="1"/>
  <c r="J1226" i="1"/>
  <c r="K1226" i="1" s="1"/>
  <c r="V1225" i="1"/>
  <c r="J1225" i="1"/>
  <c r="K1225" i="1" s="1"/>
  <c r="V1224" i="1"/>
  <c r="J1224" i="1"/>
  <c r="K1224" i="1" s="1"/>
  <c r="V1223" i="1"/>
  <c r="J1223" i="1"/>
  <c r="K1223" i="1" s="1"/>
  <c r="V1222" i="1"/>
  <c r="J1222" i="1"/>
  <c r="K1222" i="1" s="1"/>
  <c r="V1221" i="1"/>
  <c r="J1221" i="1"/>
  <c r="K1221" i="1" s="1"/>
  <c r="V1220" i="1"/>
  <c r="J1220" i="1"/>
  <c r="K1220" i="1" s="1"/>
  <c r="V1218" i="1"/>
  <c r="J1218" i="1"/>
  <c r="K1218" i="1" s="1"/>
  <c r="V1217" i="1"/>
  <c r="J1217" i="1"/>
  <c r="K1217" i="1" s="1"/>
  <c r="V1215" i="1"/>
  <c r="J1215" i="1"/>
  <c r="K1215" i="1" s="1"/>
  <c r="V1214" i="1"/>
  <c r="J1214" i="1"/>
  <c r="K1214" i="1" s="1"/>
  <c r="V1213" i="1"/>
  <c r="J1213" i="1"/>
  <c r="K1213" i="1" s="1"/>
  <c r="V1200" i="1"/>
  <c r="J1200" i="1"/>
  <c r="K1200" i="1" s="1"/>
  <c r="V1211" i="1"/>
  <c r="J1211" i="1"/>
  <c r="K1211" i="1" s="1"/>
  <c r="V1210" i="1"/>
  <c r="J1210" i="1"/>
  <c r="K1210" i="1" s="1"/>
  <c r="V1209" i="1"/>
  <c r="J1209" i="1"/>
  <c r="K1209" i="1" s="1"/>
  <c r="V1208" i="1"/>
  <c r="J1208" i="1"/>
  <c r="K1208" i="1" s="1"/>
  <c r="V1207" i="1"/>
  <c r="J1207" i="1"/>
  <c r="K1207" i="1" s="1"/>
  <c r="V1206" i="1"/>
  <c r="J1206" i="1"/>
  <c r="K1206" i="1" s="1"/>
  <c r="V1205" i="1"/>
  <c r="J1205" i="1"/>
  <c r="K1205" i="1" s="1"/>
  <c r="V1212" i="1"/>
  <c r="J1212" i="1"/>
  <c r="K1212" i="1" s="1"/>
  <c r="V1216" i="1"/>
  <c r="J1216" i="1"/>
  <c r="K1216" i="1" s="1"/>
  <c r="V1203" i="1"/>
  <c r="J1203" i="1"/>
  <c r="K1203" i="1" s="1"/>
  <c r="V1202" i="1"/>
  <c r="J1202" i="1"/>
  <c r="K1202" i="1" s="1"/>
  <c r="V1201" i="1"/>
  <c r="J1201" i="1"/>
  <c r="K1201" i="1" s="1"/>
  <c r="V1196" i="1"/>
  <c r="J1196" i="1"/>
  <c r="K1196" i="1" s="1"/>
  <c r="V1199" i="1"/>
  <c r="J1199" i="1"/>
  <c r="K1199" i="1" s="1"/>
  <c r="V1198" i="1"/>
  <c r="J1198" i="1"/>
  <c r="K1198" i="1" s="1"/>
  <c r="V1197" i="1"/>
  <c r="J1197" i="1"/>
  <c r="K1197" i="1" s="1"/>
  <c r="V1195" i="1"/>
  <c r="J1195" i="1"/>
  <c r="K1195" i="1" s="1"/>
  <c r="V1193" i="1"/>
  <c r="J1193" i="1"/>
  <c r="K1193" i="1" s="1"/>
  <c r="V1192" i="1"/>
  <c r="J1192" i="1"/>
  <c r="K1192" i="1" s="1"/>
  <c r="V1191" i="1"/>
  <c r="J1191" i="1"/>
  <c r="K1191" i="1" s="1"/>
  <c r="V1190" i="1"/>
  <c r="J1190" i="1"/>
  <c r="K1190" i="1" s="1"/>
  <c r="V1189" i="1"/>
  <c r="J1189" i="1"/>
  <c r="K1189" i="1" s="1"/>
  <c r="X1173" i="1"/>
  <c r="C1173" i="1"/>
  <c r="C1172" i="1"/>
  <c r="C1171" i="1"/>
  <c r="C1170" i="1"/>
  <c r="C1169" i="1"/>
  <c r="X1163" i="1"/>
  <c r="R1163" i="1"/>
  <c r="N1163" i="1"/>
  <c r="L1163" i="1"/>
  <c r="E1165" i="1" s="1"/>
  <c r="I1163" i="1"/>
  <c r="G1163" i="1"/>
  <c r="E1163" i="1"/>
  <c r="V1162" i="1"/>
  <c r="J1162" i="1"/>
  <c r="K1162" i="1" s="1"/>
  <c r="V1161" i="1"/>
  <c r="J1161" i="1"/>
  <c r="K1161" i="1" s="1"/>
  <c r="V1160" i="1"/>
  <c r="J1160" i="1"/>
  <c r="K1160" i="1" s="1"/>
  <c r="V1159" i="1"/>
  <c r="J1159" i="1"/>
  <c r="K1159" i="1" s="1"/>
  <c r="V1158" i="1"/>
  <c r="J1158" i="1"/>
  <c r="K1158" i="1" s="1"/>
  <c r="V1157" i="1"/>
  <c r="J1157" i="1"/>
  <c r="K1157" i="1" s="1"/>
  <c r="V1156" i="1"/>
  <c r="J1156" i="1"/>
  <c r="K1156" i="1" s="1"/>
  <c r="V1155" i="1"/>
  <c r="J1155" i="1"/>
  <c r="K1155" i="1" s="1"/>
  <c r="V1154" i="1"/>
  <c r="J1154" i="1"/>
  <c r="K1154" i="1" s="1"/>
  <c r="V1151" i="1"/>
  <c r="J1151" i="1"/>
  <c r="K1151" i="1" s="1"/>
  <c r="V1152" i="1"/>
  <c r="J1152" i="1"/>
  <c r="K1152" i="1" s="1"/>
  <c r="V1150" i="1"/>
  <c r="J1150" i="1"/>
  <c r="K1150" i="1" s="1"/>
  <c r="V1149" i="1"/>
  <c r="J1149" i="1"/>
  <c r="K1149" i="1" s="1"/>
  <c r="V1147" i="1"/>
  <c r="J1147" i="1"/>
  <c r="K1147" i="1" s="1"/>
  <c r="V1148" i="1"/>
  <c r="J1148" i="1"/>
  <c r="K1148" i="1" s="1"/>
  <c r="V1144" i="1"/>
  <c r="J1144" i="1"/>
  <c r="K1144" i="1" s="1"/>
  <c r="V1145" i="1"/>
  <c r="J1145" i="1"/>
  <c r="K1145" i="1" s="1"/>
  <c r="V1143" i="1"/>
  <c r="J1143" i="1"/>
  <c r="K1143" i="1" s="1"/>
  <c r="V1142" i="1"/>
  <c r="J1142" i="1"/>
  <c r="K1142" i="1" s="1"/>
  <c r="V1141" i="1"/>
  <c r="J1141" i="1"/>
  <c r="K1141" i="1" s="1"/>
  <c r="V1139" i="1"/>
  <c r="J1139" i="1"/>
  <c r="K1139" i="1" s="1"/>
  <c r="V1138" i="1"/>
  <c r="J1138" i="1"/>
  <c r="K1138" i="1" s="1"/>
  <c r="V1137" i="1"/>
  <c r="J1137" i="1"/>
  <c r="K1137" i="1" s="1"/>
  <c r="V1140" i="1"/>
  <c r="J1140" i="1"/>
  <c r="K1140" i="1" s="1"/>
  <c r="V1134" i="1"/>
  <c r="J1134" i="1"/>
  <c r="K1134" i="1" s="1"/>
  <c r="V1132" i="1"/>
  <c r="J1132" i="1"/>
  <c r="V1133" i="1"/>
  <c r="J1133" i="1"/>
  <c r="K1133" i="1" s="1"/>
  <c r="V1131" i="1"/>
  <c r="J1131" i="1"/>
  <c r="K1131" i="1" s="1"/>
  <c r="V1130" i="1"/>
  <c r="J1130" i="1"/>
  <c r="K1130" i="1" s="1"/>
  <c r="V1129" i="1"/>
  <c r="J1129" i="1"/>
  <c r="K1129" i="1" s="1"/>
  <c r="V1128" i="1"/>
  <c r="J1128" i="1"/>
  <c r="K1128" i="1" s="1"/>
  <c r="V1127" i="1"/>
  <c r="J1127" i="1"/>
  <c r="K1127" i="1" s="1"/>
  <c r="V1126" i="1"/>
  <c r="J1126" i="1"/>
  <c r="K1126" i="1" s="1"/>
  <c r="V1124" i="1"/>
  <c r="J1124" i="1"/>
  <c r="K1124" i="1" s="1"/>
  <c r="V1123" i="1"/>
  <c r="J1123" i="1"/>
  <c r="K1123" i="1" s="1"/>
  <c r="V1122" i="1"/>
  <c r="J1122" i="1"/>
  <c r="K1122" i="1" s="1"/>
  <c r="V1121" i="1"/>
  <c r="J1121" i="1"/>
  <c r="K1121" i="1" s="1"/>
  <c r="V1120" i="1"/>
  <c r="J1120" i="1"/>
  <c r="K1120" i="1" s="1"/>
  <c r="V1228" i="1" l="1"/>
  <c r="T1187" i="1"/>
  <c r="V1163" i="1"/>
  <c r="T1323" i="1"/>
  <c r="T1252" i="1"/>
  <c r="C1374" i="1"/>
  <c r="C1239" i="1"/>
  <c r="J1363" i="1"/>
  <c r="H1365" i="1" s="1"/>
  <c r="K1365" i="1" s="1"/>
  <c r="T1482" i="1"/>
  <c r="J1228" i="1"/>
  <c r="H1230" i="1" s="1"/>
  <c r="K1230" i="1" s="1"/>
  <c r="J1298" i="1"/>
  <c r="H1300" i="1" s="1"/>
  <c r="K1228" i="1"/>
  <c r="C1174" i="1"/>
  <c r="C1467" i="1"/>
  <c r="V1542" i="1"/>
  <c r="J1163" i="1"/>
  <c r="H1165" i="1" s="1"/>
  <c r="K1165" i="1" s="1"/>
  <c r="K1363" i="1"/>
  <c r="J1456" i="1"/>
  <c r="H1458" i="1" s="1"/>
  <c r="T1118" i="1"/>
  <c r="C1309" i="1"/>
  <c r="J1542" i="1"/>
  <c r="H1544" i="1" s="1"/>
  <c r="K1544" i="1" s="1"/>
  <c r="C1553" i="1"/>
  <c r="K1542" i="1"/>
  <c r="K1456" i="1"/>
  <c r="R1456" i="1" s="1"/>
  <c r="E1458" i="1"/>
  <c r="K1298" i="1"/>
  <c r="K1300" i="1"/>
  <c r="K1163" i="1"/>
  <c r="K1458" i="1" l="1"/>
  <c r="V1062" i="1" l="1"/>
  <c r="V1066" i="1"/>
  <c r="J1066" i="1"/>
  <c r="K1066" i="1" s="1"/>
  <c r="V1079" i="1"/>
  <c r="J1079" i="1"/>
  <c r="K1079" i="1" s="1"/>
  <c r="J1062" i="1"/>
  <c r="K1062" i="1" s="1"/>
  <c r="J1069" i="1"/>
  <c r="K1069" i="1" s="1"/>
  <c r="J1048" i="1" l="1"/>
  <c r="K1048" i="1" s="1"/>
  <c r="B65" i="9"/>
  <c r="H17" i="9"/>
  <c r="K2" i="9"/>
  <c r="J65" i="9" s="1"/>
  <c r="O42" i="7"/>
  <c r="L42" i="7"/>
  <c r="I42" i="7"/>
  <c r="G42" i="7"/>
  <c r="E42" i="7"/>
  <c r="O39" i="7"/>
  <c r="L39" i="7"/>
  <c r="I39" i="7"/>
  <c r="G39" i="7"/>
  <c r="E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2" i="7"/>
  <c r="I21" i="7"/>
  <c r="I20" i="7"/>
  <c r="I19" i="7"/>
  <c r="I18" i="7"/>
  <c r="I17" i="7"/>
  <c r="I15" i="7"/>
  <c r="I14" i="7"/>
  <c r="I13" i="7"/>
  <c r="I12" i="7"/>
  <c r="I11" i="7"/>
  <c r="I10" i="7"/>
  <c r="I8" i="7"/>
  <c r="O5" i="7"/>
  <c r="M5" i="7"/>
  <c r="B4" i="3"/>
  <c r="E22" i="3" s="1"/>
  <c r="X1105" i="1"/>
  <c r="C1105" i="1"/>
  <c r="C1104" i="1"/>
  <c r="C1103" i="1"/>
  <c r="C1102" i="1"/>
  <c r="C1101" i="1"/>
  <c r="X1095" i="1"/>
  <c r="R1095" i="1"/>
  <c r="N1095" i="1"/>
  <c r="L1095" i="1"/>
  <c r="T1034" i="1" s="1"/>
  <c r="I1095" i="1"/>
  <c r="G1095" i="1"/>
  <c r="E1095" i="1"/>
  <c r="V1094" i="1"/>
  <c r="J1094" i="1"/>
  <c r="K1094" i="1" s="1"/>
  <c r="V1093" i="1"/>
  <c r="J1093" i="1"/>
  <c r="K1093" i="1" s="1"/>
  <c r="V1092" i="1"/>
  <c r="J1092" i="1"/>
  <c r="K1092" i="1" s="1"/>
  <c r="V1091" i="1"/>
  <c r="J1091" i="1"/>
  <c r="K1091" i="1" s="1"/>
  <c r="V1090" i="1"/>
  <c r="J1090" i="1"/>
  <c r="K1090" i="1" s="1"/>
  <c r="V1089" i="1"/>
  <c r="J1089" i="1"/>
  <c r="K1089" i="1" s="1"/>
  <c r="V1088" i="1"/>
  <c r="J1088" i="1"/>
  <c r="K1088" i="1" s="1"/>
  <c r="V1087" i="1"/>
  <c r="J1087" i="1"/>
  <c r="K1087" i="1" s="1"/>
  <c r="V1086" i="1"/>
  <c r="J1086" i="1"/>
  <c r="K1086" i="1" s="1"/>
  <c r="V1084" i="1"/>
  <c r="J1084" i="1"/>
  <c r="K1084" i="1" s="1"/>
  <c r="V1083" i="1"/>
  <c r="J1083" i="1"/>
  <c r="K1083" i="1" s="1"/>
  <c r="V1082" i="1"/>
  <c r="J1082" i="1"/>
  <c r="K1082" i="1" s="1"/>
  <c r="V1081" i="1"/>
  <c r="J1081" i="1"/>
  <c r="K1081" i="1" s="1"/>
  <c r="V1080" i="1"/>
  <c r="J1080" i="1"/>
  <c r="K1080" i="1" s="1"/>
  <c r="V1078" i="1"/>
  <c r="J1078" i="1"/>
  <c r="K1078" i="1" s="1"/>
  <c r="V1077" i="1"/>
  <c r="J1077" i="1"/>
  <c r="K1077" i="1" s="1"/>
  <c r="V1061" i="1"/>
  <c r="J1061" i="1"/>
  <c r="K1061" i="1" s="1"/>
  <c r="V1076" i="1"/>
  <c r="K1076" i="1"/>
  <c r="V1075" i="1"/>
  <c r="J1075" i="1"/>
  <c r="K1075" i="1" s="1"/>
  <c r="V1074" i="1"/>
  <c r="J1074" i="1"/>
  <c r="K1074" i="1" s="1"/>
  <c r="V1073" i="1"/>
  <c r="J1073" i="1"/>
  <c r="K1073" i="1" s="1"/>
  <c r="V1072" i="1"/>
  <c r="J1072" i="1"/>
  <c r="K1072" i="1" s="1"/>
  <c r="V1071" i="1"/>
  <c r="J1071" i="1"/>
  <c r="K1071" i="1" s="1"/>
  <c r="V1070" i="1"/>
  <c r="J1070" i="1"/>
  <c r="K1070" i="1" s="1"/>
  <c r="V1068" i="1"/>
  <c r="J1068" i="1"/>
  <c r="K1068" i="1" s="1"/>
  <c r="V1065" i="1"/>
  <c r="J1065" i="1"/>
  <c r="K1065" i="1" s="1"/>
  <c r="V1064" i="1"/>
  <c r="J1064" i="1"/>
  <c r="K1064" i="1" s="1"/>
  <c r="V1063" i="1"/>
  <c r="J1063" i="1"/>
  <c r="K1063" i="1" s="1"/>
  <c r="V1060" i="1"/>
  <c r="J1060" i="1"/>
  <c r="K1060" i="1" s="1"/>
  <c r="V1059" i="1"/>
  <c r="J1059" i="1"/>
  <c r="K1059" i="1" s="1"/>
  <c r="V1058" i="1"/>
  <c r="J1058" i="1"/>
  <c r="K1058" i="1" s="1"/>
  <c r="V1057" i="1"/>
  <c r="J1057" i="1"/>
  <c r="K1057" i="1" s="1"/>
  <c r="V1056" i="1"/>
  <c r="J1056" i="1"/>
  <c r="K1056" i="1" s="1"/>
  <c r="V1055" i="1"/>
  <c r="J1055" i="1"/>
  <c r="K1055" i="1" s="1"/>
  <c r="V1054" i="1"/>
  <c r="J1054" i="1"/>
  <c r="K1054" i="1" s="1"/>
  <c r="V1052" i="1"/>
  <c r="J1052" i="1"/>
  <c r="K1052" i="1" s="1"/>
  <c r="V1051" i="1"/>
  <c r="J1051" i="1"/>
  <c r="K1051" i="1" s="1"/>
  <c r="V1050" i="1"/>
  <c r="J1050" i="1"/>
  <c r="K1050" i="1" s="1"/>
  <c r="V1049" i="1"/>
  <c r="J1049" i="1"/>
  <c r="K1049" i="1" s="1"/>
  <c r="V1048" i="1"/>
  <c r="J1047" i="1"/>
  <c r="K1047" i="1" s="1"/>
  <c r="V1045" i="1"/>
  <c r="J1045" i="1"/>
  <c r="K1045" i="1" s="1"/>
  <c r="V1044" i="1"/>
  <c r="J1044" i="1"/>
  <c r="K1044" i="1" s="1"/>
  <c r="V1043" i="1"/>
  <c r="J1043" i="1"/>
  <c r="K1043" i="1" s="1"/>
  <c r="V1042" i="1"/>
  <c r="J1042" i="1"/>
  <c r="K1042" i="1" s="1"/>
  <c r="V1041" i="1"/>
  <c r="J1041" i="1"/>
  <c r="K1041" i="1" s="1"/>
  <c r="V1040" i="1"/>
  <c r="J1040" i="1"/>
  <c r="K1040" i="1" s="1"/>
  <c r="V1039" i="1"/>
  <c r="J1039" i="1"/>
  <c r="K1039" i="1" s="1"/>
  <c r="V1038" i="1"/>
  <c r="J1038" i="1"/>
  <c r="K1038" i="1" s="1"/>
  <c r="V1037" i="1"/>
  <c r="J1037" i="1"/>
  <c r="K1037" i="1" s="1"/>
  <c r="V1036" i="1"/>
  <c r="J1036" i="1"/>
  <c r="K1036" i="1" s="1"/>
  <c r="X1019" i="1"/>
  <c r="C1019" i="1"/>
  <c r="C1018" i="1"/>
  <c r="C1017" i="1"/>
  <c r="C1016" i="1"/>
  <c r="C1015" i="1"/>
  <c r="X1009" i="1"/>
  <c r="N1009" i="1"/>
  <c r="L1009" i="1"/>
  <c r="E1011" i="1" s="1"/>
  <c r="I1009" i="1"/>
  <c r="G1009" i="1"/>
  <c r="E1009" i="1"/>
  <c r="V1006" i="1"/>
  <c r="J1006" i="1"/>
  <c r="K1006" i="1" s="1"/>
  <c r="V1004" i="1"/>
  <c r="J1004" i="1"/>
  <c r="K1004" i="1" s="1"/>
  <c r="V1001" i="1"/>
  <c r="J1001" i="1"/>
  <c r="K1001" i="1" s="1"/>
  <c r="V999" i="1"/>
  <c r="J999" i="1"/>
  <c r="K999" i="1" s="1"/>
  <c r="V997" i="1"/>
  <c r="J997" i="1"/>
  <c r="K997" i="1" s="1"/>
  <c r="V995" i="1"/>
  <c r="J995" i="1"/>
  <c r="K995" i="1" s="1"/>
  <c r="V993" i="1"/>
  <c r="J993" i="1"/>
  <c r="K993" i="1" s="1"/>
  <c r="V991" i="1"/>
  <c r="J991" i="1"/>
  <c r="K991" i="1" s="1"/>
  <c r="V989" i="1"/>
  <c r="J989" i="1"/>
  <c r="K989" i="1" s="1"/>
  <c r="V987" i="1"/>
  <c r="J987" i="1"/>
  <c r="K987" i="1" s="1"/>
  <c r="V985" i="1"/>
  <c r="J985" i="1"/>
  <c r="K985" i="1" s="1"/>
  <c r="V984" i="1"/>
  <c r="J984" i="1"/>
  <c r="K984" i="1" s="1"/>
  <c r="V983" i="1"/>
  <c r="J983" i="1"/>
  <c r="K983" i="1" s="1"/>
  <c r="V982" i="1"/>
  <c r="J982" i="1"/>
  <c r="K982" i="1" s="1"/>
  <c r="V981" i="1"/>
  <c r="J981" i="1"/>
  <c r="K981" i="1" s="1"/>
  <c r="V980" i="1"/>
  <c r="J980" i="1"/>
  <c r="K980" i="1" s="1"/>
  <c r="V979" i="1"/>
  <c r="J979" i="1"/>
  <c r="K979" i="1" s="1"/>
  <c r="V978" i="1"/>
  <c r="J978" i="1"/>
  <c r="K978" i="1" s="1"/>
  <c r="V977" i="1"/>
  <c r="J977" i="1"/>
  <c r="K977" i="1" s="1"/>
  <c r="V976" i="1"/>
  <c r="J976" i="1"/>
  <c r="K976" i="1" s="1"/>
  <c r="J975" i="1"/>
  <c r="K975" i="1" s="1"/>
  <c r="V974" i="1"/>
  <c r="J974" i="1"/>
  <c r="K974" i="1" s="1"/>
  <c r="V973" i="1"/>
  <c r="J973" i="1"/>
  <c r="K973" i="1" s="1"/>
  <c r="V972" i="1"/>
  <c r="J972" i="1"/>
  <c r="K972" i="1" s="1"/>
  <c r="V971" i="1"/>
  <c r="J971" i="1"/>
  <c r="K971" i="1" s="1"/>
  <c r="V970" i="1"/>
  <c r="J970" i="1"/>
  <c r="K970" i="1" s="1"/>
  <c r="V969" i="1"/>
  <c r="J969" i="1"/>
  <c r="K969" i="1" s="1"/>
  <c r="V968" i="1"/>
  <c r="J968" i="1"/>
  <c r="K968" i="1" s="1"/>
  <c r="V967" i="1"/>
  <c r="J967" i="1"/>
  <c r="K967" i="1" s="1"/>
  <c r="V965" i="1"/>
  <c r="J965" i="1"/>
  <c r="K965" i="1" s="1"/>
  <c r="V964" i="1"/>
  <c r="J964" i="1"/>
  <c r="K964" i="1" s="1"/>
  <c r="V963" i="1"/>
  <c r="J963" i="1"/>
  <c r="K963" i="1" s="1"/>
  <c r="V962" i="1"/>
  <c r="J962" i="1"/>
  <c r="K962" i="1" s="1"/>
  <c r="V961" i="1"/>
  <c r="J961" i="1"/>
  <c r="K961" i="1" s="1"/>
  <c r="V960" i="1"/>
  <c r="J960" i="1"/>
  <c r="K960" i="1" s="1"/>
  <c r="V959" i="1"/>
  <c r="J959" i="1"/>
  <c r="K959" i="1" s="1"/>
  <c r="V958" i="1"/>
  <c r="J958" i="1"/>
  <c r="K958" i="1" s="1"/>
  <c r="V957" i="1"/>
  <c r="J957" i="1"/>
  <c r="K957" i="1" s="1"/>
  <c r="V956" i="1"/>
  <c r="J956" i="1"/>
  <c r="K956" i="1" s="1"/>
  <c r="J955" i="1"/>
  <c r="K955" i="1" s="1"/>
  <c r="J954" i="1"/>
  <c r="K954" i="1" s="1"/>
  <c r="V953" i="1"/>
  <c r="J953" i="1"/>
  <c r="K953" i="1" s="1"/>
  <c r="V952" i="1"/>
  <c r="J952" i="1"/>
  <c r="K952" i="1" s="1"/>
  <c r="V951" i="1"/>
  <c r="J951" i="1"/>
  <c r="K951" i="1" s="1"/>
  <c r="V949" i="1"/>
  <c r="J949" i="1"/>
  <c r="K949" i="1" s="1"/>
  <c r="J948" i="1"/>
  <c r="K948" i="1" s="1"/>
  <c r="V947" i="1"/>
  <c r="J947" i="1"/>
  <c r="K947" i="1" s="1"/>
  <c r="V946" i="1"/>
  <c r="J946" i="1"/>
  <c r="V945" i="1"/>
  <c r="J945" i="1"/>
  <c r="K945" i="1" s="1"/>
  <c r="V944" i="1"/>
  <c r="J944" i="1"/>
  <c r="K944" i="1" s="1"/>
  <c r="X930" i="1"/>
  <c r="C930" i="1"/>
  <c r="C929" i="1"/>
  <c r="C928" i="1"/>
  <c r="C927" i="1"/>
  <c r="C926" i="1"/>
  <c r="X920" i="1"/>
  <c r="R920" i="1"/>
  <c r="N920" i="1"/>
  <c r="L920" i="1"/>
  <c r="E922" i="1" s="1"/>
  <c r="I920" i="1"/>
  <c r="G920" i="1"/>
  <c r="E920" i="1"/>
  <c r="V919" i="1"/>
  <c r="J919" i="1"/>
  <c r="K919" i="1" s="1"/>
  <c r="V918" i="1"/>
  <c r="J918" i="1"/>
  <c r="K918" i="1" s="1"/>
  <c r="V917" i="1"/>
  <c r="J917" i="1"/>
  <c r="K917" i="1" s="1"/>
  <c r="V916" i="1"/>
  <c r="J916" i="1"/>
  <c r="K916" i="1" s="1"/>
  <c r="V915" i="1"/>
  <c r="J915" i="1"/>
  <c r="K915" i="1" s="1"/>
  <c r="V914" i="1"/>
  <c r="J914" i="1"/>
  <c r="K914" i="1" s="1"/>
  <c r="V913" i="1"/>
  <c r="J913" i="1"/>
  <c r="K913" i="1" s="1"/>
  <c r="V912" i="1"/>
  <c r="J912" i="1"/>
  <c r="K912" i="1" s="1"/>
  <c r="V910" i="1"/>
  <c r="J910" i="1"/>
  <c r="K910" i="1" s="1"/>
  <c r="V909" i="1"/>
  <c r="J909" i="1"/>
  <c r="K909" i="1" s="1"/>
  <c r="V908" i="1"/>
  <c r="J908" i="1"/>
  <c r="K908" i="1" s="1"/>
  <c r="V907" i="1"/>
  <c r="J907" i="1"/>
  <c r="K907" i="1" s="1"/>
  <c r="V906" i="1"/>
  <c r="J906" i="1"/>
  <c r="K906" i="1" s="1"/>
  <c r="V905" i="1"/>
  <c r="J905" i="1"/>
  <c r="K905" i="1" s="1"/>
  <c r="V904" i="1"/>
  <c r="J904" i="1"/>
  <c r="K904" i="1" s="1"/>
  <c r="V903" i="1"/>
  <c r="J903" i="1"/>
  <c r="K903" i="1" s="1"/>
  <c r="V902" i="1"/>
  <c r="J902" i="1"/>
  <c r="K902" i="1" s="1"/>
  <c r="V901" i="1"/>
  <c r="J901" i="1"/>
  <c r="K901" i="1" s="1"/>
  <c r="V900" i="1"/>
  <c r="J900" i="1"/>
  <c r="K900" i="1" s="1"/>
  <c r="V899" i="1"/>
  <c r="J899" i="1"/>
  <c r="K899" i="1" s="1"/>
  <c r="V897" i="1"/>
  <c r="J897" i="1"/>
  <c r="K897" i="1" s="1"/>
  <c r="V896" i="1"/>
  <c r="J896" i="1"/>
  <c r="K896" i="1" s="1"/>
  <c r="V895" i="1"/>
  <c r="J895" i="1"/>
  <c r="K895" i="1" s="1"/>
  <c r="V894" i="1"/>
  <c r="J894" i="1"/>
  <c r="K894" i="1" s="1"/>
  <c r="V893" i="1"/>
  <c r="J893" i="1"/>
  <c r="K893" i="1" s="1"/>
  <c r="V892" i="1"/>
  <c r="J892" i="1"/>
  <c r="K892" i="1" s="1"/>
  <c r="V891" i="1"/>
  <c r="J891" i="1"/>
  <c r="K891" i="1" s="1"/>
  <c r="V890" i="1"/>
  <c r="J890" i="1"/>
  <c r="K890" i="1" s="1"/>
  <c r="V889" i="1"/>
  <c r="J889" i="1"/>
  <c r="K889" i="1" s="1"/>
  <c r="V888" i="1"/>
  <c r="J888" i="1"/>
  <c r="K888" i="1" s="1"/>
  <c r="V886" i="1"/>
  <c r="J886" i="1"/>
  <c r="K886" i="1" s="1"/>
  <c r="V885" i="1"/>
  <c r="J885" i="1"/>
  <c r="K885" i="1" s="1"/>
  <c r="V884" i="1"/>
  <c r="J884" i="1"/>
  <c r="K884" i="1" s="1"/>
  <c r="V883" i="1"/>
  <c r="J883" i="1"/>
  <c r="K883" i="1" s="1"/>
  <c r="V882" i="1"/>
  <c r="J882" i="1"/>
  <c r="K882" i="1" s="1"/>
  <c r="X867" i="1"/>
  <c r="C867" i="1"/>
  <c r="C866" i="1"/>
  <c r="C865" i="1"/>
  <c r="C864" i="1"/>
  <c r="C863" i="1"/>
  <c r="X857" i="1"/>
  <c r="R857" i="1"/>
  <c r="N857" i="1"/>
  <c r="L857" i="1"/>
  <c r="E859" i="1" s="1"/>
  <c r="I857" i="1"/>
  <c r="G857" i="1"/>
  <c r="E857" i="1"/>
  <c r="V856" i="1"/>
  <c r="J856" i="1"/>
  <c r="K856" i="1" s="1"/>
  <c r="V855" i="1"/>
  <c r="J855" i="1"/>
  <c r="K855" i="1" s="1"/>
  <c r="V854" i="1"/>
  <c r="J854" i="1"/>
  <c r="K854" i="1" s="1"/>
  <c r="V853" i="1"/>
  <c r="J853" i="1"/>
  <c r="K853" i="1" s="1"/>
  <c r="V852" i="1"/>
  <c r="J852" i="1"/>
  <c r="K852" i="1" s="1"/>
  <c r="V851" i="1"/>
  <c r="J851" i="1"/>
  <c r="K851" i="1" s="1"/>
  <c r="V850" i="1"/>
  <c r="J850" i="1"/>
  <c r="K850" i="1" s="1"/>
  <c r="V849" i="1"/>
  <c r="J849" i="1"/>
  <c r="K849" i="1" s="1"/>
  <c r="V848" i="1"/>
  <c r="J848" i="1"/>
  <c r="K848" i="1" s="1"/>
  <c r="V846" i="1"/>
  <c r="J846" i="1"/>
  <c r="K846" i="1" s="1"/>
  <c r="V845" i="1"/>
  <c r="J845" i="1"/>
  <c r="K845" i="1" s="1"/>
  <c r="V844" i="1"/>
  <c r="J844" i="1"/>
  <c r="K844" i="1" s="1"/>
  <c r="V843" i="1"/>
  <c r="J843" i="1"/>
  <c r="K843" i="1" s="1"/>
  <c r="V842" i="1"/>
  <c r="J842" i="1"/>
  <c r="K842" i="1" s="1"/>
  <c r="V841" i="1"/>
  <c r="J841" i="1"/>
  <c r="K841" i="1" s="1"/>
  <c r="V840" i="1"/>
  <c r="J840" i="1"/>
  <c r="K840" i="1" s="1"/>
  <c r="V839" i="1"/>
  <c r="J839" i="1"/>
  <c r="K839" i="1" s="1"/>
  <c r="V838" i="1"/>
  <c r="J838" i="1"/>
  <c r="K838" i="1" s="1"/>
  <c r="V837" i="1"/>
  <c r="J837" i="1"/>
  <c r="K837" i="1" s="1"/>
  <c r="V836" i="1"/>
  <c r="J836" i="1"/>
  <c r="K836" i="1" s="1"/>
  <c r="V835" i="1"/>
  <c r="J835" i="1"/>
  <c r="K835" i="1" s="1"/>
  <c r="V834" i="1"/>
  <c r="J834" i="1"/>
  <c r="K834" i="1" s="1"/>
  <c r="V832" i="1"/>
  <c r="J832" i="1"/>
  <c r="K832" i="1" s="1"/>
  <c r="V831" i="1"/>
  <c r="J831" i="1"/>
  <c r="K831" i="1" s="1"/>
  <c r="V830" i="1"/>
  <c r="J830" i="1"/>
  <c r="K830" i="1" s="1"/>
  <c r="V829" i="1"/>
  <c r="J829" i="1"/>
  <c r="K829" i="1" s="1"/>
  <c r="V828" i="1"/>
  <c r="J828" i="1"/>
  <c r="V827" i="1"/>
  <c r="J827" i="1"/>
  <c r="K827" i="1" s="1"/>
  <c r="V826" i="1"/>
  <c r="J826" i="1"/>
  <c r="K826" i="1" s="1"/>
  <c r="V825" i="1"/>
  <c r="J825" i="1"/>
  <c r="K825" i="1" s="1"/>
  <c r="V824" i="1"/>
  <c r="J824" i="1"/>
  <c r="K824" i="1" s="1"/>
  <c r="V823" i="1"/>
  <c r="J823" i="1"/>
  <c r="K823" i="1" s="1"/>
  <c r="V821" i="1"/>
  <c r="J821" i="1"/>
  <c r="K821" i="1" s="1"/>
  <c r="V820" i="1"/>
  <c r="J820" i="1"/>
  <c r="K820" i="1" s="1"/>
  <c r="V819" i="1"/>
  <c r="J819" i="1"/>
  <c r="K819" i="1" s="1"/>
  <c r="V818" i="1"/>
  <c r="J818" i="1"/>
  <c r="K818" i="1" s="1"/>
  <c r="V817" i="1"/>
  <c r="J817" i="1"/>
  <c r="K817" i="1" s="1"/>
  <c r="X803" i="1"/>
  <c r="C803" i="1"/>
  <c r="C802" i="1"/>
  <c r="C801" i="1"/>
  <c r="C800" i="1"/>
  <c r="C799" i="1"/>
  <c r="X793" i="1"/>
  <c r="R793" i="1"/>
  <c r="N793" i="1"/>
  <c r="L793" i="1"/>
  <c r="E795" i="1" s="1"/>
  <c r="I793" i="1"/>
  <c r="G793" i="1"/>
  <c r="E793" i="1"/>
  <c r="V792" i="1"/>
  <c r="J792" i="1"/>
  <c r="K792" i="1" s="1"/>
  <c r="V791" i="1"/>
  <c r="J791" i="1"/>
  <c r="K791" i="1" s="1"/>
  <c r="V790" i="1"/>
  <c r="J790" i="1"/>
  <c r="K790" i="1" s="1"/>
  <c r="V789" i="1"/>
  <c r="J789" i="1"/>
  <c r="K789" i="1" s="1"/>
  <c r="V788" i="1"/>
  <c r="J788" i="1"/>
  <c r="K788" i="1" s="1"/>
  <c r="V787" i="1"/>
  <c r="J787" i="1"/>
  <c r="K787" i="1" s="1"/>
  <c r="V786" i="1"/>
  <c r="J786" i="1"/>
  <c r="K786" i="1" s="1"/>
  <c r="V785" i="1"/>
  <c r="J785" i="1"/>
  <c r="K785" i="1" s="1"/>
  <c r="V784" i="1"/>
  <c r="J784" i="1"/>
  <c r="K784" i="1" s="1"/>
  <c r="V782" i="1"/>
  <c r="J782" i="1"/>
  <c r="V781" i="1"/>
  <c r="J781" i="1"/>
  <c r="K781" i="1" s="1"/>
  <c r="V780" i="1"/>
  <c r="J780" i="1"/>
  <c r="K780" i="1" s="1"/>
  <c r="V779" i="1"/>
  <c r="J779" i="1"/>
  <c r="K779" i="1" s="1"/>
  <c r="V778" i="1"/>
  <c r="J778" i="1"/>
  <c r="K778" i="1" s="1"/>
  <c r="V777" i="1"/>
  <c r="J777" i="1"/>
  <c r="K777" i="1" s="1"/>
  <c r="V776" i="1"/>
  <c r="J776" i="1"/>
  <c r="K776" i="1" s="1"/>
  <c r="V775" i="1"/>
  <c r="J775" i="1"/>
  <c r="K775" i="1" s="1"/>
  <c r="V774" i="1"/>
  <c r="J774" i="1"/>
  <c r="K774" i="1" s="1"/>
  <c r="V773" i="1"/>
  <c r="J773" i="1"/>
  <c r="K773" i="1" s="1"/>
  <c r="V772" i="1"/>
  <c r="J772" i="1"/>
  <c r="K772" i="1" s="1"/>
  <c r="V770" i="1"/>
  <c r="J770" i="1"/>
  <c r="K770" i="1" s="1"/>
  <c r="V769" i="1"/>
  <c r="J769" i="1"/>
  <c r="K769" i="1" s="1"/>
  <c r="V768" i="1"/>
  <c r="J768" i="1"/>
  <c r="K768" i="1" s="1"/>
  <c r="V767" i="1"/>
  <c r="J767" i="1"/>
  <c r="K767" i="1" s="1"/>
  <c r="V766" i="1"/>
  <c r="J766" i="1"/>
  <c r="K766" i="1" s="1"/>
  <c r="V765" i="1"/>
  <c r="J765" i="1"/>
  <c r="K765" i="1" s="1"/>
  <c r="V764" i="1"/>
  <c r="J764" i="1"/>
  <c r="K764" i="1" s="1"/>
  <c r="V763" i="1"/>
  <c r="J763" i="1"/>
  <c r="K763" i="1" s="1"/>
  <c r="V762" i="1"/>
  <c r="J762" i="1"/>
  <c r="K762" i="1" s="1"/>
  <c r="V760" i="1"/>
  <c r="J760" i="1"/>
  <c r="K760" i="1" s="1"/>
  <c r="V759" i="1"/>
  <c r="J759" i="1"/>
  <c r="K759" i="1" s="1"/>
  <c r="V758" i="1"/>
  <c r="J758" i="1"/>
  <c r="K758" i="1" s="1"/>
  <c r="V757" i="1"/>
  <c r="J757" i="1"/>
  <c r="K757" i="1" s="1"/>
  <c r="V756" i="1"/>
  <c r="J756" i="1"/>
  <c r="K756" i="1" s="1"/>
  <c r="V755" i="1"/>
  <c r="J755" i="1"/>
  <c r="K755" i="1" s="1"/>
  <c r="X741" i="1"/>
  <c r="C741" i="1"/>
  <c r="C740" i="1"/>
  <c r="C739" i="1"/>
  <c r="C738" i="1"/>
  <c r="C737" i="1"/>
  <c r="X731" i="1"/>
  <c r="R731" i="1"/>
  <c r="N731" i="1"/>
  <c r="L731" i="1"/>
  <c r="E733" i="1" s="1"/>
  <c r="I731" i="1"/>
  <c r="G731" i="1"/>
  <c r="E731" i="1"/>
  <c r="V730" i="1"/>
  <c r="J730" i="1"/>
  <c r="K730" i="1" s="1"/>
  <c r="V729" i="1"/>
  <c r="J729" i="1"/>
  <c r="K729" i="1" s="1"/>
  <c r="V728" i="1"/>
  <c r="J728" i="1"/>
  <c r="K728" i="1" s="1"/>
  <c r="V727" i="1"/>
  <c r="J727" i="1"/>
  <c r="K727" i="1" s="1"/>
  <c r="V726" i="1"/>
  <c r="J726" i="1"/>
  <c r="K726" i="1" s="1"/>
  <c r="V725" i="1"/>
  <c r="J725" i="1"/>
  <c r="K725" i="1" s="1"/>
  <c r="V724" i="1"/>
  <c r="J724" i="1"/>
  <c r="K724" i="1" s="1"/>
  <c r="V723" i="1"/>
  <c r="J723" i="1"/>
  <c r="K723" i="1" s="1"/>
  <c r="J722" i="1"/>
  <c r="K722" i="1" s="1"/>
  <c r="V721" i="1"/>
  <c r="J721" i="1"/>
  <c r="K721" i="1" s="1"/>
  <c r="V719" i="1"/>
  <c r="J719" i="1"/>
  <c r="K719" i="1" s="1"/>
  <c r="J718" i="1"/>
  <c r="K718" i="1" s="1"/>
  <c r="V716" i="1"/>
  <c r="J716" i="1"/>
  <c r="K716" i="1" s="1"/>
  <c r="V715" i="1"/>
  <c r="J715" i="1"/>
  <c r="K715" i="1" s="1"/>
  <c r="V714" i="1"/>
  <c r="J714" i="1"/>
  <c r="K714" i="1" s="1"/>
  <c r="J713" i="1"/>
  <c r="K713" i="1" s="1"/>
  <c r="V712" i="1"/>
  <c r="J712" i="1"/>
  <c r="K712" i="1" s="1"/>
  <c r="J711" i="1"/>
  <c r="K711" i="1" s="1"/>
  <c r="V710" i="1"/>
  <c r="J710" i="1"/>
  <c r="K710" i="1" s="1"/>
  <c r="V709" i="1"/>
  <c r="J709" i="1"/>
  <c r="K709" i="1" s="1"/>
  <c r="V708" i="1"/>
  <c r="J708" i="1"/>
  <c r="K708" i="1" s="1"/>
  <c r="J707" i="1"/>
  <c r="K707" i="1" s="1"/>
  <c r="V706" i="1"/>
  <c r="J706" i="1"/>
  <c r="K706" i="1" s="1"/>
  <c r="V705" i="1"/>
  <c r="J705" i="1"/>
  <c r="K705" i="1" s="1"/>
  <c r="V704" i="1"/>
  <c r="J704" i="1"/>
  <c r="K704" i="1" s="1"/>
  <c r="V703" i="1"/>
  <c r="J703" i="1"/>
  <c r="K703" i="1" s="1"/>
  <c r="V701" i="1"/>
  <c r="J701" i="1"/>
  <c r="K701" i="1" s="1"/>
  <c r="V700" i="1"/>
  <c r="J700" i="1"/>
  <c r="K700" i="1" s="1"/>
  <c r="V699" i="1"/>
  <c r="J699" i="1"/>
  <c r="K699" i="1" s="1"/>
  <c r="V698" i="1"/>
  <c r="J698" i="1"/>
  <c r="K698" i="1" s="1"/>
  <c r="V697" i="1"/>
  <c r="J697" i="1"/>
  <c r="K697" i="1" s="1"/>
  <c r="V696" i="1"/>
  <c r="J696" i="1"/>
  <c r="K696" i="1" s="1"/>
  <c r="V695" i="1"/>
  <c r="J695" i="1"/>
  <c r="K695" i="1" s="1"/>
  <c r="V694" i="1"/>
  <c r="J694" i="1"/>
  <c r="K694" i="1" s="1"/>
  <c r="V693" i="1"/>
  <c r="J693" i="1"/>
  <c r="K693" i="1" s="1"/>
  <c r="V692" i="1"/>
  <c r="J692" i="1"/>
  <c r="K692" i="1" s="1"/>
  <c r="V691" i="1"/>
  <c r="J691" i="1"/>
  <c r="K691" i="1" s="1"/>
  <c r="V690" i="1"/>
  <c r="J690" i="1"/>
  <c r="K690" i="1" s="1"/>
  <c r="V688" i="1"/>
  <c r="J688" i="1"/>
  <c r="K688" i="1" s="1"/>
  <c r="J687" i="1"/>
  <c r="K687" i="1" s="1"/>
  <c r="V686" i="1"/>
  <c r="J686" i="1"/>
  <c r="K686" i="1" s="1"/>
  <c r="V685" i="1"/>
  <c r="J685" i="1"/>
  <c r="K685" i="1" s="1"/>
  <c r="X672" i="1"/>
  <c r="C672" i="1"/>
  <c r="C671" i="1"/>
  <c r="C670" i="1"/>
  <c r="C669" i="1"/>
  <c r="C668" i="1"/>
  <c r="X662" i="1"/>
  <c r="R662" i="1"/>
  <c r="N662" i="1"/>
  <c r="L662" i="1"/>
  <c r="E664" i="1" s="1"/>
  <c r="I662" i="1"/>
  <c r="G662" i="1"/>
  <c r="E662" i="1"/>
  <c r="V661" i="1"/>
  <c r="J661" i="1"/>
  <c r="K661" i="1" s="1"/>
  <c r="V660" i="1"/>
  <c r="J660" i="1"/>
  <c r="K660" i="1" s="1"/>
  <c r="V659" i="1"/>
  <c r="J659" i="1"/>
  <c r="V658" i="1"/>
  <c r="J658" i="1"/>
  <c r="V657" i="1"/>
  <c r="J657" i="1"/>
  <c r="K657" i="1" s="1"/>
  <c r="V656" i="1"/>
  <c r="J656" i="1"/>
  <c r="K656" i="1" s="1"/>
  <c r="V655" i="1"/>
  <c r="J655" i="1"/>
  <c r="K655" i="1" s="1"/>
  <c r="V654" i="1"/>
  <c r="J654" i="1"/>
  <c r="K654" i="1" s="1"/>
  <c r="V653" i="1"/>
  <c r="J653" i="1"/>
  <c r="K653" i="1" s="1"/>
  <c r="V652" i="1"/>
  <c r="J652" i="1"/>
  <c r="K652" i="1" s="1"/>
  <c r="V650" i="1"/>
  <c r="J650" i="1"/>
  <c r="K650" i="1" s="1"/>
  <c r="V649" i="1"/>
  <c r="J649" i="1"/>
  <c r="K649" i="1" s="1"/>
  <c r="V648" i="1"/>
  <c r="J648" i="1"/>
  <c r="K648" i="1" s="1"/>
  <c r="V647" i="1"/>
  <c r="J647" i="1"/>
  <c r="K647" i="1" s="1"/>
  <c r="V646" i="1"/>
  <c r="J646" i="1"/>
  <c r="K646" i="1" s="1"/>
  <c r="V645" i="1"/>
  <c r="J645" i="1"/>
  <c r="K645" i="1" s="1"/>
  <c r="V644" i="1"/>
  <c r="J644" i="1"/>
  <c r="K644" i="1" s="1"/>
  <c r="V643" i="1"/>
  <c r="J643" i="1"/>
  <c r="K643" i="1" s="1"/>
  <c r="V642" i="1"/>
  <c r="J642" i="1"/>
  <c r="K642" i="1" s="1"/>
  <c r="V641" i="1"/>
  <c r="J641" i="1"/>
  <c r="K641" i="1" s="1"/>
  <c r="V640" i="1"/>
  <c r="J640" i="1"/>
  <c r="K640" i="1" s="1"/>
  <c r="V639" i="1"/>
  <c r="J639" i="1"/>
  <c r="K639" i="1" s="1"/>
  <c r="V638" i="1"/>
  <c r="J638" i="1"/>
  <c r="K638" i="1" s="1"/>
  <c r="V637" i="1"/>
  <c r="J637" i="1"/>
  <c r="K637" i="1" s="1"/>
  <c r="V636" i="1"/>
  <c r="J636" i="1"/>
  <c r="K636" i="1" s="1"/>
  <c r="V635" i="1"/>
  <c r="J635" i="1"/>
  <c r="K635" i="1" s="1"/>
  <c r="V634" i="1"/>
  <c r="J634" i="1"/>
  <c r="K634" i="1" s="1"/>
  <c r="V633" i="1"/>
  <c r="J633" i="1"/>
  <c r="K633" i="1" s="1"/>
  <c r="V632" i="1"/>
  <c r="J632" i="1"/>
  <c r="K632" i="1" s="1"/>
  <c r="V630" i="1"/>
  <c r="J630" i="1"/>
  <c r="K630" i="1" s="1"/>
  <c r="V629" i="1"/>
  <c r="J629" i="1"/>
  <c r="K629" i="1" s="1"/>
  <c r="V628" i="1"/>
  <c r="J628" i="1"/>
  <c r="K628" i="1" s="1"/>
  <c r="V627" i="1"/>
  <c r="J627" i="1"/>
  <c r="K627" i="1" s="1"/>
  <c r="V626" i="1"/>
  <c r="J626" i="1"/>
  <c r="K626" i="1" s="1"/>
  <c r="V625" i="1"/>
  <c r="J625" i="1"/>
  <c r="K625" i="1" s="1"/>
  <c r="V624" i="1"/>
  <c r="J624" i="1"/>
  <c r="K624" i="1" s="1"/>
  <c r="V623" i="1"/>
  <c r="J623" i="1"/>
  <c r="V622" i="1"/>
  <c r="J622" i="1"/>
  <c r="K622" i="1" s="1"/>
  <c r="V621" i="1"/>
  <c r="J621" i="1"/>
  <c r="K621" i="1" s="1"/>
  <c r="V620" i="1"/>
  <c r="J620" i="1"/>
  <c r="K620" i="1" s="1"/>
  <c r="V619" i="1"/>
  <c r="J619" i="1"/>
  <c r="K619" i="1" s="1"/>
  <c r="V618" i="1"/>
  <c r="J618" i="1"/>
  <c r="K618" i="1" s="1"/>
  <c r="V616" i="1"/>
  <c r="J616" i="1"/>
  <c r="K616" i="1" s="1"/>
  <c r="V615" i="1"/>
  <c r="J615" i="1"/>
  <c r="K615" i="1" s="1"/>
  <c r="V614" i="1"/>
  <c r="J614" i="1"/>
  <c r="K614" i="1" s="1"/>
  <c r="V613" i="1"/>
  <c r="J613" i="1"/>
  <c r="K613" i="1" s="1"/>
  <c r="V612" i="1"/>
  <c r="J612" i="1"/>
  <c r="K612" i="1" s="1"/>
  <c r="V611" i="1"/>
  <c r="J611" i="1"/>
  <c r="K611" i="1" s="1"/>
  <c r="V609" i="1"/>
  <c r="J609" i="1"/>
  <c r="K609" i="1" s="1"/>
  <c r="V608" i="1"/>
  <c r="J608" i="1"/>
  <c r="K608" i="1" s="1"/>
  <c r="V607" i="1"/>
  <c r="J607" i="1"/>
  <c r="K607" i="1" s="1"/>
  <c r="V606" i="1"/>
  <c r="J606" i="1"/>
  <c r="K606" i="1" s="1"/>
  <c r="V605" i="1"/>
  <c r="J605" i="1"/>
  <c r="K605" i="1" s="1"/>
  <c r="V604" i="1"/>
  <c r="J604" i="1"/>
  <c r="K604" i="1" s="1"/>
  <c r="V603" i="1"/>
  <c r="J603" i="1"/>
  <c r="K603" i="1" s="1"/>
  <c r="V602" i="1"/>
  <c r="J602" i="1"/>
  <c r="K602" i="1" s="1"/>
  <c r="V601" i="1"/>
  <c r="J601" i="1"/>
  <c r="K601" i="1" s="1"/>
  <c r="V600" i="1"/>
  <c r="J600" i="1"/>
  <c r="K600" i="1" s="1"/>
  <c r="X587" i="1"/>
  <c r="C587" i="1"/>
  <c r="C586" i="1"/>
  <c r="C585" i="1"/>
  <c r="C584" i="1"/>
  <c r="C583" i="1"/>
  <c r="X577" i="1"/>
  <c r="N577" i="1"/>
  <c r="L577" i="1"/>
  <c r="E579" i="1" s="1"/>
  <c r="I577" i="1"/>
  <c r="G577" i="1"/>
  <c r="E577" i="1"/>
  <c r="V574" i="1"/>
  <c r="J574" i="1"/>
  <c r="K574" i="1" s="1"/>
  <c r="V572" i="1"/>
  <c r="J572" i="1"/>
  <c r="K572" i="1" s="1"/>
  <c r="V570" i="1"/>
  <c r="J570" i="1"/>
  <c r="K570" i="1" s="1"/>
  <c r="V567" i="1"/>
  <c r="J567" i="1"/>
  <c r="K567" i="1" s="1"/>
  <c r="V565" i="1"/>
  <c r="J565" i="1"/>
  <c r="K565" i="1" s="1"/>
  <c r="V563" i="1"/>
  <c r="J563" i="1"/>
  <c r="K563" i="1" s="1"/>
  <c r="V561" i="1"/>
  <c r="J561" i="1"/>
  <c r="K561" i="1" s="1"/>
  <c r="V559" i="1"/>
  <c r="J559" i="1"/>
  <c r="K559" i="1" s="1"/>
  <c r="V557" i="1"/>
  <c r="J557" i="1"/>
  <c r="K557" i="1" s="1"/>
  <c r="V555" i="1"/>
  <c r="J555" i="1"/>
  <c r="K555" i="1" s="1"/>
  <c r="V553" i="1"/>
  <c r="J553" i="1"/>
  <c r="K553" i="1" s="1"/>
  <c r="V551" i="1"/>
  <c r="J551" i="1"/>
  <c r="K551" i="1" s="1"/>
  <c r="V550" i="1"/>
  <c r="J550" i="1"/>
  <c r="K550" i="1" s="1"/>
  <c r="J549" i="1"/>
  <c r="K549" i="1" s="1"/>
  <c r="V548" i="1"/>
  <c r="J548" i="1"/>
  <c r="K548" i="1" s="1"/>
  <c r="V546" i="1"/>
  <c r="J546" i="1"/>
  <c r="K546" i="1" s="1"/>
  <c r="V545" i="1"/>
  <c r="J545" i="1"/>
  <c r="K545" i="1" s="1"/>
  <c r="V544" i="1"/>
  <c r="J544" i="1"/>
  <c r="K544" i="1" s="1"/>
  <c r="J543" i="1"/>
  <c r="K543" i="1" s="1"/>
  <c r="J542" i="1"/>
  <c r="K542" i="1" s="1"/>
  <c r="V541" i="1"/>
  <c r="J541" i="1"/>
  <c r="K541" i="1" s="1"/>
  <c r="V540" i="1"/>
  <c r="J540" i="1"/>
  <c r="K540" i="1" s="1"/>
  <c r="J539" i="1"/>
  <c r="K539" i="1" s="1"/>
  <c r="V538" i="1"/>
  <c r="J538" i="1"/>
  <c r="K538" i="1" s="1"/>
  <c r="V537" i="1"/>
  <c r="J537" i="1"/>
  <c r="K537" i="1" s="1"/>
  <c r="V536" i="1"/>
  <c r="J536" i="1"/>
  <c r="K536" i="1" s="1"/>
  <c r="V535" i="1"/>
  <c r="J535" i="1"/>
  <c r="K535" i="1" s="1"/>
  <c r="V534" i="1"/>
  <c r="J534" i="1"/>
  <c r="K534" i="1" s="1"/>
  <c r="V533" i="1"/>
  <c r="J533" i="1"/>
  <c r="K533" i="1" s="1"/>
  <c r="J532" i="1"/>
  <c r="K532" i="1" s="1"/>
  <c r="V531" i="1"/>
  <c r="J531" i="1"/>
  <c r="K531" i="1" s="1"/>
  <c r="V530" i="1"/>
  <c r="J530" i="1"/>
  <c r="K530" i="1" s="1"/>
  <c r="J529" i="1"/>
  <c r="K529" i="1" s="1"/>
  <c r="V528" i="1"/>
  <c r="J528" i="1"/>
  <c r="K528" i="1" s="1"/>
  <c r="V526" i="1"/>
  <c r="J526" i="1"/>
  <c r="K526" i="1" s="1"/>
  <c r="V525" i="1"/>
  <c r="J525" i="1"/>
  <c r="K525" i="1" s="1"/>
  <c r="J524" i="1"/>
  <c r="K524" i="1" s="1"/>
  <c r="V523" i="1"/>
  <c r="J523" i="1"/>
  <c r="K523" i="1" s="1"/>
  <c r="V522" i="1"/>
  <c r="J522" i="1"/>
  <c r="K522" i="1" s="1"/>
  <c r="V521" i="1"/>
  <c r="J521" i="1"/>
  <c r="K521" i="1" s="1"/>
  <c r="V520" i="1"/>
  <c r="J520" i="1"/>
  <c r="K520" i="1" s="1"/>
  <c r="V519" i="1"/>
  <c r="J519" i="1"/>
  <c r="K519" i="1" s="1"/>
  <c r="V518" i="1"/>
  <c r="J518" i="1"/>
  <c r="K518" i="1" s="1"/>
  <c r="V517" i="1"/>
  <c r="J517" i="1"/>
  <c r="K517" i="1" s="1"/>
  <c r="V516" i="1"/>
  <c r="J516" i="1"/>
  <c r="K516" i="1" s="1"/>
  <c r="V515" i="1"/>
  <c r="J515" i="1"/>
  <c r="K515" i="1" s="1"/>
  <c r="V514" i="1"/>
  <c r="J514" i="1"/>
  <c r="K514" i="1" s="1"/>
  <c r="V513" i="1"/>
  <c r="J513" i="1"/>
  <c r="K513" i="1" s="1"/>
  <c r="V512" i="1"/>
  <c r="J512" i="1"/>
  <c r="K512" i="1" s="1"/>
  <c r="V510" i="1"/>
  <c r="J510" i="1"/>
  <c r="K510" i="1" s="1"/>
  <c r="V509" i="1"/>
  <c r="J509" i="1"/>
  <c r="K509" i="1" s="1"/>
  <c r="V508" i="1"/>
  <c r="J508" i="1"/>
  <c r="K508" i="1" s="1"/>
  <c r="V507" i="1"/>
  <c r="J507" i="1"/>
  <c r="K507" i="1" s="1"/>
  <c r="X494" i="1"/>
  <c r="C494" i="1"/>
  <c r="C493" i="1"/>
  <c r="C492" i="1"/>
  <c r="C491" i="1"/>
  <c r="C490" i="1"/>
  <c r="X484" i="1"/>
  <c r="R484" i="1"/>
  <c r="N484" i="1"/>
  <c r="L484" i="1"/>
  <c r="I484" i="1"/>
  <c r="G484" i="1"/>
  <c r="E484" i="1"/>
  <c r="V483" i="1"/>
  <c r="J483" i="1"/>
  <c r="K483" i="1" s="1"/>
  <c r="V482" i="1"/>
  <c r="J482" i="1"/>
  <c r="K482" i="1" s="1"/>
  <c r="V481" i="1"/>
  <c r="J481" i="1"/>
  <c r="K481" i="1" s="1"/>
  <c r="J480" i="1"/>
  <c r="K480" i="1" s="1"/>
  <c r="V479" i="1"/>
  <c r="J479" i="1"/>
  <c r="K479" i="1" s="1"/>
  <c r="V478" i="1"/>
  <c r="J478" i="1"/>
  <c r="K478" i="1" s="1"/>
  <c r="V477" i="1"/>
  <c r="J477" i="1"/>
  <c r="K477" i="1" s="1"/>
  <c r="V476" i="1"/>
  <c r="J476" i="1"/>
  <c r="K476" i="1" s="1"/>
  <c r="V475" i="1"/>
  <c r="J475" i="1"/>
  <c r="K475" i="1" s="1"/>
  <c r="V474" i="1"/>
  <c r="J474" i="1"/>
  <c r="K474" i="1" s="1"/>
  <c r="V472" i="1"/>
  <c r="J472" i="1"/>
  <c r="K472" i="1" s="1"/>
  <c r="V470" i="1"/>
  <c r="J470" i="1"/>
  <c r="K470" i="1" s="1"/>
  <c r="J469" i="1"/>
  <c r="K469" i="1" s="1"/>
  <c r="V468" i="1"/>
  <c r="J468" i="1"/>
  <c r="K468" i="1" s="1"/>
  <c r="V467" i="1"/>
  <c r="J467" i="1"/>
  <c r="K467" i="1" s="1"/>
  <c r="V466" i="1"/>
  <c r="J466" i="1"/>
  <c r="K466" i="1" s="1"/>
  <c r="V465" i="1"/>
  <c r="J465" i="1"/>
  <c r="K465" i="1" s="1"/>
  <c r="V464" i="1"/>
  <c r="J464" i="1"/>
  <c r="K464" i="1" s="1"/>
  <c r="V463" i="1"/>
  <c r="J463" i="1"/>
  <c r="K463" i="1" s="1"/>
  <c r="V462" i="1"/>
  <c r="J462" i="1"/>
  <c r="K462" i="1" s="1"/>
  <c r="V461" i="1"/>
  <c r="J461" i="1"/>
  <c r="K461" i="1" s="1"/>
  <c r="V460" i="1"/>
  <c r="J460" i="1"/>
  <c r="K460" i="1" s="1"/>
  <c r="V458" i="1"/>
  <c r="J458" i="1"/>
  <c r="K458" i="1" s="1"/>
  <c r="J457" i="1"/>
  <c r="K457" i="1" s="1"/>
  <c r="V456" i="1"/>
  <c r="J456" i="1"/>
  <c r="K456" i="1" s="1"/>
  <c r="V455" i="1"/>
  <c r="J455" i="1"/>
  <c r="K455" i="1" s="1"/>
  <c r="V454" i="1"/>
  <c r="J454" i="1"/>
  <c r="K454" i="1" s="1"/>
  <c r="V453" i="1"/>
  <c r="J453" i="1"/>
  <c r="K453" i="1" s="1"/>
  <c r="V452" i="1"/>
  <c r="J452" i="1"/>
  <c r="K452" i="1" s="1"/>
  <c r="V451" i="1"/>
  <c r="J451" i="1"/>
  <c r="K451" i="1" s="1"/>
  <c r="V450" i="1"/>
  <c r="J450" i="1"/>
  <c r="K450" i="1" s="1"/>
  <c r="V449" i="1"/>
  <c r="J449" i="1"/>
  <c r="K449" i="1" s="1"/>
  <c r="V447" i="1"/>
  <c r="J447" i="1"/>
  <c r="K447" i="1" s="1"/>
  <c r="V446" i="1"/>
  <c r="J446" i="1"/>
  <c r="K446" i="1" s="1"/>
  <c r="V445" i="1"/>
  <c r="J445" i="1"/>
  <c r="K445" i="1" s="1"/>
  <c r="V444" i="1"/>
  <c r="J444" i="1"/>
  <c r="K444" i="1" s="1"/>
  <c r="V443" i="1"/>
  <c r="J443" i="1"/>
  <c r="K443" i="1" s="1"/>
  <c r="X431" i="1"/>
  <c r="C431" i="1"/>
  <c r="C430" i="1"/>
  <c r="C429" i="1"/>
  <c r="C428" i="1"/>
  <c r="C427" i="1"/>
  <c r="X421" i="1"/>
  <c r="R421" i="1"/>
  <c r="N421" i="1"/>
  <c r="L421" i="1"/>
  <c r="E423" i="1" s="1"/>
  <c r="I421" i="1"/>
  <c r="G421" i="1"/>
  <c r="E421" i="1"/>
  <c r="V420" i="1"/>
  <c r="J420" i="1"/>
  <c r="K420" i="1" s="1"/>
  <c r="V419" i="1"/>
  <c r="J419" i="1"/>
  <c r="K419" i="1" s="1"/>
  <c r="V418" i="1"/>
  <c r="J418" i="1"/>
  <c r="K418" i="1" s="1"/>
  <c r="V417" i="1"/>
  <c r="J417" i="1"/>
  <c r="K417" i="1" s="1"/>
  <c r="V416" i="1"/>
  <c r="J416" i="1"/>
  <c r="K416" i="1" s="1"/>
  <c r="V415" i="1"/>
  <c r="J415" i="1"/>
  <c r="K415" i="1" s="1"/>
  <c r="V414" i="1"/>
  <c r="J414" i="1"/>
  <c r="K414" i="1" s="1"/>
  <c r="V413" i="1"/>
  <c r="J413" i="1"/>
  <c r="K413" i="1" s="1"/>
  <c r="J412" i="1"/>
  <c r="K412" i="1" s="1"/>
  <c r="V411" i="1"/>
  <c r="J411" i="1"/>
  <c r="K411" i="1" s="1"/>
  <c r="V409" i="1"/>
  <c r="J409" i="1"/>
  <c r="K409" i="1" s="1"/>
  <c r="V408" i="1"/>
  <c r="J408" i="1"/>
  <c r="K408" i="1" s="1"/>
  <c r="V407" i="1"/>
  <c r="J407" i="1"/>
  <c r="K407" i="1" s="1"/>
  <c r="J406" i="1"/>
  <c r="K406" i="1" s="1"/>
  <c r="V405" i="1"/>
  <c r="J405" i="1"/>
  <c r="K405" i="1" s="1"/>
  <c r="V404" i="1"/>
  <c r="J404" i="1"/>
  <c r="K404" i="1" s="1"/>
  <c r="V403" i="1"/>
  <c r="J403" i="1"/>
  <c r="K403" i="1" s="1"/>
  <c r="V402" i="1"/>
  <c r="J402" i="1"/>
  <c r="K402" i="1" s="1"/>
  <c r="V401" i="1"/>
  <c r="J401" i="1"/>
  <c r="K401" i="1" s="1"/>
  <c r="V400" i="1"/>
  <c r="J400" i="1"/>
  <c r="K400" i="1" s="1"/>
  <c r="V399" i="1"/>
  <c r="J399" i="1"/>
  <c r="K399" i="1" s="1"/>
  <c r="V398" i="1"/>
  <c r="J398" i="1"/>
  <c r="K398" i="1" s="1"/>
  <c r="V397" i="1"/>
  <c r="J397" i="1"/>
  <c r="K397" i="1" s="1"/>
  <c r="V395" i="1"/>
  <c r="J395" i="1"/>
  <c r="K395" i="1" s="1"/>
  <c r="V394" i="1"/>
  <c r="J394" i="1"/>
  <c r="K394" i="1" s="1"/>
  <c r="V393" i="1"/>
  <c r="J393" i="1"/>
  <c r="K393" i="1" s="1"/>
  <c r="V392" i="1"/>
  <c r="J392" i="1"/>
  <c r="K392" i="1" s="1"/>
  <c r="V391" i="1"/>
  <c r="J391" i="1"/>
  <c r="K391" i="1" s="1"/>
  <c r="V390" i="1"/>
  <c r="J390" i="1"/>
  <c r="K390" i="1" s="1"/>
  <c r="V389" i="1"/>
  <c r="J389" i="1"/>
  <c r="K389" i="1" s="1"/>
  <c r="V388" i="1"/>
  <c r="J388" i="1"/>
  <c r="K388" i="1" s="1"/>
  <c r="V387" i="1"/>
  <c r="J387" i="1"/>
  <c r="K387" i="1" s="1"/>
  <c r="V386" i="1"/>
  <c r="J386" i="1"/>
  <c r="K386" i="1" s="1"/>
  <c r="V384" i="1"/>
  <c r="J384" i="1"/>
  <c r="K384" i="1" s="1"/>
  <c r="J383" i="1"/>
  <c r="K383" i="1" s="1"/>
  <c r="V382" i="1"/>
  <c r="J382" i="1"/>
  <c r="K382" i="1" s="1"/>
  <c r="V381" i="1"/>
  <c r="J381" i="1"/>
  <c r="K381" i="1" s="1"/>
  <c r="X369" i="1"/>
  <c r="C369" i="1"/>
  <c r="C368" i="1"/>
  <c r="C367" i="1"/>
  <c r="C366" i="1"/>
  <c r="C365" i="1"/>
  <c r="X359" i="1"/>
  <c r="R359" i="1"/>
  <c r="N359" i="1"/>
  <c r="L359" i="1"/>
  <c r="E361" i="1" s="1"/>
  <c r="I359" i="1"/>
  <c r="G359" i="1"/>
  <c r="E359" i="1"/>
  <c r="V358" i="1"/>
  <c r="J358" i="1"/>
  <c r="K358" i="1" s="1"/>
  <c r="V357" i="1"/>
  <c r="J357" i="1"/>
  <c r="K357" i="1" s="1"/>
  <c r="V356" i="1"/>
  <c r="J356" i="1"/>
  <c r="K356" i="1" s="1"/>
  <c r="V355" i="1"/>
  <c r="J355" i="1"/>
  <c r="K355" i="1" s="1"/>
  <c r="V354" i="1"/>
  <c r="J354" i="1"/>
  <c r="K354" i="1" s="1"/>
  <c r="V353" i="1"/>
  <c r="J353" i="1"/>
  <c r="K353" i="1" s="1"/>
  <c r="V352" i="1"/>
  <c r="J352" i="1"/>
  <c r="K352" i="1" s="1"/>
  <c r="V351" i="1"/>
  <c r="J351" i="1"/>
  <c r="K351" i="1" s="1"/>
  <c r="J350" i="1"/>
  <c r="K350" i="1" s="1"/>
  <c r="V349" i="1"/>
  <c r="J349" i="1"/>
  <c r="K349" i="1" s="1"/>
  <c r="V347" i="1"/>
  <c r="J347" i="1"/>
  <c r="K347" i="1" s="1"/>
  <c r="V346" i="1"/>
  <c r="J346" i="1"/>
  <c r="K346" i="1" s="1"/>
  <c r="V345" i="1"/>
  <c r="J345" i="1"/>
  <c r="K345" i="1" s="1"/>
  <c r="J344" i="1"/>
  <c r="K344" i="1" s="1"/>
  <c r="V343" i="1"/>
  <c r="J343" i="1"/>
  <c r="K343" i="1" s="1"/>
  <c r="V342" i="1"/>
  <c r="J342" i="1"/>
  <c r="K342" i="1" s="1"/>
  <c r="V341" i="1"/>
  <c r="J341" i="1"/>
  <c r="K341" i="1" s="1"/>
  <c r="V340" i="1"/>
  <c r="J340" i="1"/>
  <c r="K340" i="1" s="1"/>
  <c r="V339" i="1"/>
  <c r="J339" i="1"/>
  <c r="K339" i="1" s="1"/>
  <c r="V338" i="1"/>
  <c r="J338" i="1"/>
  <c r="K338" i="1" s="1"/>
  <c r="V337" i="1"/>
  <c r="J337" i="1"/>
  <c r="K337" i="1" s="1"/>
  <c r="V336" i="1"/>
  <c r="J336" i="1"/>
  <c r="K336" i="1" s="1"/>
  <c r="V335" i="1"/>
  <c r="J335" i="1"/>
  <c r="K335" i="1" s="1"/>
  <c r="V333" i="1"/>
  <c r="J333" i="1"/>
  <c r="K333" i="1" s="1"/>
  <c r="V332" i="1"/>
  <c r="J332" i="1"/>
  <c r="K332" i="1" s="1"/>
  <c r="V331" i="1"/>
  <c r="J331" i="1"/>
  <c r="K331" i="1" s="1"/>
  <c r="V330" i="1"/>
  <c r="J330" i="1"/>
  <c r="K330" i="1" s="1"/>
  <c r="V329" i="1"/>
  <c r="J329" i="1"/>
  <c r="K329" i="1" s="1"/>
  <c r="V328" i="1"/>
  <c r="J328" i="1"/>
  <c r="K328" i="1" s="1"/>
  <c r="V327" i="1"/>
  <c r="J327" i="1"/>
  <c r="K327" i="1" s="1"/>
  <c r="V326" i="1"/>
  <c r="J326" i="1"/>
  <c r="K326" i="1" s="1"/>
  <c r="V325" i="1"/>
  <c r="J325" i="1"/>
  <c r="K325" i="1" s="1"/>
  <c r="V324" i="1"/>
  <c r="J324" i="1"/>
  <c r="K324" i="1" s="1"/>
  <c r="V323" i="1"/>
  <c r="J323" i="1"/>
  <c r="K323" i="1" s="1"/>
  <c r="V321" i="1"/>
  <c r="J321" i="1"/>
  <c r="K321" i="1" s="1"/>
  <c r="J320" i="1"/>
  <c r="K320" i="1" s="1"/>
  <c r="V319" i="1"/>
  <c r="J319" i="1"/>
  <c r="K319" i="1" s="1"/>
  <c r="V318" i="1"/>
  <c r="J318" i="1"/>
  <c r="K318" i="1" s="1"/>
  <c r="X307" i="1"/>
  <c r="C307" i="1"/>
  <c r="C306" i="1"/>
  <c r="C305" i="1"/>
  <c r="C304" i="1"/>
  <c r="C303" i="1"/>
  <c r="X297" i="1"/>
  <c r="R297" i="1"/>
  <c r="N297" i="1"/>
  <c r="L297" i="1"/>
  <c r="E299" i="1" s="1"/>
  <c r="I297" i="1"/>
  <c r="G297" i="1"/>
  <c r="E297" i="1"/>
  <c r="V296" i="1"/>
  <c r="J296" i="1"/>
  <c r="K296" i="1" s="1"/>
  <c r="V295" i="1"/>
  <c r="J295" i="1"/>
  <c r="K295" i="1" s="1"/>
  <c r="V294" i="1"/>
  <c r="J294" i="1"/>
  <c r="K294" i="1" s="1"/>
  <c r="V293" i="1"/>
  <c r="J293" i="1"/>
  <c r="K293" i="1" s="1"/>
  <c r="V292" i="1"/>
  <c r="J292" i="1"/>
  <c r="K292" i="1" s="1"/>
  <c r="V291" i="1"/>
  <c r="J291" i="1"/>
  <c r="K291" i="1" s="1"/>
  <c r="V290" i="1"/>
  <c r="J290" i="1"/>
  <c r="K290" i="1" s="1"/>
  <c r="V289" i="1"/>
  <c r="J289" i="1"/>
  <c r="K289" i="1" s="1"/>
  <c r="J288" i="1"/>
  <c r="K288" i="1" s="1"/>
  <c r="V287" i="1"/>
  <c r="J287" i="1"/>
  <c r="K287" i="1" s="1"/>
  <c r="V285" i="1"/>
  <c r="J285" i="1"/>
  <c r="K285" i="1" s="1"/>
  <c r="J284" i="1"/>
  <c r="K284" i="1" s="1"/>
  <c r="V283" i="1"/>
  <c r="J283" i="1"/>
  <c r="K283" i="1" s="1"/>
  <c r="V282" i="1"/>
  <c r="J282" i="1"/>
  <c r="K282" i="1" s="1"/>
  <c r="J281" i="1"/>
  <c r="K281" i="1" s="1"/>
  <c r="V280" i="1"/>
  <c r="J280" i="1"/>
  <c r="K280" i="1" s="1"/>
  <c r="J279" i="1"/>
  <c r="K279" i="1" s="1"/>
  <c r="V278" i="1"/>
  <c r="J278" i="1"/>
  <c r="K278" i="1" s="1"/>
  <c r="V277" i="1"/>
  <c r="J277" i="1"/>
  <c r="K277" i="1" s="1"/>
  <c r="J276" i="1"/>
  <c r="K276" i="1" s="1"/>
  <c r="V275" i="1"/>
  <c r="J275" i="1"/>
  <c r="K275" i="1" s="1"/>
  <c r="V274" i="1"/>
  <c r="J274" i="1"/>
  <c r="K274" i="1" s="1"/>
  <c r="V273" i="1"/>
  <c r="J273" i="1"/>
  <c r="K273" i="1" s="1"/>
  <c r="V272" i="1"/>
  <c r="J272" i="1"/>
  <c r="K272" i="1" s="1"/>
  <c r="V271" i="1"/>
  <c r="J271" i="1"/>
  <c r="K271" i="1" s="1"/>
  <c r="V270" i="1"/>
  <c r="J270" i="1"/>
  <c r="K270" i="1" s="1"/>
  <c r="V269" i="1"/>
  <c r="J269" i="1"/>
  <c r="K269" i="1" s="1"/>
  <c r="V267" i="1"/>
  <c r="J267" i="1"/>
  <c r="K267" i="1" s="1"/>
  <c r="V266" i="1"/>
  <c r="J266" i="1"/>
  <c r="K266" i="1" s="1"/>
  <c r="V265" i="1"/>
  <c r="J265" i="1"/>
  <c r="K265" i="1" s="1"/>
  <c r="V264" i="1"/>
  <c r="J264" i="1"/>
  <c r="K264" i="1" s="1"/>
  <c r="V263" i="1"/>
  <c r="J263" i="1"/>
  <c r="K263" i="1" s="1"/>
  <c r="V262" i="1"/>
  <c r="J262" i="1"/>
  <c r="K262" i="1" s="1"/>
  <c r="V261" i="1"/>
  <c r="J261" i="1"/>
  <c r="K261" i="1" s="1"/>
  <c r="V260" i="1"/>
  <c r="J260" i="1"/>
  <c r="K260" i="1" s="1"/>
  <c r="V259" i="1"/>
  <c r="J259" i="1"/>
  <c r="K259" i="1" s="1"/>
  <c r="V258" i="1"/>
  <c r="J258" i="1"/>
  <c r="K258" i="1" s="1"/>
  <c r="V257" i="1"/>
  <c r="J257" i="1"/>
  <c r="K257" i="1" s="1"/>
  <c r="V256" i="1"/>
  <c r="J256" i="1"/>
  <c r="K256" i="1" s="1"/>
  <c r="V254" i="1"/>
  <c r="J254" i="1"/>
  <c r="K254" i="1" s="1"/>
  <c r="J253" i="1"/>
  <c r="K253" i="1" s="1"/>
  <c r="V252" i="1"/>
  <c r="J252" i="1"/>
  <c r="K252" i="1" s="1"/>
  <c r="V251" i="1"/>
  <c r="J251" i="1"/>
  <c r="K251" i="1" s="1"/>
  <c r="X238" i="1"/>
  <c r="C238" i="1"/>
  <c r="C237" i="1"/>
  <c r="C236" i="1"/>
  <c r="C235" i="1"/>
  <c r="C234" i="1"/>
  <c r="X228" i="1"/>
  <c r="R228" i="1"/>
  <c r="N228" i="1"/>
  <c r="L228" i="1"/>
  <c r="T166" i="1" s="1"/>
  <c r="I228" i="1"/>
  <c r="G228" i="1"/>
  <c r="E228" i="1"/>
  <c r="J227" i="1"/>
  <c r="K227" i="1" s="1"/>
  <c r="V226" i="1"/>
  <c r="J226" i="1"/>
  <c r="K226" i="1" s="1"/>
  <c r="V225" i="1"/>
  <c r="J225" i="1"/>
  <c r="K225" i="1" s="1"/>
  <c r="V224" i="1"/>
  <c r="J224" i="1"/>
  <c r="K224" i="1" s="1"/>
  <c r="V223" i="1"/>
  <c r="J223" i="1"/>
  <c r="K223" i="1" s="1"/>
  <c r="V222" i="1"/>
  <c r="J222" i="1"/>
  <c r="K222" i="1" s="1"/>
  <c r="V221" i="1"/>
  <c r="J221" i="1"/>
  <c r="K221" i="1" s="1"/>
  <c r="V220" i="1"/>
  <c r="J220" i="1"/>
  <c r="K220" i="1" s="1"/>
  <c r="V218" i="1"/>
  <c r="J218" i="1"/>
  <c r="K218" i="1" s="1"/>
  <c r="J217" i="1"/>
  <c r="K217" i="1" s="1"/>
  <c r="J216" i="1"/>
  <c r="K216" i="1" s="1"/>
  <c r="V215" i="1"/>
  <c r="J215" i="1"/>
  <c r="K215" i="1" s="1"/>
  <c r="J214" i="1"/>
  <c r="K214" i="1" s="1"/>
  <c r="V213" i="1"/>
  <c r="J213" i="1"/>
  <c r="K213" i="1" s="1"/>
  <c r="V212" i="1"/>
  <c r="J212" i="1"/>
  <c r="K212" i="1" s="1"/>
  <c r="V211" i="1"/>
  <c r="J211" i="1"/>
  <c r="K211" i="1" s="1"/>
  <c r="V210" i="1"/>
  <c r="J210" i="1"/>
  <c r="K210" i="1" s="1"/>
  <c r="V209" i="1"/>
  <c r="J209" i="1"/>
  <c r="K209" i="1" s="1"/>
  <c r="V208" i="1"/>
  <c r="J208" i="1"/>
  <c r="K208" i="1" s="1"/>
  <c r="V207" i="1"/>
  <c r="J207" i="1"/>
  <c r="K207" i="1" s="1"/>
  <c r="V206" i="1"/>
  <c r="J206" i="1"/>
  <c r="V205" i="1"/>
  <c r="J205" i="1"/>
  <c r="K205" i="1" s="1"/>
  <c r="V204" i="1"/>
  <c r="J204" i="1"/>
  <c r="K204" i="1" s="1"/>
  <c r="V203" i="1"/>
  <c r="J203" i="1"/>
  <c r="K203" i="1" s="1"/>
  <c r="V202" i="1"/>
  <c r="J202" i="1"/>
  <c r="K202" i="1" s="1"/>
  <c r="J201" i="1"/>
  <c r="K201" i="1" s="1"/>
  <c r="V200" i="1"/>
  <c r="J200" i="1"/>
  <c r="K200" i="1" s="1"/>
  <c r="V199" i="1"/>
  <c r="J199" i="1"/>
  <c r="K199" i="1" s="1"/>
  <c r="V197" i="1"/>
  <c r="J197" i="1"/>
  <c r="K197" i="1" s="1"/>
  <c r="J196" i="1"/>
  <c r="K196" i="1" s="1"/>
  <c r="V195" i="1"/>
  <c r="J195" i="1"/>
  <c r="K195" i="1" s="1"/>
  <c r="V194" i="1"/>
  <c r="J194" i="1"/>
  <c r="K194" i="1" s="1"/>
  <c r="J193" i="1"/>
  <c r="K193" i="1" s="1"/>
  <c r="V192" i="1"/>
  <c r="J192" i="1"/>
  <c r="K192" i="1" s="1"/>
  <c r="V191" i="1"/>
  <c r="J191" i="1"/>
  <c r="K191" i="1" s="1"/>
  <c r="V190" i="1"/>
  <c r="J190" i="1"/>
  <c r="K190" i="1" s="1"/>
  <c r="V189" i="1"/>
  <c r="J189" i="1"/>
  <c r="K189" i="1" s="1"/>
  <c r="V188" i="1"/>
  <c r="J188" i="1"/>
  <c r="K188" i="1" s="1"/>
  <c r="V187" i="1"/>
  <c r="J187" i="1"/>
  <c r="K187" i="1" s="1"/>
  <c r="V186" i="1"/>
  <c r="J186" i="1"/>
  <c r="K186" i="1" s="1"/>
  <c r="V185" i="1"/>
  <c r="J185" i="1"/>
  <c r="K185" i="1" s="1"/>
  <c r="V183" i="1"/>
  <c r="J183" i="1"/>
  <c r="K183" i="1" s="1"/>
  <c r="V182" i="1"/>
  <c r="J182" i="1"/>
  <c r="K182" i="1" s="1"/>
  <c r="J181" i="1"/>
  <c r="K181" i="1" s="1"/>
  <c r="V180" i="1"/>
  <c r="J180" i="1"/>
  <c r="K180" i="1" s="1"/>
  <c r="V179" i="1"/>
  <c r="J179" i="1"/>
  <c r="K179" i="1" s="1"/>
  <c r="V177" i="1"/>
  <c r="J177" i="1"/>
  <c r="K177" i="1" s="1"/>
  <c r="V176" i="1"/>
  <c r="J176" i="1"/>
  <c r="K176" i="1" s="1"/>
  <c r="V175" i="1"/>
  <c r="J175" i="1"/>
  <c r="K175" i="1" s="1"/>
  <c r="V174" i="1"/>
  <c r="J174" i="1"/>
  <c r="K174" i="1" s="1"/>
  <c r="V173" i="1"/>
  <c r="J173" i="1"/>
  <c r="K173" i="1" s="1"/>
  <c r="V172" i="1"/>
  <c r="J172" i="1"/>
  <c r="K172" i="1" s="1"/>
  <c r="V171" i="1"/>
  <c r="J171" i="1"/>
  <c r="K171" i="1" s="1"/>
  <c r="V170" i="1"/>
  <c r="J170" i="1"/>
  <c r="K170" i="1" s="1"/>
  <c r="V169" i="1"/>
  <c r="J169" i="1"/>
  <c r="K169" i="1" s="1"/>
  <c r="V168" i="1"/>
  <c r="J168" i="1"/>
  <c r="K168" i="1" s="1"/>
  <c r="X152" i="1"/>
  <c r="C152" i="1"/>
  <c r="C151" i="1"/>
  <c r="C150" i="1"/>
  <c r="C149" i="1"/>
  <c r="C148" i="1"/>
  <c r="X142" i="1"/>
  <c r="N142" i="1"/>
  <c r="L142" i="1"/>
  <c r="E144" i="1" s="1"/>
  <c r="I142" i="1"/>
  <c r="G142" i="1"/>
  <c r="E142" i="1"/>
  <c r="V139" i="1"/>
  <c r="J139" i="1"/>
  <c r="K139" i="1" s="1"/>
  <c r="V137" i="1"/>
  <c r="J137" i="1"/>
  <c r="K137" i="1" s="1"/>
  <c r="V134" i="1"/>
  <c r="J134" i="1"/>
  <c r="K134" i="1" s="1"/>
  <c r="V132" i="1"/>
  <c r="J132" i="1"/>
  <c r="K132" i="1" s="1"/>
  <c r="V130" i="1"/>
  <c r="J130" i="1"/>
  <c r="K130" i="1" s="1"/>
  <c r="V128" i="1"/>
  <c r="J128" i="1"/>
  <c r="K128" i="1" s="1"/>
  <c r="V126" i="1"/>
  <c r="J126" i="1"/>
  <c r="K126" i="1" s="1"/>
  <c r="V124" i="1"/>
  <c r="J124" i="1"/>
  <c r="K124" i="1" s="1"/>
  <c r="V122" i="1"/>
  <c r="J122" i="1"/>
  <c r="K122" i="1" s="1"/>
  <c r="V120" i="1"/>
  <c r="J120" i="1"/>
  <c r="K120" i="1" s="1"/>
  <c r="V118" i="1"/>
  <c r="J118" i="1"/>
  <c r="K118" i="1" s="1"/>
  <c r="V116" i="1"/>
  <c r="J116" i="1"/>
  <c r="K116" i="1" s="1"/>
  <c r="V114" i="1"/>
  <c r="J114" i="1"/>
  <c r="K114" i="1" s="1"/>
  <c r="V112" i="1"/>
  <c r="J112" i="1"/>
  <c r="K112" i="1" s="1"/>
  <c r="V110" i="1"/>
  <c r="J110" i="1"/>
  <c r="K110" i="1" s="1"/>
  <c r="V108" i="1"/>
  <c r="J108" i="1"/>
  <c r="K108" i="1" s="1"/>
  <c r="V107" i="1"/>
  <c r="J107" i="1"/>
  <c r="K107" i="1" s="1"/>
  <c r="V106" i="1"/>
  <c r="J106" i="1"/>
  <c r="K106" i="1" s="1"/>
  <c r="V105" i="1"/>
  <c r="J105" i="1"/>
  <c r="V104" i="1"/>
  <c r="J104" i="1"/>
  <c r="K104" i="1" s="1"/>
  <c r="V103" i="1"/>
  <c r="J103" i="1"/>
  <c r="K103" i="1" s="1"/>
  <c r="V102" i="1"/>
  <c r="J102" i="1"/>
  <c r="K102" i="1" s="1"/>
  <c r="V101" i="1"/>
  <c r="J101" i="1"/>
  <c r="K101" i="1" s="1"/>
  <c r="V100" i="1"/>
  <c r="J100" i="1"/>
  <c r="K100" i="1" s="1"/>
  <c r="V99" i="1"/>
  <c r="J99" i="1"/>
  <c r="K99" i="1" s="1"/>
  <c r="V98" i="1"/>
  <c r="J98" i="1"/>
  <c r="K98" i="1" s="1"/>
  <c r="V96" i="1"/>
  <c r="J96" i="1"/>
  <c r="K96" i="1" s="1"/>
  <c r="V95" i="1"/>
  <c r="J95" i="1"/>
  <c r="K95" i="1" s="1"/>
  <c r="V94" i="1"/>
  <c r="J94" i="1"/>
  <c r="K94" i="1" s="1"/>
  <c r="V93" i="1"/>
  <c r="J93" i="1"/>
  <c r="K93" i="1" s="1"/>
  <c r="V92" i="1"/>
  <c r="J92" i="1"/>
  <c r="K92" i="1" s="1"/>
  <c r="V91" i="1"/>
  <c r="J91" i="1"/>
  <c r="K91" i="1" s="1"/>
  <c r="V90" i="1"/>
  <c r="J90" i="1"/>
  <c r="V89" i="1"/>
  <c r="J89" i="1"/>
  <c r="K89" i="1" s="1"/>
  <c r="V88" i="1"/>
  <c r="J88" i="1"/>
  <c r="K88" i="1" s="1"/>
  <c r="V87" i="1"/>
  <c r="J87" i="1"/>
  <c r="K87" i="1" s="1"/>
  <c r="V86" i="1"/>
  <c r="J86" i="1"/>
  <c r="K86" i="1" s="1"/>
  <c r="V85" i="1"/>
  <c r="J85" i="1"/>
  <c r="K85" i="1" s="1"/>
  <c r="V84" i="1"/>
  <c r="J84" i="1"/>
  <c r="K84" i="1" s="1"/>
  <c r="V83" i="1"/>
  <c r="J83" i="1"/>
  <c r="V82" i="1"/>
  <c r="J82" i="1"/>
  <c r="K82" i="1" s="1"/>
  <c r="V81" i="1"/>
  <c r="J81" i="1"/>
  <c r="V80" i="1"/>
  <c r="J80" i="1"/>
  <c r="K80" i="1" s="1"/>
  <c r="V79" i="1"/>
  <c r="J79" i="1"/>
  <c r="K79" i="1" s="1"/>
  <c r="V77" i="1"/>
  <c r="J77" i="1"/>
  <c r="K77" i="1" s="1"/>
  <c r="V76" i="1"/>
  <c r="J76" i="1"/>
  <c r="K76" i="1" s="1"/>
  <c r="V75" i="1"/>
  <c r="J75" i="1"/>
  <c r="K75" i="1" s="1"/>
  <c r="V74" i="1"/>
  <c r="J74" i="1"/>
  <c r="K74" i="1" s="1"/>
  <c r="X60" i="1"/>
  <c r="C60" i="1"/>
  <c r="C59" i="1"/>
  <c r="C58" i="1"/>
  <c r="C57" i="1"/>
  <c r="C56" i="1"/>
  <c r="X50" i="1"/>
  <c r="R50" i="1"/>
  <c r="N50" i="1"/>
  <c r="L50" i="1"/>
  <c r="E52" i="1" s="1"/>
  <c r="I50" i="1"/>
  <c r="G50" i="1"/>
  <c r="E50" i="1"/>
  <c r="V49" i="1"/>
  <c r="J49" i="1"/>
  <c r="K49" i="1" s="1"/>
  <c r="V48" i="1"/>
  <c r="J48" i="1"/>
  <c r="K48" i="1" s="1"/>
  <c r="V47" i="1"/>
  <c r="J47" i="1"/>
  <c r="K47" i="1" s="1"/>
  <c r="V46" i="1"/>
  <c r="J46" i="1"/>
  <c r="K46" i="1" s="1"/>
  <c r="V45" i="1"/>
  <c r="J45" i="1"/>
  <c r="K45" i="1" s="1"/>
  <c r="V44" i="1"/>
  <c r="J44" i="1"/>
  <c r="K44" i="1" s="1"/>
  <c r="V43" i="1"/>
  <c r="J43" i="1"/>
  <c r="K43" i="1" s="1"/>
  <c r="V42" i="1"/>
  <c r="J42" i="1"/>
  <c r="K42" i="1" s="1"/>
  <c r="V41" i="1"/>
  <c r="J41" i="1"/>
  <c r="K41" i="1" s="1"/>
  <c r="V40" i="1"/>
  <c r="J40" i="1"/>
  <c r="K40" i="1" s="1"/>
  <c r="V39" i="1"/>
  <c r="J39" i="1"/>
  <c r="K39" i="1" s="1"/>
  <c r="V38" i="1"/>
  <c r="J38" i="1"/>
  <c r="K38" i="1" s="1"/>
  <c r="V37" i="1"/>
  <c r="J37" i="1"/>
  <c r="K37" i="1" s="1"/>
  <c r="V36" i="1"/>
  <c r="J36" i="1"/>
  <c r="K36" i="1" s="1"/>
  <c r="V34" i="1"/>
  <c r="J34" i="1"/>
  <c r="K34" i="1" s="1"/>
  <c r="V33" i="1"/>
  <c r="J33" i="1"/>
  <c r="K33" i="1" s="1"/>
  <c r="V32" i="1"/>
  <c r="J32" i="1"/>
  <c r="K32" i="1" s="1"/>
  <c r="V31" i="1"/>
  <c r="J31" i="1"/>
  <c r="K31" i="1" s="1"/>
  <c r="V30" i="1"/>
  <c r="J30" i="1"/>
  <c r="K30" i="1" s="1"/>
  <c r="V29" i="1"/>
  <c r="J29" i="1"/>
  <c r="K29" i="1" s="1"/>
  <c r="V28" i="1"/>
  <c r="J28" i="1"/>
  <c r="K28" i="1" s="1"/>
  <c r="V27" i="1"/>
  <c r="J27" i="1"/>
  <c r="K27" i="1" s="1"/>
  <c r="V26" i="1"/>
  <c r="J26" i="1"/>
  <c r="K26" i="1" s="1"/>
  <c r="V25" i="1"/>
  <c r="J25" i="1"/>
  <c r="K25" i="1" s="1"/>
  <c r="V24" i="1"/>
  <c r="J24" i="1"/>
  <c r="K24" i="1" s="1"/>
  <c r="V23" i="1"/>
  <c r="J23" i="1"/>
  <c r="K23" i="1" s="1"/>
  <c r="V22" i="1"/>
  <c r="J22" i="1"/>
  <c r="K22" i="1" s="1"/>
  <c r="V21" i="1"/>
  <c r="J21" i="1"/>
  <c r="K21" i="1" s="1"/>
  <c r="V19" i="1"/>
  <c r="J19" i="1"/>
  <c r="K19" i="1" s="1"/>
  <c r="V18" i="1"/>
  <c r="J18" i="1"/>
  <c r="K18" i="1" s="1"/>
  <c r="V17" i="1"/>
  <c r="J17" i="1"/>
  <c r="K17" i="1" s="1"/>
  <c r="V16" i="1"/>
  <c r="J16" i="1"/>
  <c r="K16" i="1" s="1"/>
  <c r="V15" i="1"/>
  <c r="J15" i="1"/>
  <c r="K15" i="1" s="1"/>
  <c r="V14" i="1"/>
  <c r="J14" i="1"/>
  <c r="K14" i="1" s="1"/>
  <c r="V13" i="1"/>
  <c r="J13" i="1"/>
  <c r="K13" i="1" s="1"/>
  <c r="V12" i="1"/>
  <c r="J12" i="1"/>
  <c r="K12" i="1" s="1"/>
  <c r="V11" i="1"/>
  <c r="J11" i="1"/>
  <c r="K11" i="1" s="1"/>
  <c r="V10" i="1"/>
  <c r="J10" i="1"/>
  <c r="K10" i="1" s="1"/>
  <c r="V9" i="1"/>
  <c r="J9" i="1"/>
  <c r="K9" i="1" s="1"/>
  <c r="V8" i="1"/>
  <c r="J8" i="1"/>
  <c r="K8" i="1" s="1"/>
  <c r="V7" i="1"/>
  <c r="J7" i="1"/>
  <c r="K7" i="1" s="1"/>
  <c r="J731" i="1" l="1"/>
  <c r="H733" i="1" s="1"/>
  <c r="K733" i="1" s="1"/>
  <c r="T815" i="1"/>
  <c r="J359" i="1"/>
  <c r="H361" i="1" s="1"/>
  <c r="K361" i="1" s="1"/>
  <c r="T753" i="1"/>
  <c r="T72" i="1"/>
  <c r="T5" i="1"/>
  <c r="C153" i="1"/>
  <c r="T249" i="1"/>
  <c r="T598" i="1"/>
  <c r="T316" i="1"/>
  <c r="T505" i="1"/>
  <c r="T683" i="1"/>
  <c r="T942" i="1"/>
  <c r="C239" i="1"/>
  <c r="J857" i="1"/>
  <c r="H859" i="1" s="1"/>
  <c r="K859" i="1" s="1"/>
  <c r="J1009" i="1"/>
  <c r="H1011" i="1" s="1"/>
  <c r="K1011" i="1" s="1"/>
  <c r="J297" i="1"/>
  <c r="H299" i="1" s="1"/>
  <c r="K299" i="1" s="1"/>
  <c r="V577" i="1"/>
  <c r="J50" i="1"/>
  <c r="H52" i="1" s="1"/>
  <c r="K52" i="1" s="1"/>
  <c r="J577" i="1"/>
  <c r="H579" i="1" s="1"/>
  <c r="K579" i="1" s="1"/>
  <c r="C588" i="1"/>
  <c r="J793" i="1"/>
  <c r="H795" i="1" s="1"/>
  <c r="K795" i="1" s="1"/>
  <c r="T880" i="1"/>
  <c r="K228" i="1"/>
  <c r="K359" i="1"/>
  <c r="J228" i="1"/>
  <c r="H230" i="1" s="1"/>
  <c r="V359" i="1"/>
  <c r="V857" i="1"/>
  <c r="C931" i="1"/>
  <c r="V297" i="1"/>
  <c r="V731" i="1"/>
  <c r="V142" i="1"/>
  <c r="J142" i="1"/>
  <c r="H144" i="1" s="1"/>
  <c r="K144" i="1" s="1"/>
  <c r="E230" i="1"/>
  <c r="J421" i="1"/>
  <c r="H423" i="1" s="1"/>
  <c r="K423" i="1" s="1"/>
  <c r="C432" i="1"/>
  <c r="K484" i="1"/>
  <c r="C804" i="1"/>
  <c r="C868" i="1"/>
  <c r="C1020" i="1"/>
  <c r="V50" i="1"/>
  <c r="C61" i="1"/>
  <c r="V228" i="1"/>
  <c r="K297" i="1"/>
  <c r="C308" i="1"/>
  <c r="C370" i="1"/>
  <c r="T379" i="1"/>
  <c r="V484" i="1"/>
  <c r="J484" i="1"/>
  <c r="H486" i="1" s="1"/>
  <c r="K731" i="1"/>
  <c r="K50" i="1"/>
  <c r="K577" i="1"/>
  <c r="R577" i="1" s="1"/>
  <c r="K142" i="1"/>
  <c r="R142" i="1" s="1"/>
  <c r="K857" i="1"/>
  <c r="T441" i="1"/>
  <c r="E486" i="1"/>
  <c r="K662" i="1"/>
  <c r="E1097" i="1"/>
  <c r="V662" i="1"/>
  <c r="C673" i="1"/>
  <c r="K421" i="1"/>
  <c r="C495" i="1"/>
  <c r="V920" i="1"/>
  <c r="V421" i="1"/>
  <c r="C742" i="1"/>
  <c r="K1009" i="1"/>
  <c r="R1009" i="1" s="1"/>
  <c r="V1009" i="1"/>
  <c r="K793" i="1"/>
  <c r="J920" i="1"/>
  <c r="H922" i="1" s="1"/>
  <c r="K922" i="1" s="1"/>
  <c r="J662" i="1"/>
  <c r="H664" i="1" s="1"/>
  <c r="K664" i="1" s="1"/>
  <c r="V793" i="1"/>
  <c r="K920" i="1"/>
  <c r="V1095" i="1"/>
  <c r="J1095" i="1"/>
  <c r="H1097" i="1" s="1"/>
  <c r="K1095" i="1"/>
  <c r="C1106" i="1"/>
  <c r="E4" i="3"/>
  <c r="K486" i="1" l="1"/>
  <c r="K230" i="1"/>
  <c r="K1097" i="1"/>
</calcChain>
</file>

<file path=xl/sharedStrings.xml><?xml version="1.0" encoding="utf-8"?>
<sst xmlns="http://schemas.openxmlformats.org/spreadsheetml/2006/main" count="4500" uniqueCount="738">
  <si>
    <t>TABELA DE FRETE</t>
  </si>
  <si>
    <t>FILIAL: 13 (ANGRA DOS REIS)</t>
  </si>
  <si>
    <t>TABELA DE FRETE DIFERENCIADA</t>
  </si>
  <si>
    <t>ATUALIZADO EM:</t>
  </si>
  <si>
    <t>VEÍCULO</t>
  </si>
  <si>
    <t>FRETE (R$)</t>
  </si>
  <si>
    <t>TRUCK</t>
  </si>
  <si>
    <t>TOCO</t>
  </si>
  <si>
    <t>IVECO</t>
  </si>
  <si>
    <t>KIA</t>
  </si>
  <si>
    <t>KIA REFRI</t>
  </si>
  <si>
    <t>TOCO+</t>
  </si>
  <si>
    <t>OBSERVAÇÃO:</t>
  </si>
  <si>
    <t>VALORES IGUAIS PARA TODAS AS FILIAIS,</t>
  </si>
  <si>
    <t>COM EXCEÇÃO DA FILIAL: 13 (ANGRA DOS REIS),</t>
  </si>
  <si>
    <t>VALORES NA TABELA AO LADO.</t>
  </si>
  <si>
    <t>MEGA BOX OLARIA</t>
  </si>
  <si>
    <t xml:space="preserve">   </t>
  </si>
  <si>
    <t>CARREGAMENTO DIÁRIO</t>
  </si>
  <si>
    <t>HLOG</t>
  </si>
  <si>
    <t>OPERAÇÃO MATRIZ  -  HTF CEASA</t>
  </si>
  <si>
    <t xml:space="preserve"> </t>
  </si>
  <si>
    <t>INÍCIO DA OPERAÇÃO DE CARGA</t>
  </si>
  <si>
    <t>1ª. ENTREGA</t>
  </si>
  <si>
    <t>2ª. ENTREGA</t>
  </si>
  <si>
    <t>3ª. ENTREGA</t>
  </si>
  <si>
    <t>QUANTIDADE DE CARROS</t>
  </si>
  <si>
    <t>TABELA FRETE DIÁRIO</t>
  </si>
  <si>
    <t>NÚMERO ROMANEIO</t>
  </si>
  <si>
    <t>FILIAL</t>
  </si>
  <si>
    <t>KILOS</t>
  </si>
  <si>
    <t xml:space="preserve">TOTAL </t>
  </si>
  <si>
    <t>PALLETS</t>
  </si>
  <si>
    <t>QTD.</t>
  </si>
  <si>
    <t xml:space="preserve">CARRO </t>
  </si>
  <si>
    <t>PLACA</t>
  </si>
  <si>
    <t>PORTAS</t>
  </si>
  <si>
    <t>LACRES</t>
  </si>
  <si>
    <t>MOTORISTA</t>
  </si>
  <si>
    <t>CÓD.</t>
  </si>
  <si>
    <t>TML-7D21</t>
  </si>
  <si>
    <t>HLOG / FABRICIO</t>
  </si>
  <si>
    <t>KRK-3D12</t>
  </si>
  <si>
    <t xml:space="preserve">EDUARDO /  JOSENILDO ANISIO </t>
  </si>
  <si>
    <t>LQE-5401</t>
  </si>
  <si>
    <t>SIDNEI</t>
  </si>
  <si>
    <t>LQU-5546</t>
  </si>
  <si>
    <t>JÚLIO COUTO / INACIO ARAUJO</t>
  </si>
  <si>
    <t>UGA-1D55</t>
  </si>
  <si>
    <t>HLOG / SILVIO</t>
  </si>
  <si>
    <t>LCO-0978</t>
  </si>
  <si>
    <t>RAPHAEL / LUIZ ALVES</t>
  </si>
  <si>
    <t>LVE-0688</t>
  </si>
  <si>
    <t>LUCIANO / ANDERSON</t>
  </si>
  <si>
    <t>LNU-9595</t>
  </si>
  <si>
    <t xml:space="preserve">CARLOS GONÇALVES </t>
  </si>
  <si>
    <t>LKW-2B80</t>
  </si>
  <si>
    <t>ALEX</t>
  </si>
  <si>
    <t>KQB-3F31</t>
  </si>
  <si>
    <t>SIDNEI / DIEGO</t>
  </si>
  <si>
    <t>UDC-6I03</t>
  </si>
  <si>
    <t>HLOG / MARCOS</t>
  </si>
  <si>
    <t>AOP-3C73</t>
  </si>
  <si>
    <t>MOBRICI</t>
  </si>
  <si>
    <t>LJS-2172</t>
  </si>
  <si>
    <t>SÉRGIO JOSE DA SILVA</t>
  </si>
  <si>
    <t>EBG-2D13</t>
  </si>
  <si>
    <t>ALESSANDRA/ JONESON</t>
  </si>
  <si>
    <t>CZB-9J19</t>
  </si>
  <si>
    <t>DOUGLAS</t>
  </si>
  <si>
    <t>LAF-0697</t>
  </si>
  <si>
    <t>FÁBIO BORGES</t>
  </si>
  <si>
    <t>JAJ-6B36</t>
  </si>
  <si>
    <t>RENATO</t>
  </si>
  <si>
    <t>LUP-1F13</t>
  </si>
  <si>
    <t>LUIZ / CARLOS</t>
  </si>
  <si>
    <t>KYM-2I62</t>
  </si>
  <si>
    <t>JHONATA FREIRE DA SILVA</t>
  </si>
  <si>
    <t>MEGA BOX 2</t>
  </si>
  <si>
    <t>CYB-3B90</t>
  </si>
  <si>
    <t>EVERTON</t>
  </si>
  <si>
    <t>KWK-4593</t>
  </si>
  <si>
    <t>FÁBIO / RODRIGO</t>
  </si>
  <si>
    <t>EFU-5704</t>
  </si>
  <si>
    <t>WILIAN FERES</t>
  </si>
  <si>
    <t>BBH-1C94</t>
  </si>
  <si>
    <t>JOSUE DOS SANTOS</t>
  </si>
  <si>
    <t>MEGA BOX 01</t>
  </si>
  <si>
    <t>RJL-7D33</t>
  </si>
  <si>
    <t>FRANCISCO IRAN</t>
  </si>
  <si>
    <t>LKR-5990</t>
  </si>
  <si>
    <t>SIDNEI / AGNALDO</t>
  </si>
  <si>
    <t>KVH-9J42</t>
  </si>
  <si>
    <t>SANDRO EDUARDO / MARCIO</t>
  </si>
  <si>
    <t>QAH-2H50</t>
  </si>
  <si>
    <t xml:space="preserve">EDUARDO </t>
  </si>
  <si>
    <t>KRH-5H67</t>
  </si>
  <si>
    <t>MARCIO / ERIVELTON</t>
  </si>
  <si>
    <t>INW-8A51</t>
  </si>
  <si>
    <t>WILLIAM</t>
  </si>
  <si>
    <t>UBF-5G33</t>
  </si>
  <si>
    <t>HLOG / BRUNO / MARTINS</t>
  </si>
  <si>
    <t>JÚLIO COUTO/INACIO ARAUJO</t>
  </si>
  <si>
    <t xml:space="preserve">SIDNEI ANTONIO MENDES </t>
  </si>
  <si>
    <t>SANDRO EDUARDO/ MARCIO</t>
  </si>
  <si>
    <t xml:space="preserve">RAPHAEL /LUIZ ALVES </t>
  </si>
  <si>
    <t>KQY-9E24</t>
  </si>
  <si>
    <t>FÁBIO / VLADIMIR</t>
  </si>
  <si>
    <t>RESUMO:</t>
  </si>
  <si>
    <t>+</t>
  </si>
  <si>
    <t>CARROS</t>
  </si>
  <si>
    <t>LACRES UTILIZADOS</t>
  </si>
  <si>
    <t>RESUMO DA OPERAÇÃO -</t>
  </si>
  <si>
    <t>LOJAS</t>
  </si>
  <si>
    <t>NOTAS FISCAIS:</t>
  </si>
  <si>
    <t>MALOTES:</t>
  </si>
  <si>
    <t>CARROS USADOS</t>
  </si>
  <si>
    <t>MÉDIA</t>
  </si>
  <si>
    <t>LOJAS TOTAL</t>
  </si>
  <si>
    <t>RESTRIÇÕES DE CIRCULAÇÃO (ZONA SUL / CENTRO)</t>
  </si>
  <si>
    <t>VALOR TOTAL</t>
  </si>
  <si>
    <t>TOTAL ROMANEIOS</t>
  </si>
  <si>
    <t>TIPO</t>
  </si>
  <si>
    <t>" ATENÇÃO, FAZER TODAS AS FILIAIS COM OS PALLETS ALTOS. "</t>
  </si>
  <si>
    <r>
      <rPr>
        <b/>
        <sz val="22"/>
        <color rgb="FFFF0000"/>
        <rFont val="Calibri"/>
        <family val="2"/>
      </rPr>
      <t xml:space="preserve">● </t>
    </r>
    <r>
      <rPr>
        <b/>
        <sz val="22"/>
        <color rgb="FFFF0000"/>
        <rFont val="Calibri"/>
        <family val="2"/>
        <scheme val="minor"/>
      </rPr>
      <t>PERÍODO DE 06:00 HRS ATÉ 10:00 HRS DA MANHÃ.</t>
    </r>
  </si>
  <si>
    <r>
      <rPr>
        <b/>
        <sz val="22"/>
        <color rgb="FFFF0000"/>
        <rFont val="Calibri"/>
        <family val="2"/>
      </rPr>
      <t xml:space="preserve">● </t>
    </r>
    <r>
      <rPr>
        <b/>
        <sz val="22"/>
        <color rgb="FFFF0000"/>
        <rFont val="Calibri"/>
        <family val="2"/>
        <scheme val="minor"/>
      </rPr>
      <t>PERÍODO DE 17:00 HRS ATÉ 21:00 HRS DA NOITE.</t>
    </r>
  </si>
  <si>
    <t>OBSERVAÇÕES GERAIS</t>
  </si>
  <si>
    <t>FILIAIS: 04 (COPACABANA) E 14 (LEBLON) - NO MÁXIMO 06 DE ALTURA POR PALETE.</t>
  </si>
  <si>
    <r>
      <rPr>
        <b/>
        <sz val="24"/>
        <color theme="1"/>
        <rFont val="Calibri"/>
        <family val="2"/>
        <scheme val="minor"/>
      </rPr>
      <t xml:space="preserve">TODAS AS FILIAIS COM CARREGAMENTO ENTRE </t>
    </r>
    <r>
      <rPr>
        <b/>
        <sz val="24"/>
        <color rgb="FFC00000"/>
        <rFont val="Calibri"/>
        <family val="2"/>
        <scheme val="minor"/>
      </rPr>
      <t>(</t>
    </r>
    <r>
      <rPr>
        <b/>
        <i/>
        <sz val="24"/>
        <color rgb="FFC00000"/>
        <rFont val="Calibri"/>
        <family val="2"/>
        <scheme val="minor"/>
      </rPr>
      <t>10:00 HRS E 15:00 HRS)</t>
    </r>
    <r>
      <rPr>
        <b/>
        <sz val="24"/>
        <color theme="1"/>
        <rFont val="Calibri"/>
        <family val="2"/>
        <scheme val="minor"/>
      </rPr>
      <t>, DESCARGA NO MESMO DIA APÓS A OPERAÇÃO.</t>
    </r>
  </si>
  <si>
    <t>TONELAGEM</t>
  </si>
  <si>
    <t>ZONA SUL</t>
  </si>
  <si>
    <t>FILIAIS 28 (URCA) E 14 (LEBLON) - CARREGAMENTO PELA MANHÃ / TARDE.</t>
  </si>
  <si>
    <t>FILIAIS COM CARREGAMENTO ÀS 17:00HS, DESCARGA NO DIA SEGUINTE NO PRIMEIRO HORÁRIO</t>
  </si>
  <si>
    <t>MATRIZ:</t>
  </si>
  <si>
    <t>TOTAL</t>
  </si>
  <si>
    <t>ATENÇÃO: FILIAIS 33-21-30-27-15-04-18-06-07-48-13; CARREGAMENTO HOJE E ENTREGA NO DIA SEGUINTE NO PRIMEIRO HORÁRIO</t>
  </si>
  <si>
    <t>LEGENDA:</t>
  </si>
  <si>
    <t>(*) CARROS QUE ENCONTRAM-SE RETORNANDO DA PRIMEIRA VIAGEM.</t>
  </si>
  <si>
    <t xml:space="preserve">FILIAL </t>
  </si>
  <si>
    <t>KOP-4978</t>
  </si>
  <si>
    <t>MILTON</t>
  </si>
  <si>
    <t>LTQ-0783</t>
  </si>
  <si>
    <t xml:space="preserve">WILLIAM / EDMILSON JOSÉ </t>
  </si>
  <si>
    <t>LTE-0A64</t>
  </si>
  <si>
    <t>QSU-6I54</t>
  </si>
  <si>
    <t>HLOG / MARCOS FERNANDO</t>
  </si>
  <si>
    <t>AKZ-2594</t>
  </si>
  <si>
    <t xml:space="preserve">LUIZ / NILTON RODRIGUES </t>
  </si>
  <si>
    <t>TML-9I75</t>
  </si>
  <si>
    <t>HLOG / JONATHAN MARCIO</t>
  </si>
  <si>
    <t>KUL-1425</t>
  </si>
  <si>
    <t>FELIPE SILVA</t>
  </si>
  <si>
    <t>MEGA BOX 02</t>
  </si>
  <si>
    <t>MDV-3746</t>
  </si>
  <si>
    <t xml:space="preserve">PAULO ROBERTO </t>
  </si>
  <si>
    <t>KMY-5561</t>
  </si>
  <si>
    <t xml:space="preserve">RAPHAEL / LUIZ ANTONIO ALVES </t>
  </si>
  <si>
    <t>LNU-7733</t>
  </si>
  <si>
    <t>FELIPE / PAULO CESAR</t>
  </si>
  <si>
    <t>LTH-4J15</t>
  </si>
  <si>
    <t>MARCIO</t>
  </si>
  <si>
    <t>" Atenção, Filial: 03 - Copacabana, carregamento hoje de dia, descarga domingo às 09:00 hrs. "</t>
  </si>
  <si>
    <t>" Atenção, Filial: 04 - Copacabana, carregamento hoje de dia, descarga domingo às 07:00 hrs. "</t>
  </si>
  <si>
    <t>FÁBIO P. /RODRIGO</t>
  </si>
  <si>
    <t>" Atenção, Filial: 05 - Copacabana, carregamento hoje de dia, descarga domingo às 06:00 hrs. " F.38 - DESCARGA DOMINGO 08HS.</t>
  </si>
  <si>
    <t>" Atenção, Filial: 12 - Copacabana, carregamento hoje de dia, descarga domingo às 08:00 hrs. "</t>
  </si>
  <si>
    <t>" Atenção, Filial: 18 - Copacabana, carregamento hoje de dia, descarga domingo às 06:00 hrs. "</t>
  </si>
  <si>
    <t>" Atenção, Filial: 19 - Copacabana, carregamento hoje de dia, descarga domingo às 07:00 hrs. "</t>
  </si>
  <si>
    <t>" Atenção, Filial: 26 - Copacabana, carregamento hoje de dia, descarga domingo às 08:00 hrs. "</t>
  </si>
  <si>
    <t>" Atenção, Filial: 30 - Laranjeiras, carregamento hoje de dia, descarga domingo às 04:00 hrs. "</t>
  </si>
  <si>
    <t>MOBRICE</t>
  </si>
  <si>
    <t>" Atenção, Filial 21 - Flamengo, carregamento hoje de dia, descarga domingo às 06:00 hrs. "</t>
  </si>
  <si>
    <t>" Atenção, Filial: 48 - Botafogo, carregamento hoje de dia, descarga domingo às 06:00 hrs. "</t>
  </si>
  <si>
    <t>" Atenção, Filial: 48 - Recreio, carregamento hoje de dia, descarga domingo às 07:00 hrs. "</t>
  </si>
  <si>
    <t>JULIO</t>
  </si>
  <si>
    <t>" Atenção, Filial: 13 - Angra dos Reis, carregamento hoje de dia, descarga domingo às 05:00 hrs. "</t>
  </si>
  <si>
    <t>" Atenção, Filial: 27 (Ipanema) e 15 (Leblon), carregamento Domingo a noite, descarga segunda às 05:00 hrs. "</t>
  </si>
  <si>
    <t>RAPHAEL /LUIZ ALVES</t>
  </si>
  <si>
    <t>" Atenção, Filial:07 - Leblon, carregamento Domingo a noite, descarga segunda às 05:00 hrs. "</t>
  </si>
  <si>
    <t>● SEM RESTRIÇÃO DE CIRCULAÇÃO</t>
  </si>
  <si>
    <r>
      <rPr>
        <b/>
        <sz val="22"/>
        <color theme="1"/>
        <rFont val="Calibri"/>
        <family val="2"/>
        <scheme val="minor"/>
      </rPr>
      <t xml:space="preserve">TODAS AS FILIAIS COM CARREGAMENTO ENTRE </t>
    </r>
    <r>
      <rPr>
        <b/>
        <sz val="22"/>
        <color rgb="FFC00000"/>
        <rFont val="Calibri"/>
        <family val="2"/>
        <scheme val="minor"/>
      </rPr>
      <t>(</t>
    </r>
    <r>
      <rPr>
        <b/>
        <i/>
        <sz val="22"/>
        <color rgb="FFC00000"/>
        <rFont val="Calibri"/>
        <family val="2"/>
        <scheme val="minor"/>
      </rPr>
      <t>10:00 HRS E 15:00 HRS)</t>
    </r>
    <r>
      <rPr>
        <b/>
        <sz val="22"/>
        <color theme="1"/>
        <rFont val="Calibri"/>
        <family val="2"/>
        <scheme val="minor"/>
      </rPr>
      <t>, DESCARGA NO MESMO DIA APÓS A OPERAÇÃO.</t>
    </r>
  </si>
  <si>
    <t>ATENÇÃO: FILIAIS 18-04-30-21-33-36-48 E 13; CARREGAMENTO HOJE E ENTREGA NO DIA SEGUINTE NO PRIMEIRO HORÁRIO</t>
  </si>
  <si>
    <t>FILIAIS 27-15 E 07; CARREGAMENTO DOMINGO A NOITE E ENTREGA SEGUNDA-FEIRA NO PRIMEIRO HORÁRIO</t>
  </si>
  <si>
    <t>FILIAIS COM CARREGAMENTO Às 22HS DE DOMINGO, DESCARGA NA SEGUNDA-FEIRA NO PRIMEIRO HORÁRIO</t>
  </si>
  <si>
    <t xml:space="preserve">FRANCISCO IRAN </t>
  </si>
  <si>
    <t xml:space="preserve">FÁBIO P. /RODRIGO </t>
  </si>
  <si>
    <t>SIDNEI /DIEGO</t>
  </si>
  <si>
    <t>SÉRGIO JOSE DA SILVA*</t>
  </si>
  <si>
    <t>THIAGO</t>
  </si>
  <si>
    <t>KQR-2J11</t>
  </si>
  <si>
    <t>ALESSIO</t>
  </si>
  <si>
    <t>HLOG / DENIS/FABIO</t>
  </si>
  <si>
    <t>TTX-9E34</t>
  </si>
  <si>
    <t>TIAGO DA COSTA</t>
  </si>
  <si>
    <r>
      <rPr>
        <b/>
        <sz val="24"/>
        <rFont val="Calibri"/>
        <family val="2"/>
      </rPr>
      <t xml:space="preserve">CARLOS GONÇALVES </t>
    </r>
    <r>
      <rPr>
        <b/>
        <sz val="18"/>
        <rFont val="Calibri"/>
        <family val="2"/>
      </rPr>
      <t xml:space="preserve"> </t>
    </r>
    <r>
      <rPr>
        <b/>
        <i/>
        <sz val="18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</si>
  <si>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>FÁBIO BORGES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(2º CARRO)</t>
    </r>
  </si>
  <si>
    <r>
      <rPr>
        <b/>
        <sz val="24"/>
        <rFont val="Calibri"/>
        <family val="2"/>
        <scheme val="minor"/>
      </rPr>
      <t xml:space="preserve">FELIPE / PAULO CESAR </t>
    </r>
    <r>
      <rPr>
        <b/>
        <i/>
        <sz val="24"/>
        <color rgb="FFFF0000"/>
        <rFont val="Calibri"/>
        <family val="2"/>
        <scheme val="minor"/>
      </rPr>
      <t>(2º CARRO)</t>
    </r>
  </si>
  <si>
    <t xml:space="preserve">SIDNEI ANTONIO </t>
  </si>
  <si>
    <t>MEGA BOX 1</t>
  </si>
  <si>
    <t>MES-7F27</t>
  </si>
  <si>
    <t>ANTONIO</t>
  </si>
  <si>
    <t>15</t>
  </si>
  <si>
    <t>18</t>
  </si>
  <si>
    <t>DBB-8D19</t>
  </si>
  <si>
    <t>PAULO HENRIQUE</t>
  </si>
  <si>
    <r>
      <rPr>
        <b/>
        <sz val="24"/>
        <rFont val="Calibri"/>
        <family val="2"/>
        <scheme val="minor"/>
      </rPr>
      <t xml:space="preserve">DOUGLAS </t>
    </r>
    <r>
      <rPr>
        <b/>
        <i/>
        <sz val="24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</si>
  <si>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  <scheme val="minor"/>
      </rPr>
      <t xml:space="preserve">LUIZ / NILTON RODRIGUES </t>
    </r>
    <r>
      <rPr>
        <b/>
        <i/>
        <sz val="24"/>
        <color rgb="FFFF0000"/>
        <rFont val="Calibri"/>
        <family val="2"/>
        <scheme val="minor"/>
      </rPr>
      <t>(2º CARRO FL. 34)</t>
    </r>
  </si>
  <si>
    <r>
      <rPr>
        <b/>
        <sz val="24"/>
        <rFont val="Calibri"/>
        <family val="2"/>
      </rPr>
      <t xml:space="preserve">RAPHAEL / LUIZ ALVES </t>
    </r>
    <r>
      <rPr>
        <b/>
        <i/>
        <sz val="24"/>
        <color rgb="FFFF0000"/>
        <rFont val="Calibri"/>
        <family val="2"/>
      </rPr>
      <t>(1º CARRO)</t>
    </r>
  </si>
  <si>
    <r>
      <rPr>
        <b/>
        <sz val="24"/>
        <color theme="1"/>
        <rFont val="Calibri"/>
        <family val="2"/>
        <scheme val="minor"/>
      </rPr>
      <t xml:space="preserve">ALESSANDRA/ JONESON </t>
    </r>
    <r>
      <rPr>
        <b/>
        <i/>
        <sz val="24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</si>
  <si>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  <scheme val="minor"/>
      </rPr>
      <t xml:space="preserve">MILTON </t>
    </r>
    <r>
      <rPr>
        <b/>
        <i/>
        <sz val="24"/>
        <color rgb="FFFF0000"/>
        <rFont val="Calibri"/>
        <family val="2"/>
        <scheme val="minor"/>
      </rPr>
      <t>(2º carro fl. 10 e MEGA BOX 2)</t>
    </r>
  </si>
  <si>
    <t xml:space="preserve">DOUGLAS </t>
  </si>
  <si>
    <t>FÁBIO / LUIZ ALBERTO</t>
  </si>
  <si>
    <r>
      <rPr>
        <b/>
        <sz val="24"/>
        <rFont val="Calibri"/>
        <family val="2"/>
      </rPr>
      <t xml:space="preserve">MARCIO / ERIVELTON </t>
    </r>
    <r>
      <rPr>
        <b/>
        <i/>
        <sz val="18"/>
        <color rgb="FFFF0000"/>
        <rFont val="Calibri"/>
        <family val="2"/>
      </rPr>
      <t>(1º CARRO)</t>
    </r>
  </si>
  <si>
    <r>
      <rPr>
        <b/>
        <sz val="24"/>
        <rFont val="Calibri"/>
        <family val="2"/>
      </rPr>
      <t xml:space="preserve">WILLIAM </t>
    </r>
    <r>
      <rPr>
        <b/>
        <i/>
        <sz val="18"/>
        <color rgb="FFFF0000"/>
        <rFont val="Calibri"/>
        <family val="2"/>
      </rPr>
      <t>(2º CARRO)</t>
    </r>
  </si>
  <si>
    <t>TML-2D79</t>
  </si>
  <si>
    <r>
      <rPr>
        <b/>
        <sz val="24"/>
        <rFont val="Calibri"/>
        <family val="2"/>
        <scheme val="minor"/>
      </rPr>
      <t xml:space="preserve">HLOG / ALEXANDRE / JONATHAN MARCIO </t>
    </r>
    <r>
      <rPr>
        <b/>
        <i/>
        <sz val="18"/>
        <color rgb="FFFF0000"/>
        <rFont val="Calibri"/>
        <family val="2"/>
        <scheme val="minor"/>
      </rPr>
      <t>(1º CARRO FL. 09)</t>
    </r>
  </si>
  <si>
    <t>TML-7D61</t>
  </si>
  <si>
    <r>
      <rPr>
        <b/>
        <sz val="24"/>
        <rFont val="Calibri"/>
        <family val="2"/>
        <scheme val="minor"/>
      </rPr>
      <t>HLOG / SILVIO LEAL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(2º CARRO FL. 09)</t>
    </r>
  </si>
  <si>
    <r>
      <rPr>
        <b/>
        <sz val="24"/>
        <rFont val="Calibri"/>
        <family val="2"/>
      </rPr>
      <t xml:space="preserve">CARLOS GONÇALVES </t>
    </r>
    <r>
      <rPr>
        <b/>
        <i/>
        <sz val="24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</si>
  <si>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 xml:space="preserve">FÁBIO / RODRIGO </t>
    </r>
    <r>
      <rPr>
        <b/>
        <i/>
        <sz val="24"/>
        <color rgb="FFFF0000"/>
        <rFont val="Calibri"/>
        <family val="2"/>
        <scheme val="minor"/>
      </rPr>
      <t>(2º CARRO FL. 34)</t>
    </r>
  </si>
  <si>
    <t>LQA-5883</t>
  </si>
  <si>
    <t>EDUARDO</t>
  </si>
  <si>
    <r>
      <rPr>
        <b/>
        <sz val="24"/>
        <rFont val="Calibri"/>
        <family val="2"/>
      </rPr>
      <t>SÉRGIO JOSE DA SILVA</t>
    </r>
    <r>
      <rPr>
        <b/>
        <i/>
        <sz val="18"/>
        <color rgb="FFFF0000"/>
        <rFont val="Calibri"/>
        <family val="2"/>
      </rPr>
      <t xml:space="preserve"> (1º CARRO)</t>
    </r>
  </si>
  <si>
    <r>
      <rPr>
        <b/>
        <sz val="24"/>
        <rFont val="Calibri"/>
        <family val="2"/>
        <scheme val="minor"/>
      </rPr>
      <t>FÁBIO / VLADIMIR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(2º CARRO FL.34 )</t>
    </r>
  </si>
  <si>
    <t>AFY-7J99</t>
  </si>
  <si>
    <t>WANDERLEY</t>
  </si>
  <si>
    <t>EXTRA</t>
  </si>
  <si>
    <r>
      <rPr>
        <b/>
        <sz val="24"/>
        <rFont val="Calibri"/>
        <family val="2"/>
      </rPr>
      <t>MARCIO / ERIVELTON</t>
    </r>
    <r>
      <rPr>
        <b/>
        <i/>
        <sz val="18"/>
        <color rgb="FFFF0000"/>
        <rFont val="Calibri"/>
        <family val="2"/>
      </rPr>
      <t xml:space="preserve"> (1º CARRO)</t>
    </r>
  </si>
  <si>
    <r>
      <rPr>
        <b/>
        <sz val="24"/>
        <rFont val="Calibri"/>
        <family val="2"/>
        <scheme val="minor"/>
      </rPr>
      <t xml:space="preserve">WILLIAM </t>
    </r>
    <r>
      <rPr>
        <b/>
        <i/>
        <sz val="18"/>
        <color rgb="FFFF0000"/>
        <rFont val="Calibri"/>
        <family val="2"/>
        <scheme val="minor"/>
      </rPr>
      <t>(2º CARRO)</t>
    </r>
  </si>
  <si>
    <r>
      <rPr>
        <b/>
        <sz val="24"/>
        <rFont val="Calibri"/>
        <family val="2"/>
      </rPr>
      <t xml:space="preserve">CARLOS GONÇALVES </t>
    </r>
    <r>
      <rPr>
        <b/>
        <i/>
        <sz val="20"/>
        <color rgb="FFFF0000"/>
        <rFont val="Calibri"/>
        <family val="2"/>
      </rPr>
      <t xml:space="preserve"> (1º CARRO)</t>
    </r>
  </si>
  <si>
    <r>
      <rPr>
        <b/>
        <sz val="24"/>
        <rFont val="Calibri"/>
        <family val="2"/>
        <scheme val="minor"/>
      </rPr>
      <t xml:space="preserve">FÁBIO / RODRIGO </t>
    </r>
    <r>
      <rPr>
        <b/>
        <i/>
        <sz val="20"/>
        <color rgb="FFFF0000"/>
        <rFont val="Calibri"/>
        <family val="2"/>
        <scheme val="minor"/>
      </rPr>
      <t>(2º CARRO)</t>
    </r>
  </si>
  <si>
    <r>
      <rPr>
        <b/>
        <sz val="24"/>
        <rFont val="Calibri"/>
        <family val="2"/>
      </rPr>
      <t>EDUARDO</t>
    </r>
    <r>
      <rPr>
        <b/>
        <i/>
        <sz val="24"/>
        <color rgb="FFFF0000"/>
        <rFont val="Calibri"/>
        <family val="2"/>
      </rPr>
      <t xml:space="preserve"> (1º CARRO)</t>
    </r>
  </si>
  <si>
    <r>
      <rPr>
        <b/>
        <sz val="24"/>
        <rFont val="Calibri"/>
        <family val="2"/>
        <scheme val="minor"/>
      </rPr>
      <t>WANDERLEY</t>
    </r>
    <r>
      <rPr>
        <b/>
        <i/>
        <sz val="24"/>
        <color rgb="FFFF0000"/>
        <rFont val="Calibri"/>
        <family val="2"/>
        <scheme val="minor"/>
      </rPr>
      <t xml:space="preserve"> (2º CARRO MEGA BOX 2)</t>
    </r>
  </si>
  <si>
    <t>FÁBIO P. / LUIZ ALBERTO</t>
  </si>
  <si>
    <r>
      <rPr>
        <b/>
        <sz val="24"/>
        <rFont val="Calibri"/>
        <family val="2"/>
        <scheme val="minor"/>
      </rPr>
      <t xml:space="preserve">RAPHAEL /LUIZ ALVES 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</si>
  <si>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</rPr>
      <t xml:space="preserve">ALEX </t>
    </r>
    <r>
      <rPr>
        <b/>
        <i/>
        <sz val="20"/>
        <color rgb="FFFF0000"/>
        <rFont val="Calibri"/>
        <family val="2"/>
      </rPr>
      <t>(2º CARRO)</t>
    </r>
  </si>
  <si>
    <r>
      <rPr>
        <b/>
        <sz val="24"/>
        <rFont val="Calibri"/>
        <family val="2"/>
      </rPr>
      <t xml:space="preserve">MARCIO / ERIVELTON </t>
    </r>
    <r>
      <rPr>
        <b/>
        <i/>
        <sz val="20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</si>
  <si>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 xml:space="preserve">PAULO HENRIQUE </t>
    </r>
    <r>
      <rPr>
        <b/>
        <i/>
        <sz val="18"/>
        <color rgb="FFFF0000"/>
        <rFont val="Calibri"/>
        <family val="2"/>
        <scheme val="minor"/>
      </rPr>
      <t>(2º CARRO)</t>
    </r>
  </si>
  <si>
    <r>
      <rPr>
        <b/>
        <sz val="24"/>
        <rFont val="Calibri"/>
        <family val="2"/>
      </rPr>
      <t xml:space="preserve">RAPHAEL / LUIZ ALVES </t>
    </r>
    <r>
      <rPr>
        <b/>
        <i/>
        <sz val="18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</si>
  <si>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 xml:space="preserve">WANDERLEY </t>
    </r>
    <r>
      <rPr>
        <b/>
        <i/>
        <sz val="18"/>
        <color rgb="FFFF0000"/>
        <rFont val="Calibri"/>
        <family val="2"/>
        <scheme val="minor"/>
      </rPr>
      <t>(2º CARRO)</t>
    </r>
  </si>
  <si>
    <t>HLOG /MARCOS VINICIUS</t>
  </si>
  <si>
    <t>UBG-7F79</t>
  </si>
  <si>
    <t>HLOG /MARCIO LUIZ</t>
  </si>
  <si>
    <r>
      <rPr>
        <b/>
        <sz val="24"/>
        <rFont val="Calibri"/>
        <family val="2"/>
        <scheme val="minor"/>
      </rPr>
      <t>DOUGLAS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</si>
  <si>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</rPr>
      <t>MOBRICI</t>
    </r>
    <r>
      <rPr>
        <b/>
        <sz val="24"/>
        <color rgb="FFFF0000"/>
        <rFont val="Calibri"/>
        <family val="2"/>
      </rPr>
      <t xml:space="preserve">  </t>
    </r>
    <r>
      <rPr>
        <b/>
        <i/>
        <sz val="20"/>
        <color rgb="FFFF0000"/>
        <rFont val="Calibri"/>
        <family val="2"/>
      </rPr>
      <t>(2º CARRO)</t>
    </r>
  </si>
  <si>
    <r>
      <rPr>
        <b/>
        <sz val="24"/>
        <rFont val="Calibri"/>
        <family val="2"/>
      </rPr>
      <t xml:space="preserve">CARLOS GONÇALVES </t>
    </r>
    <r>
      <rPr>
        <b/>
        <i/>
        <sz val="24"/>
        <color rgb="FFFF0000"/>
        <rFont val="Calibri"/>
        <family val="2"/>
      </rPr>
      <t xml:space="preserve"> </t>
    </r>
    <r>
      <rPr>
        <b/>
        <i/>
        <sz val="18"/>
        <color rgb="FFFF0000"/>
        <rFont val="Calibri"/>
        <family val="2"/>
      </rPr>
      <t>(1º CARRO)</t>
    </r>
  </si>
  <si>
    <t>QSS-1E48</t>
  </si>
  <si>
    <r>
      <rPr>
        <b/>
        <sz val="24"/>
        <rFont val="Calibri"/>
        <family val="2"/>
        <scheme val="minor"/>
      </rPr>
      <t>HLOG / ALEXANDRE / MARCOS FERNANDO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</si>
  <si>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  <scheme val="minor"/>
      </rPr>
      <t>EDUARDO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(1º CARRO)</t>
    </r>
  </si>
  <si>
    <t>FKY-8H51</t>
  </si>
  <si>
    <t>HLOG /FABRICIO</t>
  </si>
  <si>
    <r>
      <rPr>
        <b/>
        <sz val="24"/>
        <rFont val="Calibri"/>
        <family val="2"/>
      </rPr>
      <t xml:space="preserve">EDUARDO </t>
    </r>
    <r>
      <rPr>
        <b/>
        <i/>
        <sz val="18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</si>
  <si>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>SIDNEI / AGNALDO</t>
    </r>
    <r>
      <rPr>
        <b/>
        <i/>
        <sz val="18"/>
        <color rgb="FFFF0000"/>
        <rFont val="Calibri"/>
        <family val="2"/>
        <scheme val="minor"/>
      </rPr>
      <t xml:space="preserve"> (2º CARRO)</t>
    </r>
  </si>
  <si>
    <t>LKV-5067</t>
  </si>
  <si>
    <t>RAPHAEL / DANIEL</t>
  </si>
  <si>
    <t>KXX-6922</t>
  </si>
  <si>
    <r>
      <rPr>
        <b/>
        <sz val="24"/>
        <rFont val="Calibri"/>
        <family val="2"/>
      </rPr>
      <t xml:space="preserve">PAULO ROBERTO  </t>
    </r>
    <r>
      <rPr>
        <b/>
        <i/>
        <sz val="20"/>
        <color rgb="FFFF0000"/>
        <rFont val="Calibri"/>
        <family val="2"/>
      </rPr>
      <t>(1º CARRO)</t>
    </r>
  </si>
  <si>
    <r>
      <rPr>
        <b/>
        <sz val="24"/>
        <rFont val="Calibri"/>
        <family val="2"/>
        <scheme val="minor"/>
      </rPr>
      <t>RAPHAEL / LUIZ ANTONIO ALVES</t>
    </r>
    <r>
      <rPr>
        <b/>
        <i/>
        <sz val="20"/>
        <color rgb="FFFF0000"/>
        <rFont val="Calibri"/>
        <family val="2"/>
        <scheme val="minor"/>
      </rPr>
      <t xml:space="preserve"> (2ºCARRO)</t>
    </r>
  </si>
  <si>
    <r>
      <rPr>
        <b/>
        <sz val="24"/>
        <rFont val="Calibri"/>
        <family val="2"/>
      </rPr>
      <t xml:space="preserve">EVERTON </t>
    </r>
    <r>
      <rPr>
        <b/>
        <i/>
        <sz val="18"/>
        <color rgb="FFFF0000"/>
        <rFont val="Calibri"/>
        <family val="2"/>
      </rPr>
      <t>(2º CARRO FL. 10 E MEGA BOX 2)</t>
    </r>
  </si>
  <si>
    <t>" Atenção, Filial: 18 - Copacabana, carregamento hoje de dia, descarga domingo às 07:00 hrs. "</t>
  </si>
  <si>
    <t>" Atenção, Filial: 04 - Copacabana, carregamento hoje de dia, descarga domingo às 06:00 hrs. "</t>
  </si>
  <si>
    <r>
      <rPr>
        <b/>
        <sz val="24"/>
        <rFont val="Calibri"/>
        <family val="2"/>
        <scheme val="minor"/>
      </rPr>
      <t>FÁBIO / VLADIMIR</t>
    </r>
    <r>
      <rPr>
        <b/>
        <sz val="18"/>
        <rFont val="Calibri"/>
        <family val="2"/>
        <scheme val="minor"/>
      </rPr>
      <t xml:space="preserve"> </t>
    </r>
  </si>
  <si>
    <t>" Atenção, Filial: 36, carregamento hoje de dia, descarga domingo às 06:00 hrs. "</t>
  </si>
  <si>
    <t>" Atenção, Filial:15 - Leblon, carregamento Domingo a noite, descarga segunda às 05:00 hrs. "</t>
  </si>
  <si>
    <r>
      <rPr>
        <b/>
        <sz val="24"/>
        <rFont val="Calibri"/>
        <family val="2"/>
        <scheme val="minor"/>
      </rPr>
      <t xml:space="preserve">RAPHAEL /LUIZ ALVES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</si>
  <si>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  <scheme val="minor"/>
      </rPr>
      <t>FÁBIO / VLADIMIR</t>
    </r>
    <r>
      <rPr>
        <b/>
        <sz val="18"/>
        <rFont val="Calibri"/>
        <family val="2"/>
        <scheme val="minor"/>
      </rPr>
      <t xml:space="preserve"> </t>
    </r>
    <r>
      <rPr>
        <b/>
        <i/>
        <sz val="18"/>
        <color rgb="FFFF0000"/>
        <rFont val="Calibri"/>
        <family val="2"/>
        <scheme val="minor"/>
      </rPr>
      <t>(2º CARRO)</t>
    </r>
  </si>
  <si>
    <t>" Atenção, Filial: 27 (Ipanema) e 07 (Leblon), carregamento Domingo a noite, descarga segunda às 05:00 hrs. "</t>
  </si>
  <si>
    <t>UBF-5G34</t>
  </si>
  <si>
    <t>HLOG / BRUNO PEREIRA</t>
  </si>
  <si>
    <t>SOBRA</t>
  </si>
  <si>
    <t>UBF-5G36</t>
  </si>
  <si>
    <t>HLOG / VICTOR</t>
  </si>
  <si>
    <t>HLOG / SILVIO LEAL</t>
  </si>
  <si>
    <r>
      <rPr>
        <b/>
        <sz val="26"/>
        <rFont val="Calibri"/>
        <family val="2"/>
        <scheme val="minor"/>
      </rPr>
      <t>PAULO HENRIQUE</t>
    </r>
    <r>
      <rPr>
        <b/>
        <i/>
        <sz val="22"/>
        <color rgb="FFFF0000"/>
        <rFont val="Calibri"/>
        <family val="2"/>
        <scheme val="minor"/>
      </rPr>
      <t xml:space="preserve"> (1º CARRO)</t>
    </r>
  </si>
  <si>
    <r>
      <rPr>
        <b/>
        <sz val="26"/>
        <rFont val="Calibri"/>
        <family val="2"/>
      </rPr>
      <t xml:space="preserve">MARCIO / ERIVELTON </t>
    </r>
    <r>
      <rPr>
        <b/>
        <i/>
        <sz val="20"/>
        <color rgb="FFFF0000"/>
        <rFont val="Calibri"/>
        <family val="2"/>
      </rPr>
      <t>(2º CARRO)</t>
    </r>
  </si>
  <si>
    <r>
      <rPr>
        <b/>
        <sz val="26"/>
        <rFont val="Calibri"/>
        <family val="2"/>
        <scheme val="minor"/>
      </rPr>
      <t>LUIZ / NILTON RODRIGUES</t>
    </r>
    <r>
      <rPr>
        <b/>
        <i/>
        <sz val="26"/>
        <color rgb="FFFF0000"/>
        <rFont val="Calibri"/>
        <family val="2"/>
        <scheme val="minor"/>
      </rPr>
      <t xml:space="preserve"> </t>
    </r>
    <r>
      <rPr>
        <b/>
        <i/>
        <sz val="22"/>
        <color rgb="FFFF0000"/>
        <rFont val="Calibri"/>
        <family val="2"/>
        <scheme val="minor"/>
      </rPr>
      <t>(1º CARRO)</t>
    </r>
  </si>
  <si>
    <r>
      <rPr>
        <b/>
        <sz val="26"/>
        <rFont val="Calibri"/>
        <family val="2"/>
        <scheme val="minor"/>
      </rPr>
      <t>WANDERLEY</t>
    </r>
    <r>
      <rPr>
        <b/>
        <sz val="22"/>
        <rFont val="Calibri"/>
        <family val="2"/>
        <scheme val="minor"/>
      </rPr>
      <t xml:space="preserve"> </t>
    </r>
    <r>
      <rPr>
        <b/>
        <i/>
        <sz val="22"/>
        <color rgb="FFFF0000"/>
        <rFont val="Calibri"/>
        <family val="2"/>
        <scheme val="minor"/>
      </rPr>
      <t>(2º CARRO FL. 08)</t>
    </r>
  </si>
  <si>
    <r>
      <rPr>
        <b/>
        <sz val="26"/>
        <rFont val="Calibri"/>
        <family val="2"/>
      </rPr>
      <t xml:space="preserve">MOBRICI </t>
    </r>
    <r>
      <rPr>
        <b/>
        <i/>
        <sz val="22"/>
        <color rgb="FFFF0000"/>
        <rFont val="Calibri"/>
        <family val="2"/>
      </rPr>
      <t>(1º CARRO)</t>
    </r>
  </si>
  <si>
    <t>KWS-8205</t>
  </si>
  <si>
    <r>
      <rPr>
        <b/>
        <sz val="26"/>
        <rFont val="Calibri"/>
        <family val="2"/>
      </rPr>
      <t xml:space="preserve">RAPHAEL / LUIZ ALVES </t>
    </r>
    <r>
      <rPr>
        <b/>
        <i/>
        <sz val="22"/>
        <color rgb="FFFF0000"/>
        <rFont val="Calibri"/>
        <family val="2"/>
      </rPr>
      <t>(1º CARRO)</t>
    </r>
  </si>
  <si>
    <r>
      <rPr>
        <b/>
        <sz val="26"/>
        <rFont val="Calibri"/>
        <family val="2"/>
        <scheme val="minor"/>
      </rPr>
      <t xml:space="preserve">ALEX </t>
    </r>
    <r>
      <rPr>
        <b/>
        <i/>
        <sz val="22"/>
        <color rgb="FFFF0000"/>
        <rFont val="Calibri"/>
        <family val="2"/>
        <scheme val="minor"/>
      </rPr>
      <t xml:space="preserve"> (2º CARRO FL. 34)</t>
    </r>
  </si>
  <si>
    <r>
      <rPr>
        <b/>
        <sz val="26"/>
        <rFont val="Calibri"/>
        <family val="2"/>
      </rPr>
      <t xml:space="preserve">TIAGO DA COSTA </t>
    </r>
    <r>
      <rPr>
        <b/>
        <i/>
        <sz val="26"/>
        <color rgb="FFFF0000"/>
        <rFont val="Calibri"/>
        <family val="2"/>
      </rPr>
      <t>(1º CARRO)</t>
    </r>
  </si>
  <si>
    <r>
      <rPr>
        <b/>
        <sz val="26"/>
        <rFont val="Calibri"/>
        <family val="2"/>
      </rPr>
      <t xml:space="preserve">JOSUE DOS SANTOS </t>
    </r>
    <r>
      <rPr>
        <b/>
        <i/>
        <sz val="20"/>
        <color rgb="FFFF0000"/>
        <rFont val="Calibri"/>
        <family val="2"/>
      </rPr>
      <t>(2º CARRO FL. 19)</t>
    </r>
  </si>
  <si>
    <t>UBF-5G32</t>
  </si>
  <si>
    <t>HLOG / FABIO</t>
  </si>
  <si>
    <t>LTB-1B31</t>
  </si>
  <si>
    <t>DOUGLAS / CARLOS DOS SANTOS</t>
  </si>
  <si>
    <t>TML-3B11</t>
  </si>
  <si>
    <t>UBO-5E05</t>
  </si>
  <si>
    <t>HLOG /DENIS</t>
  </si>
  <si>
    <r>
      <rPr>
        <b/>
        <sz val="26"/>
        <rFont val="Calibri"/>
        <family val="2"/>
        <scheme val="minor"/>
      </rPr>
      <t xml:space="preserve">MARCIO / ERIVELTON </t>
    </r>
    <r>
      <rPr>
        <b/>
        <i/>
        <sz val="20"/>
        <color rgb="FFFF0000"/>
        <rFont val="Calibri"/>
        <family val="2"/>
        <scheme val="minor"/>
      </rPr>
      <t>(1º CARRO)</t>
    </r>
  </si>
  <si>
    <r>
      <rPr>
        <b/>
        <sz val="26"/>
        <rFont val="Calibri"/>
        <family val="2"/>
      </rPr>
      <t xml:space="preserve">WILLIAM </t>
    </r>
    <r>
      <rPr>
        <b/>
        <i/>
        <sz val="18"/>
        <color rgb="FFFF0000"/>
        <rFont val="Calibri"/>
        <family val="2"/>
      </rPr>
      <t>(2º CARRO)</t>
    </r>
  </si>
  <si>
    <r>
      <rPr>
        <b/>
        <sz val="26"/>
        <rFont val="Calibri"/>
        <family val="2"/>
      </rPr>
      <t xml:space="preserve">HLOG / FABIO </t>
    </r>
    <r>
      <rPr>
        <b/>
        <i/>
        <sz val="18"/>
        <color rgb="FFFF0000"/>
        <rFont val="Calibri"/>
        <family val="2"/>
      </rPr>
      <t>(3º CARRO)</t>
    </r>
  </si>
  <si>
    <r>
      <rPr>
        <b/>
        <sz val="26"/>
        <rFont val="Calibri"/>
        <family val="2"/>
        <scheme val="minor"/>
      </rPr>
      <t xml:space="preserve">FÁBIO / RODRIGO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</si>
  <si>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6"/>
        <rFont val="Calibri"/>
        <family val="2"/>
      </rPr>
      <t>CARLOS GONÇALVES</t>
    </r>
    <r>
      <rPr>
        <b/>
        <sz val="20"/>
        <rFont val="Calibri"/>
        <family val="2"/>
      </rPr>
      <t xml:space="preserve">  </t>
    </r>
    <r>
      <rPr>
        <b/>
        <i/>
        <sz val="20"/>
        <color rgb="FFFF0000"/>
        <rFont val="Calibri"/>
        <family val="2"/>
      </rPr>
      <t>(2º CARRO)</t>
    </r>
  </si>
  <si>
    <t>UFW-OH63</t>
  </si>
  <si>
    <t>HLOG /MARCOS FERNANDO</t>
  </si>
  <si>
    <r>
      <rPr>
        <b/>
        <sz val="26"/>
        <rFont val="Calibri"/>
        <family val="2"/>
      </rPr>
      <t>SÉRGIO JOSE DA SILVA</t>
    </r>
    <r>
      <rPr>
        <b/>
        <i/>
        <sz val="26"/>
        <color rgb="FFFF0000"/>
        <rFont val="Calibri"/>
        <family val="2"/>
      </rPr>
      <t xml:space="preserve"> </t>
    </r>
    <r>
      <rPr>
        <b/>
        <i/>
        <sz val="20"/>
        <color rgb="FFFF0000"/>
        <rFont val="Calibri"/>
        <family val="2"/>
      </rPr>
      <t>(1º CARRO)</t>
    </r>
  </si>
  <si>
    <r>
      <rPr>
        <b/>
        <sz val="26"/>
        <rFont val="Calibri"/>
        <family val="2"/>
        <scheme val="minor"/>
      </rPr>
      <t xml:space="preserve">MILTON </t>
    </r>
    <r>
      <rPr>
        <b/>
        <i/>
        <sz val="20"/>
        <color rgb="FFFF0000"/>
        <rFont val="Calibri"/>
        <family val="2"/>
        <scheme val="minor"/>
      </rPr>
      <t>(2º CARRO)</t>
    </r>
  </si>
  <si>
    <r>
      <rPr>
        <b/>
        <sz val="26"/>
        <rFont val="Calibri"/>
        <family val="2"/>
      </rPr>
      <t xml:space="preserve">RAPHAEL / LUIZ ALVES </t>
    </r>
    <r>
      <rPr>
        <b/>
        <i/>
        <sz val="20"/>
        <color rgb="FFFF0000"/>
        <rFont val="Calibri"/>
        <family val="2"/>
      </rPr>
      <t>(1º CARRO)</t>
    </r>
  </si>
  <si>
    <t>KYQ-4846</t>
  </si>
  <si>
    <r>
      <rPr>
        <b/>
        <sz val="26"/>
        <rFont val="Calibri"/>
        <family val="2"/>
        <scheme val="minor"/>
      </rPr>
      <t xml:space="preserve">FABIO / VLADIMIR </t>
    </r>
    <r>
      <rPr>
        <b/>
        <i/>
        <sz val="20"/>
        <color rgb="FFFF0000"/>
        <rFont val="Calibri"/>
        <family val="2"/>
        <scheme val="minor"/>
      </rPr>
      <t>(2º CARRO)</t>
    </r>
  </si>
  <si>
    <t xml:space="preserve">FABIO </t>
  </si>
  <si>
    <t>PXA-9727</t>
  </si>
  <si>
    <r>
      <rPr>
        <b/>
        <sz val="26"/>
        <rFont val="Calibri"/>
        <family val="2"/>
        <scheme val="minor"/>
      </rPr>
      <t xml:space="preserve">WILLIAM / EDMILSON JOSÉ </t>
    </r>
    <r>
      <rPr>
        <b/>
        <i/>
        <sz val="20"/>
        <color rgb="FFFF0000"/>
        <rFont val="Calibri"/>
        <family val="2"/>
        <scheme val="minor"/>
      </rPr>
      <t>(2º CARRO)</t>
    </r>
  </si>
  <si>
    <t>KNC-5J75</t>
  </si>
  <si>
    <r>
      <rPr>
        <b/>
        <sz val="26"/>
        <rFont val="Calibri"/>
        <family val="2"/>
      </rPr>
      <t>EDUARDO</t>
    </r>
    <r>
      <rPr>
        <b/>
        <i/>
        <sz val="26"/>
        <color rgb="FFFF0000"/>
        <rFont val="Calibri"/>
        <family val="2"/>
      </rPr>
      <t xml:space="preserve"> </t>
    </r>
    <r>
      <rPr>
        <b/>
        <i/>
        <sz val="18"/>
        <color rgb="FFFF0000"/>
        <rFont val="Calibri"/>
        <family val="2"/>
      </rPr>
      <t>(1º CARRO)</t>
    </r>
  </si>
  <si>
    <r>
      <rPr>
        <b/>
        <sz val="26"/>
        <color theme="1"/>
        <rFont val="Calibri"/>
        <family val="2"/>
        <scheme val="minor"/>
      </rPr>
      <t xml:space="preserve">ALESSANDRA/ JONESON </t>
    </r>
    <r>
      <rPr>
        <b/>
        <i/>
        <sz val="26"/>
        <color rgb="FFFF0000"/>
        <rFont val="Calibri"/>
        <family val="2"/>
        <scheme val="minor"/>
      </rPr>
      <t xml:space="preserve"> </t>
    </r>
    <r>
      <rPr>
        <b/>
        <i/>
        <sz val="16"/>
        <color rgb="FFFF0000"/>
        <rFont val="Calibri"/>
        <family val="2"/>
        <scheme val="minor"/>
      </rPr>
      <t>(2º CARRO FL. 19)</t>
    </r>
  </si>
  <si>
    <t xml:space="preserve">EVERTON </t>
  </si>
  <si>
    <r>
      <rPr>
        <b/>
        <sz val="26"/>
        <rFont val="Calibri"/>
        <family val="2"/>
      </rPr>
      <t xml:space="preserve">PAULO ROBERTO </t>
    </r>
    <r>
      <rPr>
        <b/>
        <i/>
        <sz val="20"/>
        <color rgb="FFFF0000"/>
        <rFont val="Calibri"/>
        <family val="2"/>
      </rPr>
      <t>(1º CARRO)</t>
    </r>
  </si>
  <si>
    <r>
      <rPr>
        <b/>
        <sz val="24"/>
        <rFont val="Calibri"/>
        <family val="2"/>
      </rPr>
      <t xml:space="preserve">RAPHAEL / DANIEL </t>
    </r>
    <r>
      <rPr>
        <b/>
        <i/>
        <sz val="16"/>
        <color rgb="FFFF0000"/>
        <rFont val="Calibri"/>
        <family val="2"/>
      </rPr>
      <t>(2º CARRO FL. 17)</t>
    </r>
  </si>
  <si>
    <r>
      <rPr>
        <b/>
        <sz val="26"/>
        <rFont val="Calibri"/>
        <family val="2"/>
        <scheme val="minor"/>
      </rPr>
      <t xml:space="preserve">RAPHAEL / LUIZ ANTONIO ALVES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</si>
  <si>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4"/>
        <rFont val="Calibri"/>
        <family val="2"/>
        <scheme val="minor"/>
      </rPr>
      <t xml:space="preserve">ANTONIO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</si>
  <si>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6"/>
        <rFont val="Calibri"/>
        <family val="2"/>
        <scheme val="minor"/>
      </rPr>
      <t>FELIPE / PAULO CESAR</t>
    </r>
    <r>
      <rPr>
        <b/>
        <sz val="20"/>
        <rFont val="Calibri"/>
        <family val="2"/>
        <scheme val="minor"/>
      </rPr>
      <t xml:space="preserve"> </t>
    </r>
    <r>
      <rPr>
        <b/>
        <i/>
        <sz val="20"/>
        <color rgb="FFFF0000"/>
        <rFont val="Calibri"/>
        <family val="2"/>
        <scheme val="minor"/>
      </rPr>
      <t>(2º CARRO FL.10 E MEGA BOX 2)</t>
    </r>
  </si>
  <si>
    <r>
      <rPr>
        <b/>
        <sz val="26"/>
        <rFont val="Calibri"/>
        <family val="2"/>
        <scheme val="minor"/>
      </rPr>
      <t xml:space="preserve">LUIZ / NILTON RODRIGUES </t>
    </r>
    <r>
      <rPr>
        <b/>
        <i/>
        <sz val="18"/>
        <color rgb="FFFF0000"/>
        <rFont val="Calibri"/>
        <family val="2"/>
        <scheme val="minor"/>
      </rPr>
      <t>(1º CARRO)</t>
    </r>
  </si>
  <si>
    <r>
      <rPr>
        <b/>
        <sz val="26"/>
        <color theme="1"/>
        <rFont val="Calibri"/>
        <family val="2"/>
        <scheme val="minor"/>
      </rPr>
      <t xml:space="preserve">RENATO </t>
    </r>
    <r>
      <rPr>
        <b/>
        <i/>
        <sz val="16"/>
        <color rgb="FFFF0000"/>
        <rFont val="Calibri"/>
        <family val="2"/>
        <scheme val="minor"/>
      </rPr>
      <t>(2º CARRO FL. 20)</t>
    </r>
  </si>
  <si>
    <r>
      <rPr>
        <b/>
        <sz val="26"/>
        <rFont val="Calibri"/>
        <family val="2"/>
        <scheme val="minor"/>
      </rPr>
      <t>HLOG / FABRICIO</t>
    </r>
    <r>
      <rPr>
        <b/>
        <i/>
        <sz val="18"/>
        <color rgb="FFFF0000"/>
        <rFont val="Calibri"/>
        <family val="2"/>
        <scheme val="minor"/>
      </rPr>
      <t xml:space="preserve"> (1º CARRO)</t>
    </r>
  </si>
  <si>
    <r>
      <rPr>
        <b/>
        <sz val="26"/>
        <rFont val="Calibri"/>
        <family val="2"/>
        <scheme val="minor"/>
      </rPr>
      <t>JHONATA FREIRE DA SILVA</t>
    </r>
    <r>
      <rPr>
        <b/>
        <sz val="20"/>
        <color rgb="FFFF0000"/>
        <rFont val="Calibri"/>
        <family val="2"/>
        <scheme val="minor"/>
      </rPr>
      <t xml:space="preserve"> (2º CARRO MEGA BOX 1)</t>
    </r>
  </si>
  <si>
    <t>" Atenção, Filial 33 - Humaitá, carregamento hoje de dia, descarga domingo às 06:00 hrs. "</t>
  </si>
  <si>
    <t>HLOG / MATHEUS</t>
  </si>
  <si>
    <t>CÓDIGO</t>
  </si>
  <si>
    <t>RELAÇÃO DE CARROS P/ESCALA DIÁRIA</t>
  </si>
  <si>
    <t>KQY-7G46</t>
  </si>
  <si>
    <t>HENRIQUE</t>
  </si>
  <si>
    <t>EZU-9J51</t>
  </si>
  <si>
    <t xml:space="preserve">HLOG / </t>
  </si>
  <si>
    <t>AMW-4D50</t>
  </si>
  <si>
    <t>EZU-9D26</t>
  </si>
  <si>
    <t>HLOG / GILSON</t>
  </si>
  <si>
    <t>EZU-9D27</t>
  </si>
  <si>
    <t>HLOG / GUILHERME</t>
  </si>
  <si>
    <t>LMF-2049</t>
  </si>
  <si>
    <t>LUIZ CESAR JORGE</t>
  </si>
  <si>
    <t>KNS-8D16</t>
  </si>
  <si>
    <t xml:space="preserve">JOSE ROBERTO / ZOZIMO </t>
  </si>
  <si>
    <t>LSG-8J63</t>
  </si>
  <si>
    <t>DANILO</t>
  </si>
  <si>
    <t>RJN-9F68</t>
  </si>
  <si>
    <t>JULIO PEREIRA</t>
  </si>
  <si>
    <t>LTX-5542</t>
  </si>
  <si>
    <t>ANTONIO MARCIO</t>
  </si>
  <si>
    <t>MSK-3752</t>
  </si>
  <si>
    <t>ALISSON</t>
  </si>
  <si>
    <t>KXA-5966</t>
  </si>
  <si>
    <t>SANDRO NAZARETH</t>
  </si>
  <si>
    <t>KPT-5B20</t>
  </si>
  <si>
    <t>KVT-5427</t>
  </si>
  <si>
    <t>RAFAEL</t>
  </si>
  <si>
    <t>LSX-7C72</t>
  </si>
  <si>
    <t>ANDRE BENEDITO</t>
  </si>
  <si>
    <t>LSA-0H39</t>
  </si>
  <si>
    <t>FABIO / VLADIMIR</t>
  </si>
  <si>
    <t>LSL-9670</t>
  </si>
  <si>
    <t xml:space="preserve">ROBERTO </t>
  </si>
  <si>
    <t>HLOG / MATHEUS SANDES</t>
  </si>
  <si>
    <t>HLOG / LUCIANO MARINHO / DENIS BEZERRA</t>
  </si>
  <si>
    <t>HLOG / ANTONIO ERALDO</t>
  </si>
  <si>
    <t>TML-1D82</t>
  </si>
  <si>
    <t>HLOG / DANIEL CAVALCANTE / ALLAN</t>
  </si>
  <si>
    <t>QST-4C52</t>
  </si>
  <si>
    <t>HLOG / ADRIANO / GUILHERME</t>
  </si>
  <si>
    <t>FKY8H51</t>
  </si>
  <si>
    <t xml:space="preserve">HLOG / JOSE ROBERTO / FABRICIO </t>
  </si>
  <si>
    <t>HLOG / ALEXANDRE / JONATHAN MARCIO</t>
  </si>
  <si>
    <t>QSZ-9A20</t>
  </si>
  <si>
    <t>HLOG / DENIS BEZERRA (PAX)</t>
  </si>
  <si>
    <t>HLOG / ALLAN (PAX)</t>
  </si>
  <si>
    <t>HLOG / FABRICIO (PAX)</t>
  </si>
  <si>
    <t>TJX-6F34</t>
  </si>
  <si>
    <t>TML-6D96</t>
  </si>
  <si>
    <t>SVB-1F74</t>
  </si>
  <si>
    <t>LOJAS DO SUPERMERCADO ZONA SUL</t>
  </si>
  <si>
    <r>
      <rPr>
        <b/>
        <sz val="12"/>
        <rFont val="Calibri"/>
        <family val="2"/>
        <scheme val="minor"/>
      </rPr>
      <t xml:space="preserve">LOJA 01 - </t>
    </r>
    <r>
      <rPr>
        <b/>
        <i/>
        <sz val="12"/>
        <color rgb="FFFF0000"/>
        <rFont val="Calibri"/>
        <family val="2"/>
        <scheme val="minor"/>
      </rPr>
      <t>IPANEMA</t>
    </r>
  </si>
  <si>
    <t>RUA VISCONDE DE PIRAJÁ, 118/122/124 E 128-A - IPANEMA - RJ -             CEP: 22410-000 - TEL.: 2523-0099</t>
  </si>
  <si>
    <r>
      <rPr>
        <b/>
        <sz val="12"/>
        <rFont val="Calibri"/>
        <family val="2"/>
        <scheme val="minor"/>
      </rPr>
      <t xml:space="preserve">LOJA 27 - </t>
    </r>
    <r>
      <rPr>
        <b/>
        <i/>
        <sz val="12"/>
        <color rgb="FFFF0000"/>
        <rFont val="Calibri"/>
        <family val="2"/>
        <scheme val="minor"/>
      </rPr>
      <t>IPANEMA</t>
    </r>
  </si>
  <si>
    <t>RUA VISCONDE DE PIRAJÁ, 577 - LOJA A - IPANEMA - RJ -                            CEP: 22410-003 - TEL.: 2540-5279</t>
  </si>
  <si>
    <r>
      <rPr>
        <b/>
        <sz val="12"/>
        <rFont val="Calibri"/>
        <family val="2"/>
        <scheme val="minor"/>
      </rPr>
      <t xml:space="preserve">LOJA 02 - </t>
    </r>
    <r>
      <rPr>
        <b/>
        <i/>
        <sz val="12"/>
        <color rgb="FFFF0000"/>
        <rFont val="Calibri"/>
        <family val="2"/>
        <scheme val="minor"/>
      </rPr>
      <t>IPANEMA</t>
    </r>
  </si>
  <si>
    <t>RUA VISCONDE DE PIRAJÁ, 25 A/B - IPANEMA - RJ -                                     CEP: 2241-001 - TEL.: 2523-8005</t>
  </si>
  <si>
    <r>
      <rPr>
        <b/>
        <sz val="12"/>
        <rFont val="Calibri"/>
        <family val="2"/>
        <scheme val="minor"/>
      </rPr>
      <t xml:space="preserve">LOJA 28 -           </t>
    </r>
    <r>
      <rPr>
        <b/>
        <i/>
        <sz val="12"/>
        <color rgb="FFFF0000"/>
        <rFont val="Calibri"/>
        <family val="2"/>
        <scheme val="minor"/>
      </rPr>
      <t>URCA</t>
    </r>
  </si>
  <si>
    <t>RUA MARECHAL CANTUÁRIA, 178 - A - URCA - RJ - CEP: 22291-000 -           TEL.: 2295-1570</t>
  </si>
  <si>
    <r>
      <rPr>
        <b/>
        <sz val="12"/>
        <rFont val="Calibri"/>
        <family val="2"/>
        <scheme val="minor"/>
      </rPr>
      <t xml:space="preserve">LOJA 03 - </t>
    </r>
    <r>
      <rPr>
        <b/>
        <i/>
        <sz val="12"/>
        <color rgb="FFFF0000"/>
        <rFont val="Calibri"/>
        <family val="2"/>
        <scheme val="minor"/>
      </rPr>
      <t>COPACABANA</t>
    </r>
  </si>
  <si>
    <t>RUA FRANCISCO SÁ, 35 - C/D/E/F/G/H/I/J E 101 - SS - COPACABANA - RJ   - CEP: 22080-010 - TEL.: 2523-4846</t>
  </si>
  <si>
    <r>
      <rPr>
        <b/>
        <sz val="12"/>
        <rFont val="Calibri"/>
        <family val="2"/>
        <scheme val="minor"/>
      </rPr>
      <t xml:space="preserve">LOJA 29 - </t>
    </r>
    <r>
      <rPr>
        <b/>
        <i/>
        <sz val="12"/>
        <color rgb="FFFF0000"/>
        <rFont val="Calibri"/>
        <family val="2"/>
        <scheme val="minor"/>
      </rPr>
      <t>FLAMENGO</t>
    </r>
  </si>
  <si>
    <t>RUA MARQUÊS DE ABRANTES, 181 - FLAMENGO - RJ -                                 CEP: 22230-060 - TEL.: 2553-0300</t>
  </si>
  <si>
    <r>
      <rPr>
        <b/>
        <sz val="12"/>
        <rFont val="Calibri"/>
        <family val="2"/>
        <scheme val="minor"/>
      </rPr>
      <t xml:space="preserve">LOJA 04 - </t>
    </r>
    <r>
      <rPr>
        <b/>
        <i/>
        <sz val="12"/>
        <color rgb="FFFF0000"/>
        <rFont val="Calibri"/>
        <family val="2"/>
        <scheme val="minor"/>
      </rPr>
      <t>COPACABANA</t>
    </r>
  </si>
  <si>
    <t>AV. RAINHA ELIZABETH, 325/333 - COPACABANA - RJ -                                CEP: 22081-030 - TEL.: 2523-0209</t>
  </si>
  <si>
    <r>
      <rPr>
        <b/>
        <sz val="12"/>
        <rFont val="Calibri"/>
        <family val="2"/>
        <scheme val="minor"/>
      </rPr>
      <t xml:space="preserve">LOJA 30 - </t>
    </r>
    <r>
      <rPr>
        <b/>
        <i/>
        <sz val="12"/>
        <color rgb="FFFF0000"/>
        <rFont val="Calibri"/>
        <family val="2"/>
        <scheme val="minor"/>
      </rPr>
      <t>LARANJEIRAS</t>
    </r>
  </si>
  <si>
    <t>RUA ESTEVES JÚNIOR, 36 - LARANJEIRAS (PRAÇA SÃO SALVADOR) - RJ - CEP: 22231-160 - TEL.: 2285-1089</t>
  </si>
  <si>
    <r>
      <rPr>
        <b/>
        <sz val="12"/>
        <rFont val="Calibri"/>
        <family val="2"/>
        <scheme val="minor"/>
      </rPr>
      <t xml:space="preserve">LOJA 05 - </t>
    </r>
    <r>
      <rPr>
        <b/>
        <i/>
        <sz val="12"/>
        <color rgb="FFFF0000"/>
        <rFont val="Calibri"/>
        <family val="2"/>
        <scheme val="minor"/>
      </rPr>
      <t>COPACABANA</t>
    </r>
  </si>
  <si>
    <t>AV. NOSSA SENHORA DE COPACABANA, 1.369 - LOJA A - COPACABANA - RJ - CEP: 22070-010 - TEL.: 2523-6068</t>
  </si>
  <si>
    <r>
      <rPr>
        <b/>
        <sz val="12"/>
        <rFont val="Calibri"/>
        <family val="2"/>
        <scheme val="minor"/>
      </rPr>
      <t xml:space="preserve">LOJA 1129-0 - </t>
    </r>
    <r>
      <rPr>
        <b/>
        <i/>
        <sz val="12"/>
        <color rgb="FFFF0000"/>
        <rFont val="Calibri"/>
        <family val="2"/>
        <scheme val="minor"/>
      </rPr>
      <t>OLARIA</t>
    </r>
  </si>
  <si>
    <t>RUA COMANDANTE VERGUEIRO DA CRUZ - OLARIA, 380 -                       TEL.: 3924-8084</t>
  </si>
  <si>
    <r>
      <rPr>
        <b/>
        <sz val="12"/>
        <rFont val="Calibri"/>
        <family val="2"/>
        <scheme val="minor"/>
      </rPr>
      <t xml:space="preserve">LOJA 06 - </t>
    </r>
    <r>
      <rPr>
        <b/>
        <i/>
        <sz val="12"/>
        <color rgb="FFFF0000"/>
        <rFont val="Calibri"/>
        <family val="2"/>
        <scheme val="minor"/>
      </rPr>
      <t>GÁVEA</t>
    </r>
  </si>
  <si>
    <t>AV. RODRIGO OTÁVIO, 269 - LOJA B/C - GÁVEA - RJ -                                    CEP: 22450-060 - TEL.: 2511-1599</t>
  </si>
  <si>
    <r>
      <rPr>
        <b/>
        <sz val="12"/>
        <rFont val="Calibri"/>
        <family val="2"/>
        <scheme val="minor"/>
      </rPr>
      <t xml:space="preserve">LOJA 31 - </t>
    </r>
    <r>
      <rPr>
        <b/>
        <i/>
        <sz val="12"/>
        <color rgb="FFFF0000"/>
        <rFont val="Calibri"/>
        <family val="2"/>
        <scheme val="minor"/>
      </rPr>
      <t>JD.BOTÂNICO</t>
    </r>
  </si>
  <si>
    <t>RUA JARDIM BOTÂNICO, 81 - JARDIM BOTÂNICO - RJ -                                 CEP: 22470-050 - TEL.: 2286-2174</t>
  </si>
  <si>
    <r>
      <rPr>
        <b/>
        <sz val="12"/>
        <rFont val="Calibri"/>
        <family val="2"/>
        <scheme val="minor"/>
      </rPr>
      <t xml:space="preserve">LOJA 07 - </t>
    </r>
    <r>
      <rPr>
        <b/>
        <i/>
        <sz val="12"/>
        <color rgb="FFFF0000"/>
        <rFont val="Calibri"/>
        <family val="2"/>
        <scheme val="minor"/>
      </rPr>
      <t>LEBLON</t>
    </r>
  </si>
  <si>
    <t>RUA DIAS FERREIRA, 290 - LOJA A/B - LEBLON - RJ -                                     CEP: 22431-050 - TEL.: 2259-4699</t>
  </si>
  <si>
    <r>
      <rPr>
        <b/>
        <sz val="12"/>
        <rFont val="Calibri"/>
        <family val="2"/>
        <scheme val="minor"/>
      </rPr>
      <t xml:space="preserve">LOJA 32 - </t>
    </r>
    <r>
      <rPr>
        <b/>
        <i/>
        <sz val="12"/>
        <color rgb="FFFF0000"/>
        <rFont val="Calibri"/>
        <family val="2"/>
        <scheme val="minor"/>
      </rPr>
      <t>LARANJEIRAS</t>
    </r>
  </si>
  <si>
    <t>RUA DAS LARANJEIRAS, 215/219 - LARANJEIRAS - RJ -                                 CEP: 22240-004 - TEL.: 2246-0658</t>
  </si>
  <si>
    <r>
      <rPr>
        <b/>
        <sz val="12"/>
        <rFont val="Calibri"/>
        <family val="2"/>
        <scheme val="minor"/>
      </rPr>
      <t xml:space="preserve">LOJA 08 - </t>
    </r>
    <r>
      <rPr>
        <b/>
        <i/>
        <sz val="12"/>
        <color rgb="FFFF0000"/>
        <rFont val="Calibri"/>
        <family val="2"/>
        <scheme val="minor"/>
      </rPr>
      <t>IPANEMA</t>
    </r>
  </si>
  <si>
    <t>RUA VISCONDE DE PIRAJÁ, 504-508 - IPANEMA - RJ -                                   CEP: 22410-002 - TEL.: 2540-7878</t>
  </si>
  <si>
    <r>
      <rPr>
        <b/>
        <sz val="12"/>
        <rFont val="Calibri"/>
        <family val="2"/>
        <scheme val="minor"/>
      </rPr>
      <t xml:space="preserve">LOJA 33 - </t>
    </r>
    <r>
      <rPr>
        <b/>
        <i/>
        <sz val="12"/>
        <color rgb="FFFF0000"/>
        <rFont val="Calibri"/>
        <family val="2"/>
        <scheme val="minor"/>
      </rPr>
      <t>HUMAITÁ</t>
    </r>
  </si>
  <si>
    <t>RUA HUMAITÁ, 110 - HUMAITÁ - RJ - CEP: 2247-050 -                                   TEL.: 2246-0658</t>
  </si>
  <si>
    <r>
      <rPr>
        <b/>
        <sz val="12"/>
        <rFont val="Calibri"/>
        <family val="2"/>
        <scheme val="minor"/>
      </rPr>
      <t xml:space="preserve">LOJA 09 - </t>
    </r>
    <r>
      <rPr>
        <b/>
        <i/>
        <sz val="12"/>
        <color rgb="FFFF0000"/>
        <rFont val="Calibri"/>
        <family val="2"/>
        <scheme val="minor"/>
      </rPr>
      <t>IPANEMA</t>
    </r>
  </si>
  <si>
    <t>RUA PRUDENTE DE MORAES, 49 - IPANEMA - RJ -                                          CEP: 22420-040 - TEL.: 2267-0361</t>
  </si>
  <si>
    <r>
      <rPr>
        <b/>
        <sz val="12"/>
        <rFont val="Calibri"/>
        <family val="2"/>
        <scheme val="minor"/>
      </rPr>
      <t xml:space="preserve">LOJA 34 - </t>
    </r>
    <r>
      <rPr>
        <b/>
        <i/>
        <sz val="12"/>
        <color rgb="FFFF0000"/>
        <rFont val="Calibri"/>
        <family val="2"/>
        <scheme val="minor"/>
      </rPr>
      <t>BARRA</t>
    </r>
  </si>
  <si>
    <t>AVENIDA DAS AMÉRICAS, 7870 - BARRA DA TIJUCA - RJ - CEP: 22793-020 - TEL.: 2499-3849</t>
  </si>
  <si>
    <r>
      <rPr>
        <b/>
        <sz val="12"/>
        <rFont val="Calibri"/>
        <family val="2"/>
        <scheme val="minor"/>
      </rPr>
      <t xml:space="preserve">LOJA 10 - </t>
    </r>
    <r>
      <rPr>
        <b/>
        <i/>
        <sz val="12"/>
        <color rgb="FFFF0000"/>
        <rFont val="Calibri"/>
        <family val="2"/>
        <scheme val="minor"/>
      </rPr>
      <t>RECREIO</t>
    </r>
  </si>
  <si>
    <t>AV. DAS AMÉRICAS, 16.237 - KM 16 - RECREIO -                                            CEP: 22790-701 - TEL.: 2437-6533</t>
  </si>
  <si>
    <r>
      <rPr>
        <b/>
        <sz val="12"/>
        <rFont val="Calibri"/>
        <family val="2"/>
        <scheme val="minor"/>
      </rPr>
      <t xml:space="preserve">LOJA 35 - </t>
    </r>
    <r>
      <rPr>
        <b/>
        <i/>
        <sz val="12"/>
        <color rgb="FFFF0000"/>
        <rFont val="Calibri"/>
        <family val="2"/>
        <scheme val="minor"/>
      </rPr>
      <t>BARRA</t>
    </r>
  </si>
  <si>
    <t>AV. LÚCIO COSTA, 4.700 - SETOR 1 - LOJA A - BARRA DA TIJUCA - RJ - CEP: 22630-011 - TEL.: 2434-5879</t>
  </si>
  <si>
    <r>
      <rPr>
        <b/>
        <sz val="12"/>
        <rFont val="Calibri"/>
        <family val="2"/>
        <scheme val="minor"/>
      </rPr>
      <t xml:space="preserve">LOJA 11 - </t>
    </r>
    <r>
      <rPr>
        <b/>
        <i/>
        <sz val="12"/>
        <color rgb="FFFF0000"/>
        <rFont val="Calibri"/>
        <family val="2"/>
        <scheme val="minor"/>
      </rPr>
      <t>LEBLON</t>
    </r>
  </si>
  <si>
    <t>RUA CARLOS GÓES, 344 - LEBLON - RJ - CEP: 22440-040 -                             TEL.: 2512-2200</t>
  </si>
  <si>
    <r>
      <rPr>
        <b/>
        <sz val="12"/>
        <rFont val="Calibri"/>
        <family val="2"/>
        <scheme val="minor"/>
      </rPr>
      <t xml:space="preserve">LOJA 36 - </t>
    </r>
    <r>
      <rPr>
        <b/>
        <i/>
        <sz val="12"/>
        <color rgb="FFFF0000"/>
        <rFont val="Calibri"/>
        <family val="2"/>
        <scheme val="minor"/>
      </rPr>
      <t>BOTAFOGO</t>
    </r>
  </si>
  <si>
    <t>RUA ARNALDO QUINTELA, 70 - BOTAFOGO - RJ - CEP: 22280-070 -              TEL.: 3172-3636</t>
  </si>
  <si>
    <r>
      <rPr>
        <b/>
        <sz val="12"/>
        <rFont val="Calibri"/>
        <family val="2"/>
        <scheme val="minor"/>
      </rPr>
      <t xml:space="preserve">LOJA 12 -            </t>
    </r>
    <r>
      <rPr>
        <b/>
        <i/>
        <sz val="12"/>
        <color rgb="FFFF0000"/>
        <rFont val="Calibri"/>
        <family val="2"/>
        <scheme val="minor"/>
      </rPr>
      <t>LEME</t>
    </r>
  </si>
  <si>
    <t>AVENIDA ATLÂNTICA, 866 - LEME - RJ - CEP: 22010-000 -                              TEL.: 2542-6949</t>
  </si>
  <si>
    <r>
      <rPr>
        <b/>
        <sz val="12"/>
        <rFont val="Calibri"/>
        <family val="2"/>
        <scheme val="minor"/>
      </rPr>
      <t xml:space="preserve">LOJA 37 - </t>
    </r>
    <r>
      <rPr>
        <b/>
        <i/>
        <sz val="12"/>
        <color rgb="FFFF0000"/>
        <rFont val="Calibri"/>
        <family val="2"/>
        <scheme val="minor"/>
      </rPr>
      <t>BOTAFOGO</t>
    </r>
  </si>
  <si>
    <t>RUA SÃO JOÃO BATISTA, 27 - LOJA A/B/C/D - BOTAFOGO - RJ -                  CEP: 22270-030 - TEL.: 2135-2009</t>
  </si>
  <si>
    <r>
      <rPr>
        <b/>
        <sz val="12"/>
        <rFont val="Calibri"/>
        <family val="2"/>
        <scheme val="minor"/>
      </rPr>
      <t xml:space="preserve">LOJA 13 - </t>
    </r>
    <r>
      <rPr>
        <b/>
        <i/>
        <sz val="12"/>
        <color rgb="FFFF0000"/>
        <rFont val="Calibri"/>
        <family val="2"/>
        <scheme val="minor"/>
      </rPr>
      <t>ANGRA</t>
    </r>
  </si>
  <si>
    <t>PRAIA DO JARDIM, S/Nº - LOJA 121 - ANGRA DOS REIS (SHOPPING PIRATAS MALL) - RJ - CEP: 23900-000 - TELEFONE.: (24) 3367-2000</t>
  </si>
  <si>
    <r>
      <rPr>
        <b/>
        <sz val="12"/>
        <rFont val="Calibri"/>
        <family val="2"/>
        <scheme val="minor"/>
      </rPr>
      <t xml:space="preserve">LOJA 38 - </t>
    </r>
    <r>
      <rPr>
        <b/>
        <i/>
        <sz val="12"/>
        <color rgb="FFFF0000"/>
        <rFont val="Calibri"/>
        <family val="2"/>
        <scheme val="minor"/>
      </rPr>
      <t>COPACABANA</t>
    </r>
  </si>
  <si>
    <t>RUA DIAS DA ROCHA, 29 - COPACABANA - RJ - CEP: 22051-020 -                 TEL.: 3268-0141</t>
  </si>
  <si>
    <r>
      <rPr>
        <b/>
        <sz val="12"/>
        <rFont val="Calibri"/>
        <family val="2"/>
        <scheme val="minor"/>
      </rPr>
      <t xml:space="preserve">LOJA 14 - </t>
    </r>
    <r>
      <rPr>
        <b/>
        <i/>
        <sz val="12"/>
        <color rgb="FFFF0000"/>
        <rFont val="Calibri"/>
        <family val="2"/>
        <scheme val="minor"/>
      </rPr>
      <t>LEBLON</t>
    </r>
  </si>
  <si>
    <t>RUA BARTOLOMEU MITRE, 705 - LEBLON - RJ - CEP: 22431-000 -                 TEL.: 2512-2200</t>
  </si>
  <si>
    <r>
      <rPr>
        <b/>
        <sz val="12"/>
        <rFont val="Calibri"/>
        <family val="2"/>
        <scheme val="minor"/>
      </rPr>
      <t xml:space="preserve">LOJA 39 - </t>
    </r>
    <r>
      <rPr>
        <b/>
        <i/>
        <sz val="12"/>
        <color rgb="FFFF0000"/>
        <rFont val="Calibri"/>
        <family val="2"/>
        <scheme val="minor"/>
      </rPr>
      <t>CENTRO</t>
    </r>
  </si>
  <si>
    <t>RUA DA ALFÂNDEGA, 33 - CENTRO - TEL.: 2209-1499</t>
  </si>
  <si>
    <r>
      <rPr>
        <b/>
        <sz val="12"/>
        <rFont val="Calibri"/>
        <family val="2"/>
        <scheme val="minor"/>
      </rPr>
      <t xml:space="preserve">LOJA 15 - </t>
    </r>
    <r>
      <rPr>
        <b/>
        <i/>
        <sz val="12"/>
        <color rgb="FFFF0000"/>
        <rFont val="Calibri"/>
        <family val="2"/>
        <scheme val="minor"/>
      </rPr>
      <t>LEBLON</t>
    </r>
  </si>
  <si>
    <t>RUA GENERAL ARTIGAS, 325 - LEBLON - RJ - CEP: 22450-010 -                     TEL.: 2274-3828</t>
  </si>
  <si>
    <r>
      <rPr>
        <b/>
        <sz val="12"/>
        <rFont val="Calibri"/>
        <family val="2"/>
        <scheme val="minor"/>
      </rPr>
      <t xml:space="preserve">LOJA 40 - </t>
    </r>
    <r>
      <rPr>
        <b/>
        <i/>
        <sz val="12"/>
        <color rgb="FFFF0000"/>
        <rFont val="Calibri"/>
        <family val="2"/>
        <scheme val="minor"/>
      </rPr>
      <t>IPANEMA</t>
    </r>
  </si>
  <si>
    <t xml:space="preserve"> RUA BARÃO TORRE,220 - IPANEMA - TEL.: 2122-0093</t>
  </si>
  <si>
    <r>
      <rPr>
        <b/>
        <sz val="12"/>
        <rFont val="Calibri"/>
        <family val="2"/>
        <scheme val="minor"/>
      </rPr>
      <t xml:space="preserve">LOJA 16 - </t>
    </r>
    <r>
      <rPr>
        <b/>
        <i/>
        <sz val="12"/>
        <color rgb="FFFF0000"/>
        <rFont val="Calibri"/>
        <family val="2"/>
        <scheme val="minor"/>
      </rPr>
      <t>LEBLON</t>
    </r>
  </si>
  <si>
    <t>RUA DIAS FERREIRA, 320 - LOJA A/B/C/D/E/F - LEBLON - RJ -                      CEP: 22431-080 - TEL.: 2529-6889</t>
  </si>
  <si>
    <r>
      <rPr>
        <b/>
        <sz val="12"/>
        <rFont val="Calibri"/>
        <family val="2"/>
        <scheme val="minor"/>
      </rPr>
      <t xml:space="preserve">LOJA 41 - </t>
    </r>
    <r>
      <rPr>
        <b/>
        <i/>
        <sz val="12"/>
        <color rgb="FFFF0000"/>
        <rFont val="Calibri"/>
        <family val="2"/>
        <scheme val="minor"/>
      </rPr>
      <t>LARANJEIRAS</t>
    </r>
  </si>
  <si>
    <t>RUA SÃO SALVADOR, 87 - LARANJEIRAS - TEL.: 2122-0094</t>
  </si>
  <si>
    <r>
      <rPr>
        <b/>
        <sz val="12"/>
        <rFont val="Calibri"/>
        <family val="2"/>
        <scheme val="minor"/>
      </rPr>
      <t xml:space="preserve">LOJA 17 - </t>
    </r>
    <r>
      <rPr>
        <b/>
        <i/>
        <sz val="12"/>
        <color rgb="FFFF0000"/>
        <rFont val="Calibri"/>
        <family val="2"/>
        <scheme val="minor"/>
      </rPr>
      <t>BARRA</t>
    </r>
  </si>
  <si>
    <t>AV. DAS AMÉRICAS, 3.665 A - BARRA DA TIJUCA (SHOPPING BARRA SQUARE EXPANSÃO) - RJ - CEP: 22631-003 -                                                             TELEFONE.: 3325-1177</t>
  </si>
  <si>
    <r>
      <rPr>
        <b/>
        <sz val="12"/>
        <rFont val="Calibri"/>
        <family val="2"/>
        <scheme val="minor"/>
      </rPr>
      <t xml:space="preserve">LOJA 42 - </t>
    </r>
    <r>
      <rPr>
        <b/>
        <i/>
        <sz val="12"/>
        <color rgb="FFFF0000"/>
        <rFont val="Calibri"/>
        <family val="2"/>
        <scheme val="minor"/>
      </rPr>
      <t>BOTAFOGO</t>
    </r>
  </si>
  <si>
    <t>RUA SÃO CLEMENTE, Nº.00114 - BLC. 1 - LOJA A - BOTAFOGO - CEP: 22260-002</t>
  </si>
  <si>
    <r>
      <rPr>
        <b/>
        <sz val="12"/>
        <rFont val="Calibri"/>
        <family val="2"/>
        <scheme val="minor"/>
      </rPr>
      <t xml:space="preserve">LOJA 18 - </t>
    </r>
    <r>
      <rPr>
        <b/>
        <i/>
        <sz val="12"/>
        <color rgb="FFFF0000"/>
        <rFont val="Calibri"/>
        <family val="2"/>
        <scheme val="minor"/>
      </rPr>
      <t>COPACABANA</t>
    </r>
  </si>
  <si>
    <t>AV. NOSSA SENHORA DE COPACABANA, 1.200 - LOJA A - COPACABANA - RJ - CEP: 22070-010 - TEL.: 2523-0816</t>
  </si>
  <si>
    <r>
      <rPr>
        <b/>
        <sz val="12"/>
        <rFont val="Calibri"/>
        <family val="2"/>
        <scheme val="minor"/>
      </rPr>
      <t xml:space="preserve">LOJA 43 - </t>
    </r>
    <r>
      <rPr>
        <b/>
        <i/>
        <sz val="12"/>
        <color rgb="FFFF0000"/>
        <rFont val="Calibri"/>
        <family val="2"/>
        <scheme val="minor"/>
      </rPr>
      <t>BARRA (PENÍNSULA)</t>
    </r>
  </si>
  <si>
    <t>AVENIDA FLAMBOYANTS DA PENÍNSULA, Nº.00855 - LOJAS 108 / 109 - BARRA DA TIJUCA - CEP: 22776-070</t>
  </si>
  <si>
    <r>
      <rPr>
        <b/>
        <sz val="12"/>
        <rFont val="Calibri"/>
        <family val="2"/>
        <scheme val="minor"/>
      </rPr>
      <t xml:space="preserve">LOJA 19 - </t>
    </r>
    <r>
      <rPr>
        <b/>
        <i/>
        <sz val="12"/>
        <color rgb="FFFF0000"/>
        <rFont val="Calibri"/>
        <family val="2"/>
        <scheme val="minor"/>
      </rPr>
      <t>COPACABANA</t>
    </r>
  </si>
  <si>
    <t>AV. NOSSA SENHORA DE COPACABANA, 936 - COPACABANA - RJ -            CEP: 22206-000 - TEL.: 2256-4477</t>
  </si>
  <si>
    <r>
      <rPr>
        <b/>
        <sz val="12"/>
        <rFont val="Calibri"/>
        <family val="2"/>
        <scheme val="minor"/>
      </rPr>
      <t xml:space="preserve">LOJA 44 - </t>
    </r>
    <r>
      <rPr>
        <b/>
        <i/>
        <sz val="12"/>
        <color rgb="FFFF0000"/>
        <rFont val="Calibri"/>
        <family val="2"/>
        <scheme val="minor"/>
      </rPr>
      <t>BARRA</t>
    </r>
  </si>
  <si>
    <t>AVENIDA OLEGÁRIO MACIEL, Nº.00293 - LOJAS A/B/C - BARRA DA TIJUCA - CEP: 22621-200</t>
  </si>
  <si>
    <r>
      <rPr>
        <b/>
        <sz val="12"/>
        <rFont val="Calibri"/>
        <family val="2"/>
        <scheme val="minor"/>
      </rPr>
      <t xml:space="preserve">LOJA 20 - </t>
    </r>
    <r>
      <rPr>
        <b/>
        <i/>
        <sz val="12"/>
        <color rgb="FFFF0000"/>
        <rFont val="Calibri"/>
        <family val="2"/>
        <scheme val="minor"/>
      </rPr>
      <t>BOTAFOGO</t>
    </r>
  </si>
  <si>
    <t>RUA BAMBINA, 36 - BOTAFOGO - RJ - CEP: 2251-050 -                                  TEL.: 2246-3828</t>
  </si>
  <si>
    <r>
      <rPr>
        <b/>
        <sz val="12"/>
        <rFont val="Calibri"/>
        <family val="2"/>
        <scheme val="minor"/>
      </rPr>
      <t xml:space="preserve">LOJA- 45 - </t>
    </r>
    <r>
      <rPr>
        <b/>
        <i/>
        <sz val="12"/>
        <color rgb="FFFF0000"/>
        <rFont val="Calibri"/>
        <family val="2"/>
        <scheme val="minor"/>
      </rPr>
      <t>FLAMENGO</t>
    </r>
  </si>
  <si>
    <t>RUA MACHADO DE ASSIS, 40 - FLAMENGO - TEL.: 99703-9980</t>
  </si>
  <si>
    <r>
      <rPr>
        <b/>
        <sz val="12"/>
        <rFont val="Calibri"/>
        <family val="2"/>
        <scheme val="minor"/>
      </rPr>
      <t xml:space="preserve">LOJA 21 - </t>
    </r>
    <r>
      <rPr>
        <b/>
        <i/>
        <sz val="12"/>
        <color rgb="FFFF0000"/>
        <rFont val="Calibri"/>
        <family val="2"/>
        <scheme val="minor"/>
      </rPr>
      <t>FLAMENGO</t>
    </r>
  </si>
  <si>
    <t>RUA SENADOR VERGUEIRO, 51 A/B - FLAMENGO - RJ -                                CEP: 22230-000 - TEL.: 2558-0458</t>
  </si>
  <si>
    <r>
      <rPr>
        <b/>
        <sz val="12"/>
        <rFont val="Calibri"/>
        <family val="2"/>
        <scheme val="minor"/>
      </rPr>
      <t xml:space="preserve">LOJA 46 </t>
    </r>
    <r>
      <rPr>
        <b/>
        <i/>
        <sz val="12"/>
        <color rgb="FFFF0000"/>
        <rFont val="Calibri"/>
        <family val="2"/>
        <scheme val="minor"/>
      </rPr>
      <t>BOTAFOGO</t>
    </r>
  </si>
  <si>
    <t>RUA VOLUNTÁRIOS DA PÁTRIA, 190  - BOTAFOGO - TEL.:</t>
  </si>
  <si>
    <r>
      <rPr>
        <b/>
        <sz val="12"/>
        <rFont val="Calibri"/>
        <family val="2"/>
        <scheme val="minor"/>
      </rPr>
      <t xml:space="preserve">LOJA 22 - </t>
    </r>
    <r>
      <rPr>
        <b/>
        <i/>
        <sz val="12"/>
        <color rgb="FFFF0000"/>
        <rFont val="Calibri"/>
        <family val="2"/>
        <scheme val="minor"/>
      </rPr>
      <t>S.CONRADO</t>
    </r>
  </si>
  <si>
    <t>ESTRADA DA GÁVEA, 870 - SÃO CONRADO - RJ - CEP: 22610-008 -              TEL.: 3323-8002</t>
  </si>
  <si>
    <r>
      <rPr>
        <b/>
        <sz val="12"/>
        <rFont val="Calibri"/>
        <family val="2"/>
        <scheme val="minor"/>
      </rPr>
      <t xml:space="preserve">LOJA 48 - </t>
    </r>
    <r>
      <rPr>
        <b/>
        <i/>
        <sz val="12"/>
        <color rgb="FFFF0000"/>
        <rFont val="Calibri"/>
        <family val="2"/>
        <scheme val="minor"/>
      </rPr>
      <t>RECREIO</t>
    </r>
  </si>
  <si>
    <t>AV. DAS AMÉRICAS, 18.001             - RECREIO -                                            CEP: 22790-704 - TEL.: 96704-2050</t>
  </si>
  <si>
    <r>
      <rPr>
        <b/>
        <sz val="12"/>
        <rFont val="Calibri"/>
        <family val="2"/>
        <scheme val="minor"/>
      </rPr>
      <t xml:space="preserve">LOJA 23 - </t>
    </r>
    <r>
      <rPr>
        <b/>
        <i/>
        <sz val="12"/>
        <color rgb="FFFF0000"/>
        <rFont val="Calibri"/>
        <family val="2"/>
        <scheme val="minor"/>
      </rPr>
      <t>BARRA</t>
    </r>
  </si>
  <si>
    <t>AV. ÉRICO VERÍSSIMO, 565 - BARRA DA TIJUCA (JARDIM OCEÂNICO) - RJ - CEP: 22021-180 - TELEFONE.: 2493-5557</t>
  </si>
  <si>
    <r>
      <rPr>
        <b/>
        <sz val="12"/>
        <rFont val="Calibri"/>
        <family val="2"/>
        <scheme val="minor"/>
      </rPr>
      <t xml:space="preserve">CENTRAL (CD) - </t>
    </r>
    <r>
      <rPr>
        <b/>
        <i/>
        <sz val="12"/>
        <color rgb="FFFF0000"/>
        <rFont val="Calibri"/>
        <family val="2"/>
        <scheme val="minor"/>
      </rPr>
      <t>OLARIA</t>
    </r>
  </si>
  <si>
    <t>RUA COMANDANTE VERGUEIRO DA CRUZ, 226 - OLARIA -                     CEP: 21021-020 - TEL.: 2209-1212</t>
  </si>
  <si>
    <r>
      <rPr>
        <b/>
        <sz val="12"/>
        <rFont val="Calibri"/>
        <family val="2"/>
        <scheme val="minor"/>
      </rPr>
      <t xml:space="preserve">LOJA 24 - </t>
    </r>
    <r>
      <rPr>
        <b/>
        <i/>
        <sz val="12"/>
        <color rgb="FFFF0000"/>
        <rFont val="Calibri"/>
        <family val="2"/>
        <scheme val="minor"/>
      </rPr>
      <t>PENHA</t>
    </r>
  </si>
  <si>
    <t>RUA DO FEIJÃO, 721 - MERCADO SÃO SEBASTIÃO - PENHA - RJ                      CEP: 21011-050 - TEL.:2112-8000</t>
  </si>
  <si>
    <r>
      <rPr>
        <b/>
        <sz val="12"/>
        <rFont val="Calibri"/>
        <family val="2"/>
        <scheme val="minor"/>
      </rPr>
      <t xml:space="preserve">GARAGEM - </t>
    </r>
    <r>
      <rPr>
        <b/>
        <i/>
        <sz val="12"/>
        <color rgb="FFFF0000"/>
        <rFont val="Calibri"/>
        <family val="2"/>
        <scheme val="minor"/>
      </rPr>
      <t>PENHA</t>
    </r>
  </si>
  <si>
    <t>RUA DA BATATA, 132 - PENHA - TEL.: 3889-6465</t>
  </si>
  <si>
    <t>OUTROS CONTATOS</t>
  </si>
  <si>
    <t>ESCRITÓRIO CENTRAL - TEL.: 2209-1212/2122-0010                                                  DEPÓSITO CENTRAL - TEL.: 2209-1238</t>
  </si>
  <si>
    <r>
      <rPr>
        <b/>
        <sz val="12"/>
        <rFont val="Calibri"/>
        <family val="2"/>
        <scheme val="minor"/>
      </rPr>
      <t xml:space="preserve">MEGA BOX - </t>
    </r>
    <r>
      <rPr>
        <b/>
        <i/>
        <sz val="12"/>
        <color rgb="FFFF0000"/>
        <rFont val="Calibri"/>
        <family val="2"/>
        <scheme val="minor"/>
      </rPr>
      <t>OLARIA</t>
    </r>
  </si>
  <si>
    <t>ENTRADA 1 - AV. BRASIL, 9561 - OLARIA - RJ - TEL.: 2209-1299</t>
  </si>
  <si>
    <r>
      <rPr>
        <b/>
        <sz val="12"/>
        <rFont val="Calibri"/>
        <family val="2"/>
        <scheme val="minor"/>
      </rPr>
      <t xml:space="preserve">LOJA 25 - </t>
    </r>
    <r>
      <rPr>
        <b/>
        <i/>
        <sz val="12"/>
        <color rgb="FFFF0000"/>
        <rFont val="Calibri"/>
        <family val="2"/>
        <scheme val="minor"/>
      </rPr>
      <t>JD.BOTÂNICO</t>
    </r>
  </si>
  <si>
    <t>RUA PACHECO LEÃO, 16 - JARDIM BOTÂNICO - RJ -  CEP: 2246-030 -           TEL.: 3874-4551</t>
  </si>
  <si>
    <t>ENTRADA 2 - RUA COMANDANTE VERGUEIRO DA CRUZ, 380 - OLARIA - RJ - TEL.: 2209-1299</t>
  </si>
  <si>
    <r>
      <rPr>
        <b/>
        <sz val="12"/>
        <rFont val="Calibri"/>
        <family val="2"/>
        <scheme val="minor"/>
      </rPr>
      <t xml:space="preserve">LOJA 26 - </t>
    </r>
    <r>
      <rPr>
        <b/>
        <i/>
        <sz val="12"/>
        <color rgb="FFFF0000"/>
        <rFont val="Calibri"/>
        <family val="2"/>
        <scheme val="minor"/>
      </rPr>
      <t>COPACABANA</t>
    </r>
  </si>
  <si>
    <t>AV. NOSSA SENHORA DE COPACABANA, 591/595 - COPACABANA - RJ - CEP: 22020-001 - TEL.: 2257-1172</t>
  </si>
  <si>
    <r>
      <rPr>
        <b/>
        <sz val="12"/>
        <rFont val="Calibri"/>
        <family val="2"/>
        <scheme val="minor"/>
      </rPr>
      <t xml:space="preserve">MEGA BOX 2 - </t>
    </r>
    <r>
      <rPr>
        <b/>
        <i/>
        <sz val="12"/>
        <color rgb="FFFF0000"/>
        <rFont val="Calibri"/>
        <family val="2"/>
        <scheme val="minor"/>
      </rPr>
      <t>RECREIO</t>
    </r>
  </si>
  <si>
    <t>AV. DAS AMÉRICAS, 13.700  - KM 16 - RECREIO -                                            CEP: 22790-702 - TEL.: 2209-1236</t>
  </si>
  <si>
    <t>MOTORISTA / FRETEIRO</t>
  </si>
  <si>
    <t>CODIGO</t>
  </si>
  <si>
    <t>NÚMERO</t>
  </si>
  <si>
    <t>21 96482-1182</t>
  </si>
  <si>
    <t>INACIO</t>
  </si>
  <si>
    <t>21 99783-8805</t>
  </si>
  <si>
    <t>21 97128-0177</t>
  </si>
  <si>
    <t>21 98178-3587</t>
  </si>
  <si>
    <t>21 99902-2317</t>
  </si>
  <si>
    <t>21 97500-1959</t>
  </si>
  <si>
    <t>21 99926-7666</t>
  </si>
  <si>
    <t>21 96479-7299</t>
  </si>
  <si>
    <t>21 97024-8687</t>
  </si>
  <si>
    <t>21 99639-4766</t>
  </si>
  <si>
    <t>EDUARDO (DONO CAMINHÃO)</t>
  </si>
  <si>
    <t>21 98251-4006</t>
  </si>
  <si>
    <t xml:space="preserve">JOSENILDO (MOTORISTA) </t>
  </si>
  <si>
    <t>21 97077-4428</t>
  </si>
  <si>
    <t>21 96444-5931</t>
  </si>
  <si>
    <t>21 96436-3371</t>
  </si>
  <si>
    <t xml:space="preserve">EDMILSON JOSÉ </t>
  </si>
  <si>
    <t>21 96452-8208</t>
  </si>
  <si>
    <t>VLADIMIR</t>
  </si>
  <si>
    <t>21 98438-5215</t>
  </si>
  <si>
    <t>RODRIGO</t>
  </si>
  <si>
    <t>21 98820-0316</t>
  </si>
  <si>
    <t>RAPHAEL</t>
  </si>
  <si>
    <t>21 98355-0164</t>
  </si>
  <si>
    <t>LUIZ ALVES</t>
  </si>
  <si>
    <t xml:space="preserve">21 98270-8475 </t>
  </si>
  <si>
    <t>21 96557-1646</t>
  </si>
  <si>
    <t>DANIEL</t>
  </si>
  <si>
    <t>21 97128-6884</t>
  </si>
  <si>
    <t>LUCIANO</t>
  </si>
  <si>
    <t>21 99386-0023</t>
  </si>
  <si>
    <t>ANDERSON</t>
  </si>
  <si>
    <t>21 96880-4375</t>
  </si>
  <si>
    <t>21 99279-0908</t>
  </si>
  <si>
    <t>PAULO CESAR</t>
  </si>
  <si>
    <t>21 98715-1034</t>
  </si>
  <si>
    <t>21 97041-0653</t>
  </si>
  <si>
    <t>21 96474-9960</t>
  </si>
  <si>
    <t>21 97913-9631</t>
  </si>
  <si>
    <t>21 98108-3608</t>
  </si>
  <si>
    <t>AGNALDO</t>
  </si>
  <si>
    <t>21 97634-6693</t>
  </si>
  <si>
    <t>21 97413-9505</t>
  </si>
  <si>
    <t>21 99730-9265</t>
  </si>
  <si>
    <t>21 96438-9826</t>
  </si>
  <si>
    <t xml:space="preserve"> 21 98318-9641</t>
  </si>
  <si>
    <t>21 97969-7277</t>
  </si>
  <si>
    <t>21 96454-4857</t>
  </si>
  <si>
    <t>21 96436-6028</t>
  </si>
  <si>
    <t>21 99627-5812</t>
  </si>
  <si>
    <t>21 97025-4114</t>
  </si>
  <si>
    <t>CARLOS</t>
  </si>
  <si>
    <t>21 97422-1604</t>
  </si>
  <si>
    <t xml:space="preserve">LUIZ ANTONIO ALVES </t>
  </si>
  <si>
    <t>21 96429-4757</t>
  </si>
  <si>
    <t xml:space="preserve"> JONESON</t>
  </si>
  <si>
    <t>21 98916-9337</t>
  </si>
  <si>
    <t>ALEXANDER</t>
  </si>
  <si>
    <t xml:space="preserve"> 21 99998-4008</t>
  </si>
  <si>
    <t>21 97000-9232</t>
  </si>
  <si>
    <t>21 96571-9387</t>
  </si>
  <si>
    <t>TONELAGEM - ZONA SUL</t>
  </si>
  <si>
    <t>MATRIZ</t>
  </si>
  <si>
    <t>FRETE</t>
  </si>
  <si>
    <t>PERÍODO:</t>
  </si>
  <si>
    <t>(MATRIZ)</t>
  </si>
  <si>
    <t>PERÍODO</t>
  </si>
  <si>
    <t>DATA</t>
  </si>
  <si>
    <t>DIA SEMANA</t>
  </si>
  <si>
    <t>ZONA SUL (MATRIZ)</t>
  </si>
  <si>
    <t>TOTAL DE CARROS UTILIZADOS</t>
  </si>
  <si>
    <t>MÉDIA DIÁRIA</t>
  </si>
  <si>
    <t>TOTAL DE PESO</t>
  </si>
  <si>
    <t>KILOS / CARROS</t>
  </si>
  <si>
    <t>SISTEMA</t>
  </si>
  <si>
    <t>QUINTA-FEIRA</t>
  </si>
  <si>
    <t>SEXTA-FEIRA</t>
  </si>
  <si>
    <t>SÁBADO</t>
  </si>
  <si>
    <t>DOMINGO</t>
  </si>
  <si>
    <t>SEGUNDA-FEIRA</t>
  </si>
  <si>
    <t>TERÇA-FEIRA</t>
  </si>
  <si>
    <t>QUARTA-FEIRA</t>
  </si>
  <si>
    <t>TOTAL ( MENSAL )</t>
  </si>
  <si>
    <t>TOTAL GERAL</t>
  </si>
  <si>
    <t>TOTAL SISTEMA</t>
  </si>
  <si>
    <t>MÉDIA ( MENSAL )</t>
  </si>
  <si>
    <t>SISTEMA HLOG</t>
  </si>
  <si>
    <t>RELAÇÃO DE CARREGAMENTO - ZONA SUL</t>
  </si>
  <si>
    <t>DOCAS / FILIAIS</t>
  </si>
  <si>
    <r>
      <rPr>
        <b/>
        <sz val="16"/>
        <color theme="1"/>
        <rFont val="Calibri"/>
        <family val="2"/>
        <scheme val="minor"/>
      </rPr>
      <t>DATA:</t>
    </r>
    <r>
      <rPr>
        <b/>
        <sz val="14"/>
        <color theme="1"/>
        <rFont val="Calibri"/>
        <family val="2"/>
        <scheme val="minor"/>
      </rPr>
      <t xml:space="preserve">                     /                     /                    .</t>
    </r>
  </si>
  <si>
    <t>DOCA</t>
  </si>
  <si>
    <t xml:space="preserve">DOCA </t>
  </si>
  <si>
    <t xml:space="preserve">  </t>
  </si>
  <si>
    <t/>
  </si>
  <si>
    <t>QNT</t>
  </si>
  <si>
    <t>PROPIETÁRIO / MOTORISTA</t>
  </si>
  <si>
    <t>CARRO</t>
  </si>
  <si>
    <t>RAMPA</t>
  </si>
  <si>
    <t>REFRI</t>
  </si>
  <si>
    <t>CONTATOS</t>
  </si>
  <si>
    <t>PESO</t>
  </si>
  <si>
    <t xml:space="preserve">                             </t>
  </si>
  <si>
    <t>Julio /Inacio</t>
  </si>
  <si>
    <t>c/rampa</t>
  </si>
  <si>
    <t>SIM</t>
  </si>
  <si>
    <t>96482-1182/99783-8805</t>
  </si>
  <si>
    <t>Luíz Júnior</t>
  </si>
  <si>
    <t>Toco</t>
  </si>
  <si>
    <t>NÃO</t>
  </si>
  <si>
    <t>97020-8002</t>
  </si>
  <si>
    <t>AKZ-2745</t>
  </si>
  <si>
    <t>Luíz Júnior/Nilton</t>
  </si>
  <si>
    <t>97020-8002/99679-1025</t>
  </si>
  <si>
    <t>Henrique</t>
  </si>
  <si>
    <t>98711-3577</t>
  </si>
  <si>
    <t>Fábio Borges</t>
  </si>
  <si>
    <t>98178-3587</t>
  </si>
  <si>
    <t>Marcio</t>
  </si>
  <si>
    <t>Vuc</t>
  </si>
  <si>
    <t>97500-1959</t>
  </si>
  <si>
    <t>Marcio/Wellington</t>
  </si>
  <si>
    <t>Kia</t>
  </si>
  <si>
    <t>s/rampa</t>
  </si>
  <si>
    <t>97500-1959/ 98056-5621</t>
  </si>
  <si>
    <t>Eduardo / Jocélio</t>
  </si>
  <si>
    <t>98251-4006 / 97300-2806</t>
  </si>
  <si>
    <t xml:space="preserve">Eduardo / </t>
  </si>
  <si>
    <t>KPA-6J78</t>
  </si>
  <si>
    <t>Alisson</t>
  </si>
  <si>
    <t>kia</t>
  </si>
  <si>
    <t>97007-0749</t>
  </si>
  <si>
    <t>Sandro</t>
  </si>
  <si>
    <t xml:space="preserve"> 96479-7299</t>
  </si>
  <si>
    <t>Sandro/Marcio</t>
  </si>
  <si>
    <t>sim</t>
  </si>
  <si>
    <t xml:space="preserve"> 96479-7299/97024-8687</t>
  </si>
  <si>
    <t>Carlos</t>
  </si>
  <si>
    <t>Truck</t>
  </si>
  <si>
    <t>96444-5931</t>
  </si>
  <si>
    <t>Rogério / Josué</t>
  </si>
  <si>
    <t>96471-8276 / 96489-6036</t>
  </si>
  <si>
    <t>RIZ-0E54</t>
  </si>
  <si>
    <t>Rogério / Alexandre</t>
  </si>
  <si>
    <t>9647-18276 / 99804-3562</t>
  </si>
  <si>
    <t>GYI-5645</t>
  </si>
  <si>
    <t>Carlos Anizio/</t>
  </si>
  <si>
    <t>truck</t>
  </si>
  <si>
    <t>97010-9485/</t>
  </si>
  <si>
    <t>LUP-1264</t>
  </si>
  <si>
    <t>Sérgio</t>
  </si>
  <si>
    <t>96436-3371</t>
  </si>
  <si>
    <t>André/ Sebastião</t>
  </si>
  <si>
    <t>97395-0745</t>
  </si>
  <si>
    <t>LTE-0J80</t>
  </si>
  <si>
    <t>William / Wellington</t>
  </si>
  <si>
    <t>96460-3841 / 96494-0355</t>
  </si>
  <si>
    <t>LSA-OH79</t>
  </si>
  <si>
    <t>William / Edmilson</t>
  </si>
  <si>
    <t>96460-3841 /99366-1861</t>
  </si>
  <si>
    <t>William /  Edmilson</t>
  </si>
  <si>
    <t xml:space="preserve">96460-3841 / </t>
  </si>
  <si>
    <t>KNI-3653</t>
  </si>
  <si>
    <t>Fábio Pereira / André</t>
  </si>
  <si>
    <t>96436-2973</t>
  </si>
  <si>
    <t>96436-2973 / 99064-7800</t>
  </si>
  <si>
    <t>KZD-1910</t>
  </si>
  <si>
    <t xml:space="preserve">Fábio P. / </t>
  </si>
  <si>
    <t xml:space="preserve">96436-2973 / </t>
  </si>
  <si>
    <t>Fábio P. / Vladmir</t>
  </si>
  <si>
    <t>96436-2973/98438-5215</t>
  </si>
  <si>
    <t>Fabio P./</t>
  </si>
  <si>
    <t>96436-2973/</t>
  </si>
  <si>
    <t>Rafael /Luiz Alves</t>
  </si>
  <si>
    <t>98355-0164/</t>
  </si>
  <si>
    <t>Rafael / Luís Antonio</t>
  </si>
  <si>
    <t>Rafael/ José Carlos</t>
  </si>
  <si>
    <t xml:space="preserve">Luciano </t>
  </si>
  <si>
    <t>97444-6724</t>
  </si>
  <si>
    <t>99386-0023</t>
  </si>
  <si>
    <t>Felipe Silva/ Sidney</t>
  </si>
  <si>
    <t>97041-0653/ 98226-6777</t>
  </si>
  <si>
    <t>Felipe Silva</t>
  </si>
  <si>
    <t>97041-0653</t>
  </si>
  <si>
    <t>William Feres</t>
  </si>
  <si>
    <t>96474-9960</t>
  </si>
  <si>
    <t>Alex</t>
  </si>
  <si>
    <t>97913-9631</t>
  </si>
  <si>
    <t>Paulo Roberto</t>
  </si>
  <si>
    <t>98108-3608</t>
  </si>
  <si>
    <t xml:space="preserve">Helder </t>
  </si>
  <si>
    <t>98189-8305</t>
  </si>
  <si>
    <t>LQS-1017</t>
  </si>
  <si>
    <t>Helder /Tiago</t>
  </si>
  <si>
    <t>98189-8305/</t>
  </si>
  <si>
    <t>CUB-2D53</t>
  </si>
  <si>
    <t>Sidnei / Agnaldo</t>
  </si>
  <si>
    <t>97413-9505 / 97634-6693</t>
  </si>
  <si>
    <t>Sidnei</t>
  </si>
  <si>
    <t>97413-9505</t>
  </si>
  <si>
    <t>Douglas/Ederson</t>
  </si>
  <si>
    <t>99730-9265/98858-6428</t>
  </si>
  <si>
    <t>Douglas/Rafael</t>
  </si>
  <si>
    <t>99730-9265/99947-1290</t>
  </si>
  <si>
    <t>Josue</t>
  </si>
  <si>
    <t>96438-9826</t>
  </si>
  <si>
    <t>98322-6861</t>
  </si>
  <si>
    <t>KXR-7F27</t>
  </si>
  <si>
    <t>Mobrice</t>
  </si>
  <si>
    <t>98318-9641</t>
  </si>
  <si>
    <t>Clayton/</t>
  </si>
  <si>
    <t>96438-8327/</t>
  </si>
  <si>
    <t>LQU-7D97</t>
  </si>
  <si>
    <t>08</t>
  </si>
  <si>
    <t>LKO-9H00</t>
  </si>
  <si>
    <t>Eduardo</t>
  </si>
  <si>
    <t xml:space="preserve"> 99082-9983</t>
  </si>
  <si>
    <t>KPH-8C41</t>
  </si>
  <si>
    <t>03</t>
  </si>
  <si>
    <t>Wanderley/</t>
  </si>
  <si>
    <t xml:space="preserve"> 97969-7277</t>
  </si>
  <si>
    <t>Francisco Iran</t>
  </si>
  <si>
    <t>96454-4857</t>
  </si>
  <si>
    <t>Francisco Iran/Flavio</t>
  </si>
  <si>
    <t>96454-4857/96458-7503</t>
  </si>
  <si>
    <t>LNX-0200</t>
  </si>
  <si>
    <t>Antonio</t>
  </si>
  <si>
    <t>96436-6028</t>
  </si>
  <si>
    <t>Julio</t>
  </si>
  <si>
    <t>36478-5590</t>
  </si>
  <si>
    <t>Milton</t>
  </si>
  <si>
    <t>99627-5812</t>
  </si>
  <si>
    <t>Rosemar/</t>
  </si>
  <si>
    <t>KRY- 0589</t>
  </si>
  <si>
    <t>KXV-3932</t>
  </si>
  <si>
    <t>LQA-2158</t>
  </si>
  <si>
    <t>Jeane Nunes/Jefferson Brum</t>
  </si>
  <si>
    <t>/ 96492-0509</t>
  </si>
  <si>
    <t>KQY-8C30</t>
  </si>
  <si>
    <t xml:space="preserve">TOTAL DE CARROS </t>
  </si>
  <si>
    <t>DATA:</t>
  </si>
  <si>
    <t>HLOG / RODRIGO</t>
  </si>
  <si>
    <t>FHO-5F88</t>
  </si>
  <si>
    <t>CLEYTON</t>
  </si>
  <si>
    <t>HLOG / JOSE ROBERTO</t>
  </si>
  <si>
    <t>UFW-0H63</t>
  </si>
  <si>
    <t>TML-5I70</t>
  </si>
  <si>
    <t>HLOG / FERNANDO CARDOSO</t>
  </si>
  <si>
    <t>WILLIAM / EDMILSON JOSÉ DE MELO</t>
  </si>
  <si>
    <r>
      <rPr>
        <b/>
        <sz val="22"/>
        <color rgb="FFFF0000"/>
        <rFont val="Calibri"/>
        <family val="2"/>
      </rPr>
      <t xml:space="preserve">● </t>
    </r>
    <r>
      <rPr>
        <b/>
        <sz val="22"/>
        <color rgb="FFFF0000"/>
        <rFont val="Calibri"/>
        <family val="2"/>
        <scheme val="minor"/>
      </rPr>
      <t>PERÍODO DE 06:00 HRS ATÉ 10:00 HRS DA MANHÃ.</t>
    </r>
  </si>
  <si>
    <r>
      <rPr>
        <b/>
        <sz val="22"/>
        <color rgb="FFFF0000"/>
        <rFont val="Calibri"/>
        <family val="2"/>
      </rPr>
      <t xml:space="preserve">● </t>
    </r>
    <r>
      <rPr>
        <b/>
        <sz val="22"/>
        <color rgb="FFFF0000"/>
        <rFont val="Calibri"/>
        <family val="2"/>
        <scheme val="minor"/>
      </rPr>
      <t>PERÍODO DE 17:00 HRS ATÉ 21:00 HRS DA NOITE.</t>
    </r>
  </si>
  <si>
    <r>
      <t xml:space="preserve">TODAS AS FILIAIS COM CARREGAMENTO ENTRE </t>
    </r>
    <r>
      <rPr>
        <b/>
        <sz val="24"/>
        <color rgb="FFC00000"/>
        <rFont val="Calibri"/>
        <family val="2"/>
        <scheme val="minor"/>
      </rPr>
      <t>(</t>
    </r>
    <r>
      <rPr>
        <b/>
        <i/>
        <sz val="24"/>
        <color rgb="FFC00000"/>
        <rFont val="Calibri"/>
        <family val="2"/>
        <scheme val="minor"/>
      </rPr>
      <t>10:00 HRS E 15:00 HRS)</t>
    </r>
    <r>
      <rPr>
        <b/>
        <sz val="24"/>
        <color theme="1"/>
        <rFont val="Calibri"/>
        <family val="2"/>
        <scheme val="minor"/>
      </rPr>
      <t>, DESCARGA NO MESMO DIA APÓS A OPERAÇÃO.</t>
    </r>
  </si>
  <si>
    <t>FABIO/RODRIGO</t>
  </si>
  <si>
    <r>
      <t xml:space="preserve">TODAS AS FILIAIS COM CARREGAMENTO ENTRE </t>
    </r>
    <r>
      <rPr>
        <b/>
        <sz val="22"/>
        <color rgb="FFC00000"/>
        <rFont val="Calibri"/>
        <family val="2"/>
        <scheme val="minor"/>
      </rPr>
      <t>(</t>
    </r>
    <r>
      <rPr>
        <b/>
        <i/>
        <sz val="22"/>
        <color rgb="FFC00000"/>
        <rFont val="Calibri"/>
        <family val="2"/>
        <scheme val="minor"/>
      </rPr>
      <t>10:00 HRS E 15:00 HRS)</t>
    </r>
    <r>
      <rPr>
        <b/>
        <sz val="22"/>
        <color theme="1"/>
        <rFont val="Calibri"/>
        <family val="2"/>
        <scheme val="minor"/>
      </rPr>
      <t>, DESCARGA NO MESMO DIA APÓS A OPERAÇÃO.</t>
    </r>
  </si>
  <si>
    <t>EXTRA F.31</t>
  </si>
  <si>
    <t>ATENÇÃO: FILIAIS 33-21-30-27-15-04-18-07-48-13; CARREGAMENTO HOJE E ENTREGA NO DIA SEGUINTE NO PRIMEIRO 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</si>
</sst>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"/>
    <numFmt numFmtId="165" formatCode="&quot;R$&quot;\ #,##0.00"/>
    <numFmt numFmtId="166" formatCode="00"/>
    <numFmt numFmtId="167" formatCode="[$-F800]dddd\,\ mmmm\ dd\,\ yyyy"/>
    <numFmt numFmtId="168" formatCode="dd/mm/yy;@"/>
    <numFmt numFmtId="169" formatCode="[$-416]dddd\,d\ &quot;de&quot;\ mmmm\ &quot;de&quot;\ yyyy;@"/>
    <numFmt numFmtId="170" formatCode="h:mm;@"/>
    <numFmt numFmtId="171" formatCode="&quot;R$&quot;\ #,##0.00_);[Red]\(&quot;R$&quot;\ #,###.00\)"/>
  </numFmts>
  <fonts count="178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trike/>
      <sz val="16"/>
      <color theme="1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</font>
    <font>
      <b/>
      <sz val="25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25"/>
      <color indexed="8"/>
      <name val="Calibri"/>
      <family val="2"/>
    </font>
    <font>
      <b/>
      <sz val="25"/>
      <color indexed="8"/>
      <name val="Calibri"/>
      <family val="2"/>
    </font>
    <font>
      <b/>
      <sz val="3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5"/>
      <color rgb="FFFF0000"/>
      <name val="Calibri"/>
      <family val="2"/>
      <scheme val="minor"/>
    </font>
    <font>
      <b/>
      <sz val="25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6"/>
      <color rgb="FF00206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color theme="1"/>
      <name val="Calibri"/>
      <family val="2"/>
    </font>
    <font>
      <b/>
      <sz val="24"/>
      <name val="Calibri"/>
      <family val="2"/>
    </font>
    <font>
      <b/>
      <sz val="26"/>
      <color theme="9" tint="-0.49998474074526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theme="9" tint="-0.499984740745262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i/>
      <sz val="2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28"/>
      <color theme="8" tint="-0.249977111117893"/>
      <name val="Calibri"/>
      <family val="2"/>
      <scheme val="minor"/>
    </font>
    <font>
      <sz val="15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30"/>
      <color rgb="FFC00000"/>
      <name val="Calibri"/>
      <family val="2"/>
      <scheme val="minor"/>
    </font>
    <font>
      <b/>
      <sz val="26"/>
      <color theme="1" tint="0.34998626667073579"/>
      <name val="Calibri"/>
      <family val="2"/>
      <scheme val="minor"/>
    </font>
    <font>
      <b/>
      <sz val="30"/>
      <color rgb="FF6B3109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FF0000"/>
      <name val="Calibri"/>
      <family val="2"/>
    </font>
    <font>
      <b/>
      <sz val="26"/>
      <color indexed="8"/>
      <name val="Calibri"/>
      <family val="2"/>
    </font>
    <font>
      <b/>
      <sz val="26"/>
      <color indexed="19"/>
      <name val="Calibri"/>
      <family val="2"/>
    </font>
    <font>
      <b/>
      <sz val="26"/>
      <name val="Calibri"/>
      <family val="2"/>
    </font>
    <font>
      <b/>
      <sz val="24"/>
      <color indexed="10"/>
      <name val="Calibri"/>
      <family val="2"/>
    </font>
    <font>
      <b/>
      <sz val="26"/>
      <color theme="1"/>
      <name val="Calibri"/>
      <family val="2"/>
    </font>
    <font>
      <b/>
      <sz val="24"/>
      <color indexed="19"/>
      <name val="Calibri"/>
      <family val="2"/>
    </font>
    <font>
      <sz val="26"/>
      <color indexed="8"/>
      <name val="Calibri"/>
      <family val="2"/>
    </font>
    <font>
      <b/>
      <sz val="24"/>
      <color rgb="FFCC0099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23"/>
      <color rgb="FF0070C0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0000"/>
      <name val="Calibri"/>
      <family val="2"/>
    </font>
    <font>
      <b/>
      <sz val="26"/>
      <color rgb="FFC00000"/>
      <name val="Calibri"/>
      <family val="2"/>
      <scheme val="minor"/>
    </font>
    <font>
      <b/>
      <sz val="23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  <font>
      <b/>
      <sz val="22"/>
      <color theme="9" tint="-0.499984740745262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b/>
      <i/>
      <sz val="20"/>
      <color rgb="FFFF0000"/>
      <name val="Calibri"/>
      <family val="2"/>
    </font>
    <font>
      <b/>
      <sz val="20"/>
      <name val="Calibri"/>
      <family val="2"/>
      <scheme val="minor"/>
    </font>
    <font>
      <b/>
      <i/>
      <sz val="26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22"/>
      <color rgb="FFFF0000"/>
      <name val="Calibri"/>
      <family val="2"/>
    </font>
    <font>
      <b/>
      <i/>
      <sz val="26"/>
      <color rgb="FFFF0000"/>
      <name val="Calibri"/>
      <family val="2"/>
    </font>
    <font>
      <b/>
      <i/>
      <sz val="18"/>
      <color rgb="FFFF0000"/>
      <name val="Calibri"/>
      <family val="2"/>
    </font>
    <font>
      <b/>
      <sz val="20"/>
      <name val="Calibri"/>
      <family val="2"/>
    </font>
    <font>
      <b/>
      <i/>
      <sz val="16"/>
      <color rgb="FFFF0000"/>
      <name val="Calibri"/>
      <family val="2"/>
    </font>
    <font>
      <b/>
      <i/>
      <sz val="24"/>
      <color rgb="FFC00000"/>
      <name val="Calibri"/>
      <family val="2"/>
      <scheme val="minor"/>
    </font>
    <font>
      <b/>
      <i/>
      <sz val="24"/>
      <color rgb="FFFF0000"/>
      <name val="Calibri"/>
      <family val="2"/>
    </font>
    <font>
      <b/>
      <sz val="22"/>
      <color rgb="FFC00000"/>
      <name val="Calibri"/>
      <family val="2"/>
      <scheme val="minor"/>
    </font>
    <font>
      <b/>
      <i/>
      <sz val="22"/>
      <color rgb="FFC0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</font>
    <font>
      <b/>
      <sz val="26"/>
      <color rgb="FF002060"/>
      <name val="Calibri"/>
      <family val="2"/>
      <scheme val="minor"/>
    </font>
    <font>
      <b/>
      <sz val="26"/>
      <color theme="9" tint="-0.499984740745262"/>
      <name val="Calibri"/>
      <family val="2"/>
      <scheme val="minor"/>
    </font>
    <font>
      <b/>
      <sz val="24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30"/>
      <color rgb="FFFF0000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5"/>
      <color rgb="FFFF0000"/>
      <name val="Calibri"/>
      <family val="2"/>
      <scheme val="minor"/>
    </font>
    <font>
      <b/>
      <sz val="25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rgb="FF000000"/>
      <name val="Calibri"/>
      <family val="2"/>
    </font>
    <font>
      <b/>
      <sz val="24"/>
      <color rgb="FF002060"/>
      <name val="Calibri"/>
      <family val="2"/>
      <scheme val="minor"/>
    </font>
    <font>
      <b/>
      <sz val="24"/>
      <color theme="1"/>
      <name val="Calibri"/>
      <family val="2"/>
    </font>
    <font>
      <b/>
      <sz val="24"/>
      <color theme="9" tint="-0.499984740745262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i/>
      <sz val="22"/>
      <color rgb="FFFF0000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0"/>
      <name val="Calibri"/>
      <family val="2"/>
      <scheme val="minor"/>
    </font>
    <font>
      <sz val="3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8"/>
      <color theme="8" tint="-0.249977111117893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0"/>
      <color rgb="FFC00000"/>
      <name val="Calibri"/>
      <family val="2"/>
      <scheme val="minor"/>
    </font>
    <font>
      <b/>
      <sz val="26"/>
      <color theme="1" tint="0.34998626667073579"/>
      <name val="Calibri"/>
      <family val="2"/>
      <scheme val="minor"/>
    </font>
    <font>
      <b/>
      <sz val="30"/>
      <color rgb="FF6B3109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FF0000"/>
      <name val="Calibri"/>
      <family val="2"/>
    </font>
    <font>
      <sz val="25"/>
      <color indexed="8"/>
      <name val="Calibri"/>
      <family val="2"/>
    </font>
    <font>
      <b/>
      <sz val="26"/>
      <color indexed="8"/>
      <name val="Calibri"/>
      <family val="2"/>
    </font>
    <font>
      <b/>
      <sz val="26"/>
      <color indexed="19"/>
      <name val="Calibri"/>
      <family val="2"/>
    </font>
    <font>
      <b/>
      <sz val="26"/>
      <name val="Calibri"/>
      <family val="2"/>
    </font>
    <font>
      <b/>
      <sz val="26"/>
      <color theme="1"/>
      <name val="Calibri"/>
      <family val="2"/>
    </font>
    <font>
      <b/>
      <sz val="24"/>
      <color indexed="10"/>
      <name val="Calibri"/>
      <family val="2"/>
    </font>
    <font>
      <b/>
      <sz val="25"/>
      <color indexed="8"/>
      <name val="Calibri"/>
      <family val="2"/>
    </font>
    <font>
      <sz val="26"/>
      <color indexed="8"/>
      <name val="Calibri"/>
      <family val="2"/>
    </font>
    <font>
      <b/>
      <sz val="24"/>
      <color indexed="19"/>
      <name val="Calibri"/>
      <family val="2"/>
    </font>
    <font>
      <b/>
      <sz val="24"/>
      <color rgb="FFCC0099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6DCE4"/>
        <bgColor rgb="FFF2F2F2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0.7993408001953185"/>
        <bgColor rgb="FFF2F2F2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85961485641044"/>
        <bgColor rgb="FFF2F2F2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0702230903046"/>
        <bgColor rgb="FFF2F2F2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91454817346722"/>
        <bgColor rgb="FFF2F2F2"/>
      </patternFill>
    </fill>
    <fill>
      <patternFill patternType="solid">
        <fgColor theme="5" tint="0.39991454817346722"/>
        <bgColor rgb="FFFFFFFF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CE4D6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4506668294322"/>
        <bgColor rgb="FFFFFFFF"/>
      </patternFill>
    </fill>
    <fill>
      <patternFill patternType="solid">
        <fgColor theme="5" tint="0.39994506668294322"/>
        <bgColor rgb="FFF2F2F2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CE4D6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10">
    <xf numFmtId="0" fontId="0" fillId="0" borderId="0" xfId="0">
      <alignment vertical="center"/>
    </xf>
    <xf numFmtId="0" fontId="1" fillId="2" borderId="0" xfId="6" applyFill="1"/>
    <xf numFmtId="0" fontId="2" fillId="2" borderId="0" xfId="6" applyFont="1" applyFill="1" applyAlignment="1">
      <alignment horizontal="center" vertical="center" textRotation="90"/>
    </xf>
    <xf numFmtId="0" fontId="3" fillId="3" borderId="1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4" fillId="3" borderId="5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2" borderId="6" xfId="6" applyFont="1" applyFill="1" applyBorder="1" applyAlignment="1">
      <alignment horizontal="center" vertical="center"/>
    </xf>
    <xf numFmtId="0" fontId="4" fillId="4" borderId="7" xfId="6" applyFont="1" applyFill="1" applyBorder="1" applyAlignment="1">
      <alignment horizontal="center" vertical="center"/>
    </xf>
    <xf numFmtId="164" fontId="4" fillId="4" borderId="8" xfId="6" applyNumberFormat="1" applyFont="1" applyFill="1" applyBorder="1" applyAlignment="1">
      <alignment horizontal="center" vertical="center"/>
    </xf>
    <xf numFmtId="0" fontId="4" fillId="2" borderId="8" xfId="6" applyFont="1" applyFill="1" applyBorder="1" applyAlignment="1">
      <alignment horizontal="center" vertical="center"/>
    </xf>
    <xf numFmtId="0" fontId="5" fillId="2" borderId="8" xfId="6" applyFont="1" applyFill="1" applyBorder="1" applyAlignment="1">
      <alignment horizontal="center" vertical="center"/>
    </xf>
    <xf numFmtId="0" fontId="6" fillId="2" borderId="8" xfId="6" applyFont="1" applyFill="1" applyBorder="1" applyAlignment="1">
      <alignment horizontal="center" vertical="center"/>
    </xf>
    <xf numFmtId="165" fontId="6" fillId="2" borderId="9" xfId="6" applyNumberFormat="1" applyFont="1" applyFill="1" applyBorder="1" applyAlignment="1">
      <alignment horizontal="center" vertical="center"/>
    </xf>
    <xf numFmtId="165" fontId="7" fillId="2" borderId="10" xfId="6" applyNumberFormat="1" applyFont="1" applyFill="1" applyBorder="1" applyAlignment="1">
      <alignment horizontal="center" vertical="center"/>
    </xf>
    <xf numFmtId="0" fontId="4" fillId="2" borderId="7" xfId="6" applyFont="1" applyFill="1" applyBorder="1" applyAlignment="1">
      <alignment horizontal="center" vertical="center"/>
    </xf>
    <xf numFmtId="0" fontId="5" fillId="2" borderId="11" xfId="6" applyFont="1" applyFill="1" applyBorder="1" applyAlignment="1">
      <alignment horizontal="center" vertical="center"/>
    </xf>
    <xf numFmtId="3" fontId="5" fillId="2" borderId="12" xfId="6" applyNumberFormat="1" applyFont="1" applyFill="1" applyBorder="1" applyAlignment="1">
      <alignment horizontal="center" vertical="center"/>
    </xf>
    <xf numFmtId="0" fontId="4" fillId="2" borderId="10" xfId="6" applyFont="1" applyFill="1" applyBorder="1" applyAlignment="1">
      <alignment horizontal="center" vertical="center"/>
    </xf>
    <xf numFmtId="3" fontId="5" fillId="2" borderId="13" xfId="6" applyNumberFormat="1" applyFont="1" applyFill="1" applyBorder="1" applyAlignment="1">
      <alignment horizontal="center" vertical="center"/>
    </xf>
    <xf numFmtId="164" fontId="4" fillId="2" borderId="8" xfId="6" applyNumberFormat="1" applyFont="1" applyFill="1" applyBorder="1" applyAlignment="1">
      <alignment horizontal="center" vertical="center"/>
    </xf>
    <xf numFmtId="0" fontId="4" fillId="2" borderId="14" xfId="6" applyFont="1" applyFill="1" applyBorder="1" applyAlignment="1">
      <alignment horizontal="center" vertical="center"/>
    </xf>
    <xf numFmtId="165" fontId="7" fillId="2" borderId="14" xfId="6" applyNumberFormat="1" applyFont="1" applyFill="1" applyBorder="1" applyAlignment="1">
      <alignment horizontal="center" vertical="center"/>
    </xf>
    <xf numFmtId="0" fontId="8" fillId="2" borderId="10" xfId="6" applyFont="1" applyFill="1" applyBorder="1" applyAlignment="1">
      <alignment horizontal="center" vertical="center"/>
    </xf>
    <xf numFmtId="0" fontId="4" fillId="4" borderId="15" xfId="6" applyFont="1" applyFill="1" applyBorder="1" applyAlignment="1">
      <alignment horizontal="center" vertical="center"/>
    </xf>
    <xf numFmtId="0" fontId="4" fillId="2" borderId="16" xfId="6" applyFont="1" applyFill="1" applyBorder="1" applyAlignment="1">
      <alignment horizontal="center" vertical="center"/>
    </xf>
    <xf numFmtId="0" fontId="5" fillId="2" borderId="16" xfId="6" applyFont="1" applyFill="1" applyBorder="1" applyAlignment="1">
      <alignment horizontal="center" vertical="center"/>
    </xf>
    <xf numFmtId="0" fontId="6" fillId="2" borderId="16" xfId="6" applyFont="1" applyFill="1" applyBorder="1" applyAlignment="1">
      <alignment horizontal="center" vertical="center"/>
    </xf>
    <xf numFmtId="165" fontId="6" fillId="2" borderId="17" xfId="6" applyNumberFormat="1" applyFont="1" applyFill="1" applyBorder="1" applyAlignment="1">
      <alignment horizontal="center" vertical="center"/>
    </xf>
    <xf numFmtId="0" fontId="4" fillId="2" borderId="15" xfId="6" applyFont="1" applyFill="1" applyBorder="1" applyAlignment="1">
      <alignment horizontal="center" vertical="center"/>
    </xf>
    <xf numFmtId="166" fontId="5" fillId="2" borderId="16" xfId="6" applyNumberFormat="1" applyFont="1" applyFill="1" applyBorder="1" applyAlignment="1">
      <alignment horizontal="center" vertical="center"/>
    </xf>
    <xf numFmtId="3" fontId="5" fillId="2" borderId="18" xfId="6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center" vertical="center" textRotation="255" wrapText="1"/>
    </xf>
    <xf numFmtId="0" fontId="4" fillId="2" borderId="19" xfId="6" applyFont="1" applyFill="1" applyBorder="1" applyAlignment="1">
      <alignment horizontal="center" vertical="center"/>
    </xf>
    <xf numFmtId="0" fontId="4" fillId="5" borderId="7" xfId="6" applyFont="1" applyFill="1" applyBorder="1" applyAlignment="1">
      <alignment horizontal="center" vertical="center"/>
    </xf>
    <xf numFmtId="0" fontId="8" fillId="2" borderId="16" xfId="6" applyFont="1" applyFill="1" applyBorder="1" applyAlignment="1">
      <alignment horizontal="center" vertical="center"/>
    </xf>
    <xf numFmtId="0" fontId="8" fillId="2" borderId="20" xfId="6" applyFont="1" applyFill="1" applyBorder="1" applyAlignment="1">
      <alignment horizontal="center" vertical="center"/>
    </xf>
    <xf numFmtId="165" fontId="7" fillId="2" borderId="20" xfId="6" applyNumberFormat="1" applyFont="1" applyFill="1" applyBorder="1" applyAlignment="1">
      <alignment horizontal="center" vertical="center"/>
    </xf>
    <xf numFmtId="0" fontId="4" fillId="2" borderId="21" xfId="6" applyFont="1" applyFill="1" applyBorder="1" applyAlignment="1">
      <alignment horizontal="center" vertical="center"/>
    </xf>
    <xf numFmtId="0" fontId="8" fillId="2" borderId="8" xfId="6" applyFont="1" applyFill="1" applyBorder="1" applyAlignment="1">
      <alignment horizontal="center" vertical="center"/>
    </xf>
    <xf numFmtId="166" fontId="5" fillId="2" borderId="8" xfId="6" applyNumberFormat="1" applyFont="1" applyFill="1" applyBorder="1" applyAlignment="1">
      <alignment horizontal="center" vertical="center"/>
    </xf>
    <xf numFmtId="0" fontId="4" fillId="5" borderId="15" xfId="6" applyFont="1" applyFill="1" applyBorder="1" applyAlignment="1">
      <alignment horizontal="center" vertical="center"/>
    </xf>
    <xf numFmtId="165" fontId="4" fillId="2" borderId="16" xfId="6" applyNumberFormat="1" applyFont="1" applyFill="1" applyBorder="1" applyAlignment="1">
      <alignment horizontal="center" vertical="center"/>
    </xf>
    <xf numFmtId="0" fontId="10" fillId="2" borderId="16" xfId="6" applyFont="1" applyFill="1" applyBorder="1" applyAlignment="1">
      <alignment horizontal="center" vertical="center"/>
    </xf>
    <xf numFmtId="165" fontId="10" fillId="2" borderId="17" xfId="6" applyNumberFormat="1" applyFont="1" applyFill="1" applyBorder="1" applyAlignment="1">
      <alignment horizontal="center" vertical="center"/>
    </xf>
    <xf numFmtId="0" fontId="4" fillId="6" borderId="15" xfId="6" applyFont="1" applyFill="1" applyBorder="1" applyAlignment="1">
      <alignment horizontal="center" vertical="center"/>
    </xf>
    <xf numFmtId="0" fontId="8" fillId="4" borderId="15" xfId="6" applyFont="1" applyFill="1" applyBorder="1" applyAlignment="1">
      <alignment horizontal="center" vertical="center"/>
    </xf>
    <xf numFmtId="0" fontId="11" fillId="2" borderId="16" xfId="6" applyFont="1" applyFill="1" applyBorder="1" applyAlignment="1">
      <alignment horizontal="center" vertical="center"/>
    </xf>
    <xf numFmtId="165" fontId="11" fillId="2" borderId="17" xfId="6" applyNumberFormat="1" applyFont="1" applyFill="1" applyBorder="1" applyAlignment="1">
      <alignment horizontal="center" vertical="center"/>
    </xf>
    <xf numFmtId="165" fontId="12" fillId="2" borderId="10" xfId="6" applyNumberFormat="1" applyFont="1" applyFill="1" applyBorder="1" applyAlignment="1">
      <alignment horizontal="center" vertical="center"/>
    </xf>
    <xf numFmtId="0" fontId="8" fillId="2" borderId="15" xfId="6" applyFont="1" applyFill="1" applyBorder="1" applyAlignment="1">
      <alignment horizontal="center" vertical="center"/>
    </xf>
    <xf numFmtId="166" fontId="13" fillId="2" borderId="16" xfId="6" applyNumberFormat="1" applyFont="1" applyFill="1" applyBorder="1" applyAlignment="1">
      <alignment horizontal="center" vertical="center"/>
    </xf>
    <xf numFmtId="3" fontId="13" fillId="2" borderId="18" xfId="6" applyNumberFormat="1" applyFont="1" applyFill="1" applyBorder="1" applyAlignment="1">
      <alignment horizontal="center" vertical="center"/>
    </xf>
    <xf numFmtId="0" fontId="2" fillId="2" borderId="0" xfId="6" applyFont="1" applyFill="1" applyAlignment="1">
      <alignment horizontal="center" vertical="center"/>
    </xf>
    <xf numFmtId="0" fontId="8" fillId="5" borderId="15" xfId="6" applyFont="1" applyFill="1" applyBorder="1" applyAlignment="1">
      <alignment horizontal="center" vertical="center"/>
    </xf>
    <xf numFmtId="0" fontId="13" fillId="2" borderId="16" xfId="6" applyFont="1" applyFill="1" applyBorder="1" applyAlignment="1">
      <alignment horizontal="center" vertical="center"/>
    </xf>
    <xf numFmtId="165" fontId="13" fillId="2" borderId="17" xfId="6" applyNumberFormat="1" applyFont="1" applyFill="1" applyBorder="1" applyAlignment="1">
      <alignment horizontal="center" vertical="center"/>
    </xf>
    <xf numFmtId="0" fontId="8" fillId="6" borderId="15" xfId="6" applyFont="1" applyFill="1" applyBorder="1" applyAlignment="1">
      <alignment horizontal="center" vertical="center"/>
    </xf>
    <xf numFmtId="0" fontId="8" fillId="6" borderId="7" xfId="6" applyFont="1" applyFill="1" applyBorder="1" applyAlignment="1">
      <alignment horizontal="center" vertical="center"/>
    </xf>
    <xf numFmtId="0" fontId="13" fillId="2" borderId="8" xfId="6" applyFont="1" applyFill="1" applyBorder="1" applyAlignment="1">
      <alignment horizontal="center" vertical="center"/>
    </xf>
    <xf numFmtId="0" fontId="11" fillId="2" borderId="8" xfId="6" applyFont="1" applyFill="1" applyBorder="1" applyAlignment="1">
      <alignment horizontal="center" vertical="center"/>
    </xf>
    <xf numFmtId="165" fontId="11" fillId="2" borderId="9" xfId="6" applyNumberFormat="1" applyFont="1" applyFill="1" applyBorder="1" applyAlignment="1">
      <alignment horizontal="center" vertical="center"/>
    </xf>
    <xf numFmtId="165" fontId="12" fillId="2" borderId="20" xfId="6" applyNumberFormat="1" applyFont="1" applyFill="1" applyBorder="1" applyAlignment="1">
      <alignment horizontal="center" vertical="center"/>
    </xf>
    <xf numFmtId="0" fontId="8" fillId="2" borderId="7" xfId="6" applyFont="1" applyFill="1" applyBorder="1" applyAlignment="1">
      <alignment horizontal="center" vertical="center"/>
    </xf>
    <xf numFmtId="166" fontId="13" fillId="2" borderId="8" xfId="6" applyNumberFormat="1" applyFont="1" applyFill="1" applyBorder="1" applyAlignment="1">
      <alignment horizontal="center" vertical="center"/>
    </xf>
    <xf numFmtId="3" fontId="13" fillId="2" borderId="13" xfId="6" applyNumberFormat="1" applyFont="1" applyFill="1" applyBorder="1" applyAlignment="1">
      <alignment horizontal="center" vertical="center"/>
    </xf>
    <xf numFmtId="0" fontId="4" fillId="2" borderId="20" xfId="6" applyFont="1" applyFill="1" applyBorder="1" applyAlignment="1">
      <alignment horizontal="center" vertical="center"/>
    </xf>
    <xf numFmtId="0" fontId="14" fillId="2" borderId="0" xfId="6" applyFont="1" applyFill="1"/>
    <xf numFmtId="0" fontId="6" fillId="7" borderId="16" xfId="6" applyFont="1" applyFill="1" applyBorder="1" applyAlignment="1">
      <alignment horizontal="center" vertical="center"/>
    </xf>
    <xf numFmtId="0" fontId="6" fillId="7" borderId="17" xfId="6" applyFont="1" applyFill="1" applyBorder="1" applyAlignment="1">
      <alignment horizontal="center" vertical="center"/>
    </xf>
    <xf numFmtId="0" fontId="7" fillId="7" borderId="10" xfId="6" applyFont="1" applyFill="1" applyBorder="1" applyAlignment="1">
      <alignment horizontal="center" vertical="center"/>
    </xf>
    <xf numFmtId="0" fontId="5" fillId="2" borderId="21" xfId="6" applyFont="1" applyFill="1" applyBorder="1" applyAlignment="1">
      <alignment horizontal="center" vertical="center"/>
    </xf>
    <xf numFmtId="0" fontId="6" fillId="2" borderId="21" xfId="6" applyFont="1" applyFill="1" applyBorder="1" applyAlignment="1">
      <alignment horizontal="center" vertical="center"/>
    </xf>
    <xf numFmtId="165" fontId="6" fillId="2" borderId="21" xfId="6" applyNumberFormat="1" applyFont="1" applyFill="1" applyBorder="1" applyAlignment="1">
      <alignment horizontal="center" vertical="center"/>
    </xf>
    <xf numFmtId="0" fontId="8" fillId="4" borderId="22" xfId="6" applyFont="1" applyFill="1" applyBorder="1" applyAlignment="1">
      <alignment horizontal="center" vertical="center"/>
    </xf>
    <xf numFmtId="0" fontId="8" fillId="6" borderId="22" xfId="6" applyFont="1" applyFill="1" applyBorder="1" applyAlignment="1">
      <alignment horizontal="center" vertical="center"/>
    </xf>
    <xf numFmtId="0" fontId="15" fillId="8" borderId="16" xfId="6" applyFont="1" applyFill="1" applyBorder="1" applyAlignment="1">
      <alignment horizontal="center" vertical="center"/>
    </xf>
    <xf numFmtId="0" fontId="16" fillId="8" borderId="16" xfId="6" applyFont="1" applyFill="1" applyBorder="1" applyAlignment="1">
      <alignment horizontal="center" vertical="center"/>
    </xf>
    <xf numFmtId="0" fontId="8" fillId="5" borderId="22" xfId="6" applyFont="1" applyFill="1" applyBorder="1" applyAlignment="1">
      <alignment horizontal="center" vertical="center"/>
    </xf>
    <xf numFmtId="1" fontId="16" fillId="8" borderId="16" xfId="6" applyNumberFormat="1" applyFont="1" applyFill="1" applyBorder="1" applyAlignment="1">
      <alignment horizontal="center" vertical="center"/>
    </xf>
    <xf numFmtId="2" fontId="16" fillId="8" borderId="16" xfId="6" applyNumberFormat="1" applyFont="1" applyFill="1" applyBorder="1" applyAlignment="1">
      <alignment horizontal="center" vertical="center"/>
    </xf>
    <xf numFmtId="0" fontId="15" fillId="8" borderId="8" xfId="6" applyFont="1" applyFill="1" applyBorder="1" applyAlignment="1">
      <alignment horizontal="center" vertical="center"/>
    </xf>
    <xf numFmtId="0" fontId="8" fillId="2" borderId="23" xfId="6" applyFont="1" applyFill="1" applyBorder="1" applyAlignment="1">
      <alignment horizontal="center" vertical="center"/>
    </xf>
    <xf numFmtId="0" fontId="4" fillId="4" borderId="24" xfId="6" applyFont="1" applyFill="1" applyBorder="1" applyAlignment="1">
      <alignment horizontal="center" vertical="center"/>
    </xf>
    <xf numFmtId="0" fontId="4" fillId="2" borderId="25" xfId="6" applyFont="1" applyFill="1" applyBorder="1" applyAlignment="1">
      <alignment horizontal="center" vertical="center"/>
    </xf>
    <xf numFmtId="0" fontId="5" fillId="2" borderId="25" xfId="6" applyFont="1" applyFill="1" applyBorder="1" applyAlignment="1">
      <alignment horizontal="center" vertical="center"/>
    </xf>
    <xf numFmtId="165" fontId="4" fillId="2" borderId="26" xfId="6" applyNumberFormat="1" applyFont="1" applyFill="1" applyBorder="1" applyAlignment="1">
      <alignment horizontal="center" vertical="center"/>
    </xf>
    <xf numFmtId="165" fontId="4" fillId="2" borderId="23" xfId="6" applyNumberFormat="1" applyFont="1" applyFill="1" applyBorder="1" applyAlignment="1">
      <alignment horizontal="center" vertical="center"/>
    </xf>
    <xf numFmtId="0" fontId="4" fillId="2" borderId="27" xfId="6" applyFont="1" applyFill="1" applyBorder="1" applyAlignment="1">
      <alignment horizontal="center" vertical="center"/>
    </xf>
    <xf numFmtId="166" fontId="5" fillId="2" borderId="28" xfId="6" applyNumberFormat="1" applyFont="1" applyFill="1" applyBorder="1" applyAlignment="1">
      <alignment horizontal="center" vertical="center"/>
    </xf>
    <xf numFmtId="3" fontId="5" fillId="2" borderId="29" xfId="6" applyNumberFormat="1" applyFont="1" applyFill="1" applyBorder="1" applyAlignment="1">
      <alignment horizontal="center" vertical="center"/>
    </xf>
    <xf numFmtId="0" fontId="4" fillId="7" borderId="6" xfId="6" applyFont="1" applyFill="1" applyBorder="1" applyAlignment="1">
      <alignment horizontal="center" vertical="center"/>
    </xf>
    <xf numFmtId="0" fontId="6" fillId="7" borderId="30" xfId="6" applyFont="1" applyFill="1" applyBorder="1" applyAlignment="1">
      <alignment horizontal="center" vertical="center"/>
    </xf>
    <xf numFmtId="164" fontId="6" fillId="7" borderId="31" xfId="6" applyNumberFormat="1" applyFont="1" applyFill="1" applyBorder="1" applyAlignment="1">
      <alignment horizontal="center" vertical="center"/>
    </xf>
    <xf numFmtId="0" fontId="6" fillId="7" borderId="31" xfId="6" applyFont="1" applyFill="1" applyBorder="1" applyAlignment="1">
      <alignment horizontal="center" vertical="center"/>
    </xf>
    <xf numFmtId="0" fontId="5" fillId="7" borderId="31" xfId="6" applyFont="1" applyFill="1" applyBorder="1" applyAlignment="1">
      <alignment horizontal="center" vertical="center"/>
    </xf>
    <xf numFmtId="165" fontId="6" fillId="7" borderId="32" xfId="6" applyNumberFormat="1" applyFont="1" applyFill="1" applyBorder="1" applyAlignment="1">
      <alignment horizontal="center" vertical="center"/>
    </xf>
    <xf numFmtId="165" fontId="7" fillId="7" borderId="6" xfId="6" applyNumberFormat="1" applyFont="1" applyFill="1" applyBorder="1" applyAlignment="1">
      <alignment horizontal="center" vertical="center"/>
    </xf>
    <xf numFmtId="0" fontId="6" fillId="7" borderId="33" xfId="6" applyFont="1" applyFill="1" applyBorder="1" applyAlignment="1">
      <alignment horizontal="center" vertical="center"/>
    </xf>
    <xf numFmtId="166" fontId="5" fillId="7" borderId="31" xfId="6" applyNumberFormat="1" applyFont="1" applyFill="1" applyBorder="1" applyAlignment="1">
      <alignment horizontal="center" vertical="center"/>
    </xf>
    <xf numFmtId="3" fontId="5" fillId="7" borderId="34" xfId="6" applyNumberFormat="1" applyFont="1" applyFill="1" applyBorder="1" applyAlignment="1">
      <alignment horizontal="center" vertical="center"/>
    </xf>
    <xf numFmtId="0" fontId="8" fillId="7" borderId="23" xfId="6" applyFont="1" applyFill="1" applyBorder="1" applyAlignment="1">
      <alignment horizontal="center" vertical="center"/>
    </xf>
    <xf numFmtId="0" fontId="6" fillId="7" borderId="24" xfId="6" applyFont="1" applyFill="1" applyBorder="1" applyAlignment="1">
      <alignment horizontal="center" vertical="center"/>
    </xf>
    <xf numFmtId="0" fontId="6" fillId="7" borderId="25" xfId="6" applyFont="1" applyFill="1" applyBorder="1" applyAlignment="1">
      <alignment horizontal="center" vertical="center"/>
    </xf>
    <xf numFmtId="0" fontId="5" fillId="7" borderId="35" xfId="6" applyFont="1" applyFill="1" applyBorder="1" applyAlignment="1">
      <alignment horizontal="center" vertical="center"/>
    </xf>
    <xf numFmtId="0" fontId="6" fillId="7" borderId="35" xfId="6" applyFont="1" applyFill="1" applyBorder="1" applyAlignment="1">
      <alignment horizontal="center" vertical="center"/>
    </xf>
    <xf numFmtId="165" fontId="6" fillId="7" borderId="35" xfId="6" applyNumberFormat="1" applyFont="1" applyFill="1" applyBorder="1" applyAlignment="1">
      <alignment horizontal="center" vertical="center"/>
    </xf>
    <xf numFmtId="165" fontId="7" fillId="7" borderId="23" xfId="6" applyNumberFormat="1" applyFont="1" applyFill="1" applyBorder="1" applyAlignment="1">
      <alignment horizontal="center" vertical="center"/>
    </xf>
    <xf numFmtId="0" fontId="6" fillId="7" borderId="27" xfId="6" applyFont="1" applyFill="1" applyBorder="1" applyAlignment="1">
      <alignment horizontal="center" vertical="center"/>
    </xf>
    <xf numFmtId="166" fontId="5" fillId="7" borderId="25" xfId="6" applyNumberFormat="1" applyFont="1" applyFill="1" applyBorder="1" applyAlignment="1">
      <alignment horizontal="center" vertical="center"/>
    </xf>
    <xf numFmtId="3" fontId="5" fillId="7" borderId="36" xfId="6" applyNumberFormat="1" applyFont="1" applyFill="1" applyBorder="1" applyAlignment="1">
      <alignment horizontal="center" vertical="center"/>
    </xf>
    <xf numFmtId="0" fontId="17" fillId="2" borderId="0" xfId="6" applyFont="1" applyFill="1" applyAlignment="1">
      <alignment horizontal="center" vertical="center" textRotation="255"/>
    </xf>
    <xf numFmtId="0" fontId="20" fillId="10" borderId="37" xfId="6" applyFont="1" applyFill="1" applyBorder="1" applyAlignment="1">
      <alignment horizontal="center" vertical="center"/>
    </xf>
    <xf numFmtId="0" fontId="1" fillId="0" borderId="0" xfId="6"/>
    <xf numFmtId="0" fontId="14" fillId="7" borderId="1" xfId="6" applyFont="1" applyFill="1" applyBorder="1" applyAlignment="1">
      <alignment horizontal="center" vertical="center" wrapText="1"/>
    </xf>
    <xf numFmtId="0" fontId="14" fillId="7" borderId="42" xfId="6" applyFont="1" applyFill="1" applyBorder="1" applyAlignment="1">
      <alignment horizontal="center" vertical="center" wrapText="1"/>
    </xf>
    <xf numFmtId="0" fontId="14" fillId="7" borderId="43" xfId="6" applyFont="1" applyFill="1" applyBorder="1" applyAlignment="1">
      <alignment horizontal="center" vertical="center" wrapText="1"/>
    </xf>
    <xf numFmtId="166" fontId="14" fillId="7" borderId="45" xfId="6" applyNumberFormat="1" applyFont="1" applyFill="1" applyBorder="1" applyAlignment="1">
      <alignment horizontal="center" vertical="center" wrapText="1"/>
    </xf>
    <xf numFmtId="166" fontId="14" fillId="7" borderId="46" xfId="6" applyNumberFormat="1" applyFont="1" applyFill="1" applyBorder="1" applyAlignment="1">
      <alignment horizontal="center" vertical="center" wrapText="1"/>
    </xf>
    <xf numFmtId="166" fontId="14" fillId="7" borderId="47" xfId="6" applyNumberFormat="1" applyFont="1" applyFill="1" applyBorder="1" applyAlignment="1">
      <alignment horizontal="center" vertical="center" wrapText="1"/>
    </xf>
    <xf numFmtId="17" fontId="26" fillId="10" borderId="38" xfId="6" applyNumberFormat="1" applyFont="1" applyFill="1" applyBorder="1" applyAlignment="1">
      <alignment horizontal="center" vertical="center"/>
    </xf>
    <xf numFmtId="17" fontId="25" fillId="10" borderId="40" xfId="6" applyNumberFormat="1" applyFont="1" applyFill="1" applyBorder="1" applyAlignment="1">
      <alignment horizontal="center" vertical="center"/>
    </xf>
    <xf numFmtId="0" fontId="1" fillId="2" borderId="0" xfId="6" applyFill="1" applyAlignment="1">
      <alignment vertical="center"/>
    </xf>
    <xf numFmtId="168" fontId="28" fillId="2" borderId="6" xfId="6" applyNumberFormat="1" applyFont="1" applyFill="1" applyBorder="1" applyAlignment="1">
      <alignment horizontal="center" vertical="center"/>
    </xf>
    <xf numFmtId="168" fontId="28" fillId="2" borderId="10" xfId="6" applyNumberFormat="1" applyFont="1" applyFill="1" applyBorder="1" applyAlignment="1">
      <alignment horizontal="center" vertical="center"/>
    </xf>
    <xf numFmtId="168" fontId="28" fillId="2" borderId="44" xfId="6" applyNumberFormat="1" applyFont="1" applyFill="1" applyBorder="1" applyAlignment="1">
      <alignment horizontal="center" vertical="center"/>
    </xf>
    <xf numFmtId="168" fontId="25" fillId="2" borderId="10" xfId="6" applyNumberFormat="1" applyFont="1" applyFill="1" applyBorder="1" applyAlignment="1">
      <alignment horizontal="center" vertical="center"/>
    </xf>
    <xf numFmtId="168" fontId="28" fillId="2" borderId="50" xfId="6" applyNumberFormat="1" applyFont="1" applyFill="1" applyBorder="1" applyAlignment="1">
      <alignment horizontal="center" vertical="center"/>
    </xf>
    <xf numFmtId="168" fontId="2" fillId="2" borderId="0" xfId="6" applyNumberFormat="1" applyFont="1" applyFill="1" applyAlignment="1">
      <alignment horizontal="center"/>
    </xf>
    <xf numFmtId="3" fontId="1" fillId="2" borderId="0" xfId="6" applyNumberFormat="1" applyFill="1" applyAlignment="1">
      <alignment horizontal="center" vertical="center"/>
    </xf>
    <xf numFmtId="3" fontId="29" fillId="7" borderId="0" xfId="6" applyNumberFormat="1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/>
    <xf numFmtId="0" fontId="1" fillId="0" borderId="5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2" xfId="0" applyFont="1" applyBorder="1" applyAlignment="1"/>
    <xf numFmtId="0" fontId="1" fillId="0" borderId="4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0" xfId="0" applyFont="1" applyBorder="1" applyAlignment="1"/>
    <xf numFmtId="0" fontId="32" fillId="7" borderId="6" xfId="6" applyFont="1" applyFill="1" applyBorder="1" applyAlignment="1">
      <alignment horizontal="center" vertical="center" wrapText="1"/>
    </xf>
    <xf numFmtId="0" fontId="33" fillId="2" borderId="0" xfId="6" applyFont="1" applyFill="1" applyAlignment="1">
      <alignment wrapText="1"/>
    </xf>
    <xf numFmtId="0" fontId="32" fillId="2" borderId="10" xfId="6" applyFont="1" applyFill="1" applyBorder="1" applyAlignment="1">
      <alignment horizontal="center" vertical="center" wrapText="1"/>
    </xf>
    <xf numFmtId="0" fontId="32" fillId="7" borderId="10" xfId="6" applyFont="1" applyFill="1" applyBorder="1" applyAlignment="1">
      <alignment horizontal="center" vertical="center" wrapText="1"/>
    </xf>
    <xf numFmtId="0" fontId="32" fillId="2" borderId="57" xfId="6" applyFont="1" applyFill="1" applyBorder="1" applyAlignment="1">
      <alignment horizontal="center" vertical="center" wrapText="1"/>
    </xf>
    <xf numFmtId="0" fontId="32" fillId="7" borderId="64" xfId="6" applyFont="1" applyFill="1" applyBorder="1" applyAlignment="1">
      <alignment horizontal="center" vertical="center" wrapText="1"/>
    </xf>
    <xf numFmtId="0" fontId="32" fillId="7" borderId="20" xfId="6" applyFont="1" applyFill="1" applyBorder="1" applyAlignment="1">
      <alignment horizontal="center" vertical="center" wrapText="1"/>
    </xf>
    <xf numFmtId="0" fontId="32" fillId="2" borderId="64" xfId="6" applyFont="1" applyFill="1" applyBorder="1" applyAlignment="1">
      <alignment horizontal="center" vertical="center" wrapText="1"/>
    </xf>
    <xf numFmtId="0" fontId="32" fillId="2" borderId="20" xfId="6" applyFont="1" applyFill="1" applyBorder="1" applyAlignment="1">
      <alignment horizontal="center" vertical="center" wrapText="1"/>
    </xf>
    <xf numFmtId="0" fontId="32" fillId="7" borderId="57" xfId="6" applyFont="1" applyFill="1" applyBorder="1" applyAlignment="1">
      <alignment horizontal="center" vertical="center" wrapText="1"/>
    </xf>
    <xf numFmtId="0" fontId="32" fillId="2" borderId="14" xfId="6" applyFont="1" applyFill="1" applyBorder="1" applyAlignment="1">
      <alignment horizontal="center" vertical="center" wrapText="1"/>
    </xf>
    <xf numFmtId="0" fontId="32" fillId="7" borderId="23" xfId="6" applyFont="1" applyFill="1" applyBorder="1" applyAlignment="1">
      <alignment horizontal="center" vertical="center" wrapText="1"/>
    </xf>
    <xf numFmtId="0" fontId="32" fillId="2" borderId="50" xfId="6" applyFont="1" applyFill="1" applyBorder="1" applyAlignment="1">
      <alignment horizontal="center" vertical="center" wrapText="1"/>
    </xf>
    <xf numFmtId="0" fontId="25" fillId="2" borderId="0" xfId="6" applyFont="1" applyFill="1" applyAlignment="1">
      <alignment horizontal="center" vertical="center" wrapText="1"/>
    </xf>
    <xf numFmtId="0" fontId="33" fillId="2" borderId="0" xfId="6" applyFont="1" applyFill="1" applyAlignment="1">
      <alignment horizontal="left" vertical="top" wrapText="1"/>
    </xf>
    <xf numFmtId="0" fontId="33" fillId="2" borderId="0" xfId="6" applyFont="1" applyFill="1" applyAlignment="1">
      <alignment horizontal="left" vertical="top"/>
    </xf>
    <xf numFmtId="0" fontId="1" fillId="2" borderId="0" xfId="6" applyFill="1" applyAlignment="1">
      <alignment vertical="top" wrapText="1"/>
    </xf>
    <xf numFmtId="0" fontId="34" fillId="0" borderId="0" xfId="6" applyFont="1"/>
    <xf numFmtId="0" fontId="35" fillId="0" borderId="0" xfId="6" applyFont="1"/>
    <xf numFmtId="0" fontId="30" fillId="0" borderId="0" xfId="6" applyFont="1"/>
    <xf numFmtId="0" fontId="30" fillId="2" borderId="0" xfId="6" applyFont="1" applyFill="1"/>
    <xf numFmtId="0" fontId="3" fillId="3" borderId="5" xfId="6" applyFont="1" applyFill="1" applyBorder="1" applyAlignment="1">
      <alignment horizontal="center" vertical="center"/>
    </xf>
    <xf numFmtId="0" fontId="3" fillId="12" borderId="5" xfId="6" applyFont="1" applyFill="1" applyBorder="1" applyAlignment="1">
      <alignment horizontal="center" vertical="center"/>
    </xf>
    <xf numFmtId="0" fontId="36" fillId="12" borderId="5" xfId="6" applyFont="1" applyFill="1" applyBorder="1" applyAlignment="1">
      <alignment horizontal="center" vertical="center"/>
    </xf>
    <xf numFmtId="0" fontId="37" fillId="13" borderId="5" xfId="6" applyFont="1" applyFill="1" applyBorder="1" applyAlignment="1">
      <alignment horizontal="left" vertical="center"/>
    </xf>
    <xf numFmtId="0" fontId="36" fillId="2" borderId="0" xfId="6" applyFont="1" applyFill="1" applyAlignment="1">
      <alignment horizontal="center" vertical="center"/>
    </xf>
    <xf numFmtId="0" fontId="38" fillId="2" borderId="0" xfId="6" applyFont="1" applyFill="1"/>
    <xf numFmtId="0" fontId="3" fillId="14" borderId="30" xfId="3" applyFont="1" applyFill="1" applyBorder="1" applyAlignment="1">
      <alignment horizontal="center" vertical="center"/>
    </xf>
    <xf numFmtId="0" fontId="3" fillId="7" borderId="31" xfId="3" applyFont="1" applyFill="1" applyBorder="1" applyAlignment="1">
      <alignment horizontal="center" vertical="center"/>
    </xf>
    <xf numFmtId="166" fontId="3" fillId="7" borderId="31" xfId="3" applyNumberFormat="1" applyFont="1" applyFill="1" applyBorder="1" applyAlignment="1">
      <alignment horizontal="center" vertical="center"/>
    </xf>
    <xf numFmtId="0" fontId="3" fillId="14" borderId="31" xfId="3" applyFont="1" applyFill="1" applyBorder="1" applyAlignment="1">
      <alignment horizontal="center" vertical="center"/>
    </xf>
    <xf numFmtId="0" fontId="36" fillId="14" borderId="31" xfId="3" applyFont="1" applyFill="1" applyBorder="1" applyAlignment="1">
      <alignment horizontal="center" vertical="center"/>
    </xf>
    <xf numFmtId="0" fontId="36" fillId="14" borderId="31" xfId="3" applyFont="1" applyFill="1" applyBorder="1" applyAlignment="1">
      <alignment horizontal="left" vertical="center"/>
    </xf>
    <xf numFmtId="164" fontId="36" fillId="14" borderId="34" xfId="3" applyNumberFormat="1" applyFont="1" applyFill="1" applyBorder="1" applyAlignment="1">
      <alignment horizontal="center" vertical="center"/>
    </xf>
    <xf numFmtId="0" fontId="35" fillId="2" borderId="0" xfId="6" applyFont="1" applyFill="1"/>
    <xf numFmtId="0" fontId="3" fillId="14" borderId="48" xfId="6" applyFont="1" applyFill="1" applyBorder="1" applyAlignment="1">
      <alignment horizontal="center" vertical="center"/>
    </xf>
    <xf numFmtId="0" fontId="39" fillId="15" borderId="16" xfId="6" applyFont="1" applyFill="1" applyBorder="1" applyAlignment="1">
      <alignment horizontal="center" vertical="center"/>
    </xf>
    <xf numFmtId="166" fontId="39" fillId="15" borderId="16" xfId="6" applyNumberFormat="1" applyFont="1" applyFill="1" applyBorder="1" applyAlignment="1">
      <alignment horizontal="center" vertical="center"/>
    </xf>
    <xf numFmtId="0" fontId="37" fillId="14" borderId="16" xfId="6" applyFont="1" applyFill="1" applyBorder="1" applyAlignment="1">
      <alignment horizontal="center" vertical="center"/>
    </xf>
    <xf numFmtId="0" fontId="36" fillId="14" borderId="16" xfId="6" applyFont="1" applyFill="1" applyBorder="1" applyAlignment="1">
      <alignment horizontal="left" vertical="center"/>
    </xf>
    <xf numFmtId="164" fontId="37" fillId="16" borderId="49" xfId="6" applyNumberFormat="1" applyFont="1" applyFill="1" applyBorder="1" applyAlignment="1">
      <alignment horizontal="center" vertical="center"/>
    </xf>
    <xf numFmtId="0" fontId="38" fillId="2" borderId="0" xfId="6" applyFont="1" applyFill="1" applyAlignment="1">
      <alignment horizontal="center"/>
    </xf>
    <xf numFmtId="0" fontId="3" fillId="2" borderId="48" xfId="6" applyFont="1" applyFill="1" applyBorder="1" applyAlignment="1">
      <alignment horizontal="center" vertical="center"/>
    </xf>
    <xf numFmtId="0" fontId="37" fillId="2" borderId="16" xfId="6" applyFont="1" applyFill="1" applyBorder="1" applyAlignment="1">
      <alignment horizontal="center" vertical="center"/>
    </xf>
    <xf numFmtId="0" fontId="36" fillId="2" borderId="16" xfId="6" applyFont="1" applyFill="1" applyBorder="1" applyAlignment="1">
      <alignment horizontal="left" vertical="center"/>
    </xf>
    <xf numFmtId="164" fontId="37" fillId="8" borderId="49" xfId="6" applyNumberFormat="1" applyFont="1" applyFill="1" applyBorder="1" applyAlignment="1">
      <alignment horizontal="center" vertical="center"/>
    </xf>
    <xf numFmtId="0" fontId="38" fillId="0" borderId="0" xfId="6" applyFont="1"/>
    <xf numFmtId="0" fontId="36" fillId="0" borderId="0" xfId="6" applyFont="1" applyAlignment="1">
      <alignment horizontal="center" vertical="center" wrapText="1"/>
    </xf>
    <xf numFmtId="0" fontId="3" fillId="7" borderId="16" xfId="6" applyFont="1" applyFill="1" applyBorder="1" applyAlignment="1">
      <alignment horizontal="center" vertical="center"/>
    </xf>
    <xf numFmtId="166" fontId="3" fillId="7" borderId="16" xfId="6" applyNumberFormat="1" applyFont="1" applyFill="1" applyBorder="1" applyAlignment="1">
      <alignment horizontal="center" vertical="center"/>
    </xf>
    <xf numFmtId="0" fontId="36" fillId="14" borderId="16" xfId="6" applyFont="1" applyFill="1" applyBorder="1" applyAlignment="1">
      <alignment horizontal="center" vertical="center"/>
    </xf>
    <xf numFmtId="0" fontId="36" fillId="14" borderId="49" xfId="6" applyFont="1" applyFill="1" applyBorder="1" applyAlignment="1">
      <alignment horizontal="center" vertical="center"/>
    </xf>
    <xf numFmtId="0" fontId="3" fillId="14" borderId="22" xfId="6" applyFont="1" applyFill="1" applyBorder="1" applyAlignment="1">
      <alignment horizontal="center" vertical="center"/>
    </xf>
    <xf numFmtId="0" fontId="3" fillId="7" borderId="8" xfId="6" applyFont="1" applyFill="1" applyBorder="1" applyAlignment="1">
      <alignment horizontal="center" vertical="center"/>
    </xf>
    <xf numFmtId="166" fontId="3" fillId="7" borderId="8" xfId="6" applyNumberFormat="1" applyFont="1" applyFill="1" applyBorder="1" applyAlignment="1">
      <alignment horizontal="center" vertical="center"/>
    </xf>
    <xf numFmtId="0" fontId="36" fillId="17" borderId="9" xfId="6" applyFont="1" applyFill="1" applyBorder="1" applyAlignment="1">
      <alignment horizontal="center" vertical="center"/>
    </xf>
    <xf numFmtId="0" fontId="36" fillId="17" borderId="7" xfId="6" applyFont="1" applyFill="1" applyBorder="1" applyAlignment="1">
      <alignment horizontal="center" vertical="center"/>
    </xf>
    <xf numFmtId="0" fontId="36" fillId="17" borderId="8" xfId="6" applyFont="1" applyFill="1" applyBorder="1" applyAlignment="1">
      <alignment horizontal="center" vertical="center"/>
    </xf>
    <xf numFmtId="0" fontId="36" fillId="17" borderId="8" xfId="6" applyFont="1" applyFill="1" applyBorder="1" applyAlignment="1">
      <alignment horizontal="left" vertical="center"/>
    </xf>
    <xf numFmtId="0" fontId="36" fillId="17" borderId="53" xfId="6" applyFont="1" applyFill="1" applyBorder="1" applyAlignment="1">
      <alignment horizontal="center" vertical="center"/>
    </xf>
    <xf numFmtId="0" fontId="36" fillId="18" borderId="22" xfId="6" applyFont="1" applyFill="1" applyBorder="1" applyAlignment="1">
      <alignment horizontal="center" vertical="center"/>
    </xf>
    <xf numFmtId="0" fontId="37" fillId="15" borderId="8" xfId="6" applyFont="1" applyFill="1" applyBorder="1" applyAlignment="1">
      <alignment horizontal="center" vertical="center"/>
    </xf>
    <xf numFmtId="166" fontId="37" fillId="15" borderId="8" xfId="6" applyNumberFormat="1" applyFont="1" applyFill="1" applyBorder="1" applyAlignment="1">
      <alignment horizontal="center" vertical="center"/>
    </xf>
    <xf numFmtId="0" fontId="37" fillId="18" borderId="8" xfId="6" applyFont="1" applyFill="1" applyBorder="1" applyAlignment="1">
      <alignment horizontal="center" vertical="center"/>
    </xf>
    <xf numFmtId="0" fontId="37" fillId="19" borderId="8" xfId="6" applyFont="1" applyFill="1" applyBorder="1" applyAlignment="1">
      <alignment horizontal="left" vertical="center"/>
    </xf>
    <xf numFmtId="0" fontId="37" fillId="19" borderId="53" xfId="6" applyFont="1" applyFill="1" applyBorder="1" applyAlignment="1">
      <alignment horizontal="center" vertical="center"/>
    </xf>
    <xf numFmtId="0" fontId="3" fillId="18" borderId="48" xfId="6" applyFont="1" applyFill="1" applyBorder="1" applyAlignment="1">
      <alignment horizontal="center" vertical="center"/>
    </xf>
    <xf numFmtId="0" fontId="39" fillId="7" borderId="16" xfId="6" applyFont="1" applyFill="1" applyBorder="1" applyAlignment="1">
      <alignment horizontal="center" vertical="center"/>
    </xf>
    <xf numFmtId="166" fontId="39" fillId="7" borderId="16" xfId="6" applyNumberFormat="1" applyFont="1" applyFill="1" applyBorder="1" applyAlignment="1">
      <alignment horizontal="center" vertical="center"/>
    </xf>
    <xf numFmtId="0" fontId="37" fillId="18" borderId="16" xfId="6" applyFont="1" applyFill="1" applyBorder="1" applyAlignment="1">
      <alignment horizontal="center" vertical="center"/>
    </xf>
    <xf numFmtId="0" fontId="37" fillId="19" borderId="16" xfId="6" applyFont="1" applyFill="1" applyBorder="1" applyAlignment="1">
      <alignment horizontal="left" vertical="center"/>
    </xf>
    <xf numFmtId="0" fontId="37" fillId="19" borderId="49" xfId="6" applyFont="1" applyFill="1" applyBorder="1" applyAlignment="1">
      <alignment horizontal="center" vertical="center"/>
    </xf>
    <xf numFmtId="0" fontId="3" fillId="0" borderId="48" xfId="6" applyFont="1" applyBorder="1" applyAlignment="1">
      <alignment horizontal="center" vertical="center"/>
    </xf>
    <xf numFmtId="0" fontId="37" fillId="0" borderId="16" xfId="6" applyFont="1" applyBorder="1" applyAlignment="1">
      <alignment horizontal="center" vertical="center"/>
    </xf>
    <xf numFmtId="0" fontId="37" fillId="0" borderId="16" xfId="6" applyFont="1" applyBorder="1" applyAlignment="1">
      <alignment horizontal="left" vertical="center"/>
    </xf>
    <xf numFmtId="0" fontId="37" fillId="0" borderId="49" xfId="6" applyFont="1" applyBorder="1" applyAlignment="1">
      <alignment horizontal="center" vertical="center"/>
    </xf>
    <xf numFmtId="0" fontId="40" fillId="2" borderId="0" xfId="6" applyFont="1" applyFill="1" applyAlignment="1">
      <alignment horizontal="center" vertical="center"/>
    </xf>
    <xf numFmtId="0" fontId="37" fillId="18" borderId="16" xfId="6" applyFont="1" applyFill="1" applyBorder="1" applyAlignment="1">
      <alignment horizontal="left" vertical="center"/>
    </xf>
    <xf numFmtId="0" fontId="37" fillId="18" borderId="49" xfId="6" applyFont="1" applyFill="1" applyBorder="1" applyAlignment="1">
      <alignment horizontal="center" vertical="center"/>
    </xf>
    <xf numFmtId="0" fontId="36" fillId="2" borderId="22" xfId="6" applyFont="1" applyFill="1" applyBorder="1" applyAlignment="1">
      <alignment horizontal="center" vertical="center"/>
    </xf>
    <xf numFmtId="0" fontId="37" fillId="2" borderId="8" xfId="6" applyFont="1" applyFill="1" applyBorder="1" applyAlignment="1">
      <alignment horizontal="center" vertical="center"/>
    </xf>
    <xf numFmtId="0" fontId="37" fillId="8" borderId="8" xfId="6" applyFont="1" applyFill="1" applyBorder="1" applyAlignment="1">
      <alignment horizontal="left" vertical="center"/>
    </xf>
    <xf numFmtId="0" fontId="37" fillId="8" borderId="53" xfId="6" applyFont="1" applyFill="1" applyBorder="1" applyAlignment="1">
      <alignment horizontal="center" vertical="center"/>
    </xf>
    <xf numFmtId="0" fontId="36" fillId="7" borderId="16" xfId="6" applyFont="1" applyFill="1" applyBorder="1" applyAlignment="1">
      <alignment horizontal="center" vertical="center"/>
    </xf>
    <xf numFmtId="0" fontId="3" fillId="18" borderId="16" xfId="6" applyFont="1" applyFill="1" applyBorder="1" applyAlignment="1">
      <alignment horizontal="center" vertical="center"/>
    </xf>
    <xf numFmtId="0" fontId="36" fillId="18" borderId="16" xfId="6" applyFont="1" applyFill="1" applyBorder="1" applyAlignment="1">
      <alignment horizontal="center" vertical="center"/>
    </xf>
    <xf numFmtId="0" fontId="3" fillId="18" borderId="16" xfId="6" applyFont="1" applyFill="1" applyBorder="1" applyAlignment="1">
      <alignment horizontal="left" vertical="center"/>
    </xf>
    <xf numFmtId="0" fontId="3" fillId="18" borderId="49" xfId="6" applyFont="1" applyFill="1" applyBorder="1" applyAlignment="1">
      <alignment horizontal="center" vertical="center"/>
    </xf>
    <xf numFmtId="0" fontId="36" fillId="14" borderId="56" xfId="6" applyFont="1" applyFill="1" applyBorder="1" applyAlignment="1">
      <alignment horizontal="center" vertical="center"/>
    </xf>
    <xf numFmtId="166" fontId="36" fillId="7" borderId="16" xfId="6" applyNumberFormat="1" applyFont="1" applyFill="1" applyBorder="1" applyAlignment="1">
      <alignment horizontal="center" vertical="center"/>
    </xf>
    <xf numFmtId="0" fontId="37" fillId="16" borderId="16" xfId="6" applyFont="1" applyFill="1" applyBorder="1" applyAlignment="1">
      <alignment horizontal="left" vertical="center"/>
    </xf>
    <xf numFmtId="0" fontId="37" fillId="16" borderId="49" xfId="6" applyFont="1" applyFill="1" applyBorder="1" applyAlignment="1">
      <alignment horizontal="center" vertical="center"/>
    </xf>
    <xf numFmtId="0" fontId="3" fillId="14" borderId="56" xfId="6" applyFont="1" applyFill="1" applyBorder="1" applyAlignment="1">
      <alignment horizontal="center" vertical="center"/>
    </xf>
    <xf numFmtId="0" fontId="39" fillId="15" borderId="65" xfId="6" applyFont="1" applyFill="1" applyBorder="1" applyAlignment="1">
      <alignment horizontal="center" vertical="center"/>
    </xf>
    <xf numFmtId="166" fontId="39" fillId="15" borderId="65" xfId="6" applyNumberFormat="1" applyFont="1" applyFill="1" applyBorder="1" applyAlignment="1">
      <alignment horizontal="center" vertical="center"/>
    </xf>
    <xf numFmtId="0" fontId="37" fillId="16" borderId="46" xfId="6" applyFont="1" applyFill="1" applyBorder="1" applyAlignment="1">
      <alignment horizontal="center" vertical="center"/>
    </xf>
    <xf numFmtId="0" fontId="37" fillId="16" borderId="66" xfId="6" applyFont="1" applyFill="1" applyBorder="1" applyAlignment="1">
      <alignment horizontal="center" vertical="center"/>
    </xf>
    <xf numFmtId="0" fontId="37" fillId="14" borderId="65" xfId="6" applyFont="1" applyFill="1" applyBorder="1" applyAlignment="1">
      <alignment horizontal="center" vertical="center"/>
    </xf>
    <xf numFmtId="0" fontId="37" fillId="16" borderId="65" xfId="6" applyFont="1" applyFill="1" applyBorder="1" applyAlignment="1">
      <alignment horizontal="left" vertical="center"/>
    </xf>
    <xf numFmtId="0" fontId="37" fillId="16" borderId="47" xfId="6" applyFont="1" applyFill="1" applyBorder="1" applyAlignment="1">
      <alignment horizontal="center" vertical="center"/>
    </xf>
    <xf numFmtId="0" fontId="38" fillId="0" borderId="0" xfId="6" applyFont="1" applyAlignment="1">
      <alignment vertical="center"/>
    </xf>
    <xf numFmtId="0" fontId="37" fillId="19" borderId="16" xfId="6" applyFont="1" applyFill="1" applyBorder="1" applyAlignment="1">
      <alignment horizontal="center" vertical="center"/>
    </xf>
    <xf numFmtId="0" fontId="36" fillId="18" borderId="49" xfId="6" applyFont="1" applyFill="1" applyBorder="1" applyAlignment="1">
      <alignment horizontal="center" vertical="center"/>
    </xf>
    <xf numFmtId="0" fontId="41" fillId="2" borderId="0" xfId="6" applyFont="1" applyFill="1" applyAlignment="1">
      <alignment vertical="center" wrapText="1"/>
    </xf>
    <xf numFmtId="0" fontId="36" fillId="14" borderId="48" xfId="6" applyFont="1" applyFill="1" applyBorder="1" applyAlignment="1">
      <alignment horizontal="center" vertical="center"/>
    </xf>
    <xf numFmtId="0" fontId="42" fillId="2" borderId="16" xfId="6" applyFont="1" applyFill="1" applyBorder="1" applyAlignment="1">
      <alignment horizontal="center" vertical="center"/>
    </xf>
    <xf numFmtId="0" fontId="37" fillId="8" borderId="16" xfId="6" applyFont="1" applyFill="1" applyBorder="1" applyAlignment="1">
      <alignment horizontal="left" vertical="center"/>
    </xf>
    <xf numFmtId="0" fontId="37" fillId="8" borderId="49" xfId="6" applyFont="1" applyFill="1" applyBorder="1" applyAlignment="1">
      <alignment horizontal="center" vertical="center"/>
    </xf>
    <xf numFmtId="0" fontId="40" fillId="2" borderId="0" xfId="6" applyFont="1" applyFill="1" applyAlignment="1">
      <alignment horizontal="left" vertical="center"/>
    </xf>
    <xf numFmtId="0" fontId="37" fillId="16" borderId="16" xfId="6" applyFont="1" applyFill="1" applyBorder="1" applyAlignment="1">
      <alignment horizontal="center" vertical="center"/>
    </xf>
    <xf numFmtId="0" fontId="3" fillId="20" borderId="48" xfId="6" applyFont="1" applyFill="1" applyBorder="1" applyAlignment="1">
      <alignment horizontal="center" vertical="center"/>
    </xf>
    <xf numFmtId="0" fontId="37" fillId="20" borderId="16" xfId="6" applyFont="1" applyFill="1" applyBorder="1" applyAlignment="1">
      <alignment horizontal="center" vertical="center"/>
    </xf>
    <xf numFmtId="0" fontId="37" fillId="21" borderId="16" xfId="6" applyFont="1" applyFill="1" applyBorder="1" applyAlignment="1">
      <alignment horizontal="left" vertical="center"/>
    </xf>
    <xf numFmtId="0" fontId="36" fillId="20" borderId="49" xfId="6" applyFont="1" applyFill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/>
    </xf>
    <xf numFmtId="0" fontId="36" fillId="2" borderId="16" xfId="6" applyFont="1" applyFill="1" applyBorder="1" applyAlignment="1">
      <alignment horizontal="center" vertical="center"/>
    </xf>
    <xf numFmtId="0" fontId="36" fillId="8" borderId="16" xfId="6" applyFont="1" applyFill="1" applyBorder="1" applyAlignment="1">
      <alignment horizontal="left" vertical="center"/>
    </xf>
    <xf numFmtId="0" fontId="36" fillId="8" borderId="49" xfId="6" applyFont="1" applyFill="1" applyBorder="1" applyAlignment="1">
      <alignment horizontal="center" vertical="center"/>
    </xf>
    <xf numFmtId="0" fontId="3" fillId="7" borderId="65" xfId="3" applyFont="1" applyFill="1" applyBorder="1" applyAlignment="1">
      <alignment horizontal="center" vertical="center"/>
    </xf>
    <xf numFmtId="166" fontId="3" fillId="7" borderId="65" xfId="3" applyNumberFormat="1" applyFont="1" applyFill="1" applyBorder="1" applyAlignment="1">
      <alignment horizontal="center" vertical="center"/>
    </xf>
    <xf numFmtId="0" fontId="3" fillId="14" borderId="65" xfId="3" applyFont="1" applyFill="1" applyBorder="1" applyAlignment="1">
      <alignment horizontal="center" vertical="center"/>
    </xf>
    <xf numFmtId="0" fontId="36" fillId="14" borderId="65" xfId="3" applyFont="1" applyFill="1" applyBorder="1" applyAlignment="1">
      <alignment horizontal="center" vertical="center"/>
    </xf>
    <xf numFmtId="0" fontId="36" fillId="14" borderId="65" xfId="3" applyFont="1" applyFill="1" applyBorder="1" applyAlignment="1">
      <alignment horizontal="left" vertical="center"/>
    </xf>
    <xf numFmtId="164" fontId="36" fillId="14" borderId="47" xfId="3" applyNumberFormat="1" applyFont="1" applyFill="1" applyBorder="1" applyAlignment="1">
      <alignment horizontal="center" vertical="center"/>
    </xf>
    <xf numFmtId="0" fontId="3" fillId="2" borderId="22" xfId="6" applyFont="1" applyFill="1" applyBorder="1" applyAlignment="1">
      <alignment horizontal="center" vertical="center"/>
    </xf>
    <xf numFmtId="0" fontId="39" fillId="15" borderId="8" xfId="6" applyFont="1" applyFill="1" applyBorder="1" applyAlignment="1">
      <alignment horizontal="center" vertical="center"/>
    </xf>
    <xf numFmtId="166" fontId="39" fillId="15" borderId="8" xfId="6" applyNumberFormat="1" applyFont="1" applyFill="1" applyBorder="1" applyAlignment="1">
      <alignment horizontal="center" vertical="center"/>
    </xf>
    <xf numFmtId="0" fontId="37" fillId="8" borderId="8" xfId="6" applyFont="1" applyFill="1" applyBorder="1" applyAlignment="1">
      <alignment horizontal="center" vertical="center"/>
    </xf>
    <xf numFmtId="0" fontId="36" fillId="2" borderId="53" xfId="6" applyFont="1" applyFill="1" applyBorder="1" applyAlignment="1">
      <alignment horizontal="center" vertical="center"/>
    </xf>
    <xf numFmtId="0" fontId="37" fillId="14" borderId="8" xfId="6" applyFont="1" applyFill="1" applyBorder="1" applyAlignment="1">
      <alignment horizontal="center" vertical="center"/>
    </xf>
    <xf numFmtId="0" fontId="37" fillId="14" borderId="8" xfId="6" applyFont="1" applyFill="1" applyBorder="1" applyAlignment="1">
      <alignment horizontal="left" vertical="center"/>
    </xf>
    <xf numFmtId="0" fontId="37" fillId="16" borderId="53" xfId="6" applyFont="1" applyFill="1" applyBorder="1" applyAlignment="1">
      <alignment horizontal="center" vertical="center"/>
    </xf>
    <xf numFmtId="0" fontId="3" fillId="14" borderId="16" xfId="6" applyFont="1" applyFill="1" applyBorder="1" applyAlignment="1">
      <alignment horizontal="center" vertical="center"/>
    </xf>
    <xf numFmtId="0" fontId="3" fillId="14" borderId="16" xfId="6" applyFont="1" applyFill="1" applyBorder="1" applyAlignment="1">
      <alignment horizontal="left" vertical="center"/>
    </xf>
    <xf numFmtId="0" fontId="3" fillId="14" borderId="49" xfId="6" applyFont="1" applyFill="1" applyBorder="1" applyAlignment="1">
      <alignment horizontal="center" vertical="center"/>
    </xf>
    <xf numFmtId="0" fontId="3" fillId="7" borderId="65" xfId="6" applyFont="1" applyFill="1" applyBorder="1" applyAlignment="1">
      <alignment horizontal="center" vertical="center"/>
    </xf>
    <xf numFmtId="0" fontId="3" fillId="14" borderId="65" xfId="6" applyFont="1" applyFill="1" applyBorder="1" applyAlignment="1">
      <alignment horizontal="center" vertical="center"/>
    </xf>
    <xf numFmtId="0" fontId="36" fillId="14" borderId="65" xfId="6" applyFont="1" applyFill="1" applyBorder="1" applyAlignment="1">
      <alignment horizontal="center" vertical="center"/>
    </xf>
    <xf numFmtId="0" fontId="3" fillId="14" borderId="65" xfId="6" applyFont="1" applyFill="1" applyBorder="1" applyAlignment="1">
      <alignment horizontal="left" vertical="center"/>
    </xf>
    <xf numFmtId="0" fontId="3" fillId="14" borderId="47" xfId="6" applyFont="1" applyFill="1" applyBorder="1" applyAlignment="1">
      <alignment horizontal="center" vertical="center"/>
    </xf>
    <xf numFmtId="0" fontId="36" fillId="14" borderId="65" xfId="6" applyFont="1" applyFill="1" applyBorder="1" applyAlignment="1">
      <alignment horizontal="left" vertical="center"/>
    </xf>
    <xf numFmtId="164" fontId="37" fillId="16" borderId="47" xfId="6" applyNumberFormat="1" applyFont="1" applyFill="1" applyBorder="1" applyAlignment="1">
      <alignment horizontal="center" vertical="center"/>
    </xf>
    <xf numFmtId="0" fontId="3" fillId="2" borderId="65" xfId="3" applyFont="1" applyFill="1" applyBorder="1" applyAlignment="1">
      <alignment horizontal="center" vertical="center"/>
    </xf>
    <xf numFmtId="0" fontId="36" fillId="2" borderId="65" xfId="3" applyFont="1" applyFill="1" applyBorder="1" applyAlignment="1">
      <alignment horizontal="center" vertical="center"/>
    </xf>
    <xf numFmtId="0" fontId="36" fillId="2" borderId="65" xfId="3" applyFont="1" applyFill="1" applyBorder="1" applyAlignment="1">
      <alignment horizontal="left" vertical="center"/>
    </xf>
    <xf numFmtId="164" fontId="36" fillId="2" borderId="47" xfId="3" applyNumberFormat="1" applyFont="1" applyFill="1" applyBorder="1" applyAlignment="1">
      <alignment horizontal="center" vertical="center"/>
    </xf>
    <xf numFmtId="0" fontId="36" fillId="2" borderId="49" xfId="6" applyFont="1" applyFill="1" applyBorder="1" applyAlignment="1">
      <alignment horizontal="center" vertical="center"/>
    </xf>
    <xf numFmtId="0" fontId="3" fillId="22" borderId="48" xfId="6" applyFont="1" applyFill="1" applyBorder="1" applyAlignment="1">
      <alignment horizontal="center" vertical="center"/>
    </xf>
    <xf numFmtId="0" fontId="3" fillId="22" borderId="16" xfId="6" applyFont="1" applyFill="1" applyBorder="1" applyAlignment="1">
      <alignment horizontal="center" vertical="center"/>
    </xf>
    <xf numFmtId="166" fontId="3" fillId="22" borderId="16" xfId="6" applyNumberFormat="1" applyFont="1" applyFill="1" applyBorder="1" applyAlignment="1">
      <alignment horizontal="center" vertical="center"/>
    </xf>
    <xf numFmtId="0" fontId="36" fillId="22" borderId="16" xfId="6" applyFont="1" applyFill="1" applyBorder="1" applyAlignment="1">
      <alignment horizontal="center" vertical="center"/>
    </xf>
    <xf numFmtId="0" fontId="36" fillId="22" borderId="16" xfId="6" applyFont="1" applyFill="1" applyBorder="1" applyAlignment="1">
      <alignment horizontal="left" vertical="center"/>
    </xf>
    <xf numFmtId="0" fontId="36" fillId="22" borderId="49" xfId="6" applyFont="1" applyFill="1" applyBorder="1" applyAlignment="1">
      <alignment horizontal="center" vertical="center"/>
    </xf>
    <xf numFmtId="0" fontId="43" fillId="0" borderId="0" xfId="0" applyFont="1" applyAlignment="1"/>
    <xf numFmtId="0" fontId="44" fillId="0" borderId="0" xfId="0" applyFont="1" applyAlignment="1"/>
    <xf numFmtId="0" fontId="43" fillId="2" borderId="0" xfId="0" applyFont="1" applyFill="1" applyAlignment="1"/>
    <xf numFmtId="0" fontId="34" fillId="0" borderId="0" xfId="0" applyFont="1">
      <alignment vertical="center"/>
    </xf>
    <xf numFmtId="0" fontId="0" fillId="2" borderId="0" xfId="0" applyFill="1">
      <alignment vertical="center"/>
    </xf>
    <xf numFmtId="0" fontId="45" fillId="0" borderId="0" xfId="0" applyFont="1" applyAlignment="1"/>
    <xf numFmtId="0" fontId="46" fillId="0" borderId="0" xfId="0" applyFont="1" applyAlignment="1"/>
    <xf numFmtId="0" fontId="0" fillId="0" borderId="0" xfId="0" applyAlignment="1"/>
    <xf numFmtId="0" fontId="44" fillId="0" borderId="0" xfId="1" applyFont="1"/>
    <xf numFmtId="0" fontId="43" fillId="2" borderId="39" xfId="2" applyFont="1" applyFill="1" applyBorder="1" applyAlignment="1">
      <alignment horizontal="center" vertical="center"/>
    </xf>
    <xf numFmtId="0" fontId="48" fillId="2" borderId="51" xfId="1" applyFont="1" applyFill="1" applyBorder="1" applyAlignment="1">
      <alignment horizontal="center" vertical="center" wrapText="1"/>
    </xf>
    <xf numFmtId="0" fontId="48" fillId="2" borderId="52" xfId="1" applyFont="1" applyFill="1" applyBorder="1" applyAlignment="1">
      <alignment horizontal="center" vertical="center" wrapText="1"/>
    </xf>
    <xf numFmtId="0" fontId="43" fillId="2" borderId="51" xfId="2" applyFont="1" applyFill="1" applyBorder="1" applyAlignment="1">
      <alignment horizontal="center" vertical="center"/>
    </xf>
    <xf numFmtId="0" fontId="43" fillId="2" borderId="0" xfId="2" applyFont="1" applyFill="1" applyAlignment="1">
      <alignment horizontal="center" vertical="center"/>
    </xf>
    <xf numFmtId="167" fontId="50" fillId="0" borderId="39" xfId="2" applyNumberFormat="1" applyFont="1" applyBorder="1" applyAlignment="1">
      <alignment horizontal="center" vertical="center"/>
    </xf>
    <xf numFmtId="167" fontId="51" fillId="0" borderId="40" xfId="2" applyNumberFormat="1" applyFont="1" applyBorder="1" applyAlignment="1">
      <alignment horizontal="center" vertical="center"/>
    </xf>
    <xf numFmtId="0" fontId="52" fillId="2" borderId="0" xfId="2" applyFont="1" applyFill="1" applyAlignment="1">
      <alignment horizontal="center" vertical="center" wrapText="1"/>
    </xf>
    <xf numFmtId="0" fontId="52" fillId="7" borderId="37" xfId="2" applyFont="1" applyFill="1" applyBorder="1" applyAlignment="1">
      <alignment horizontal="center" vertical="center"/>
    </xf>
    <xf numFmtId="0" fontId="52" fillId="7" borderId="4" xfId="2" applyFont="1" applyFill="1" applyBorder="1" applyAlignment="1">
      <alignment horizontal="center" vertical="center"/>
    </xf>
    <xf numFmtId="0" fontId="53" fillId="7" borderId="37" xfId="2" applyFont="1" applyFill="1" applyBorder="1" applyAlignment="1">
      <alignment horizontal="center" vertical="center"/>
    </xf>
    <xf numFmtId="0" fontId="53" fillId="7" borderId="4" xfId="2" applyFont="1" applyFill="1" applyBorder="1" applyAlignment="1">
      <alignment horizontal="center" vertical="center"/>
    </xf>
    <xf numFmtId="1" fontId="51" fillId="10" borderId="4" xfId="2" applyNumberFormat="1" applyFont="1" applyFill="1" applyBorder="1" applyAlignment="1">
      <alignment horizontal="center" vertical="center"/>
    </xf>
    <xf numFmtId="0" fontId="54" fillId="0" borderId="0" xfId="1" applyFont="1"/>
    <xf numFmtId="0" fontId="52" fillId="0" borderId="0" xfId="0" applyFont="1" applyAlignment="1"/>
    <xf numFmtId="0" fontId="52" fillId="7" borderId="5" xfId="2" applyFont="1" applyFill="1" applyBorder="1" applyAlignment="1">
      <alignment horizontal="center" vertical="center"/>
    </xf>
    <xf numFmtId="0" fontId="55" fillId="7" borderId="5" xfId="2" applyFont="1" applyFill="1" applyBorder="1" applyAlignment="1">
      <alignment horizontal="center" vertical="center"/>
    </xf>
    <xf numFmtId="170" fontId="53" fillId="2" borderId="6" xfId="2" applyNumberFormat="1" applyFont="1" applyFill="1" applyBorder="1" applyAlignment="1">
      <alignment horizontal="center" vertical="center"/>
    </xf>
    <xf numFmtId="170" fontId="53" fillId="2" borderId="0" xfId="2" applyNumberFormat="1" applyFont="1" applyFill="1" applyAlignment="1">
      <alignment horizontal="center" vertical="center"/>
    </xf>
    <xf numFmtId="166" fontId="56" fillId="7" borderId="59" xfId="2" applyNumberFormat="1" applyFont="1" applyFill="1" applyBorder="1" applyAlignment="1">
      <alignment horizontal="center" vertical="center"/>
    </xf>
    <xf numFmtId="0" fontId="57" fillId="2" borderId="6" xfId="2" applyFont="1" applyFill="1" applyBorder="1" applyAlignment="1">
      <alignment horizontal="center" vertical="center"/>
    </xf>
    <xf numFmtId="166" fontId="56" fillId="7" borderId="54" xfId="2" applyNumberFormat="1" applyFont="1" applyFill="1" applyBorder="1" applyAlignment="1">
      <alignment horizontal="center" vertical="center"/>
    </xf>
    <xf numFmtId="0" fontId="53" fillId="0" borderId="6" xfId="2" applyFont="1" applyBorder="1" applyAlignment="1">
      <alignment horizontal="center" vertical="center"/>
    </xf>
    <xf numFmtId="0" fontId="53" fillId="7" borderId="59" xfId="2" applyFont="1" applyFill="1" applyBorder="1" applyAlignment="1">
      <alignment horizontal="center" vertical="center"/>
    </xf>
    <xf numFmtId="0" fontId="53" fillId="0" borderId="54" xfId="2" applyFont="1" applyBorder="1" applyAlignment="1">
      <alignment horizontal="center" vertical="center"/>
    </xf>
    <xf numFmtId="1" fontId="53" fillId="0" borderId="6" xfId="2" applyNumberFormat="1" applyFont="1" applyBorder="1" applyAlignment="1">
      <alignment horizontal="center" vertical="center"/>
    </xf>
    <xf numFmtId="0" fontId="53" fillId="23" borderId="6" xfId="5" applyFont="1" applyFill="1" applyBorder="1" applyAlignment="1">
      <alignment horizontal="center" vertical="center"/>
    </xf>
    <xf numFmtId="166" fontId="53" fillId="23" borderId="54" xfId="5" applyNumberFormat="1" applyFont="1" applyFill="1" applyBorder="1" applyAlignment="1">
      <alignment horizontal="center" vertical="center"/>
    </xf>
    <xf numFmtId="0" fontId="57" fillId="23" borderId="54" xfId="5" applyFont="1" applyFill="1" applyBorder="1" applyAlignment="1">
      <alignment horizontal="center" vertical="center"/>
    </xf>
    <xf numFmtId="0" fontId="57" fillId="23" borderId="6" xfId="5" applyFont="1" applyFill="1" applyBorder="1" applyAlignment="1">
      <alignment horizontal="center" vertical="center"/>
    </xf>
    <xf numFmtId="0" fontId="57" fillId="23" borderId="54" xfId="5" applyFont="1" applyFill="1" applyBorder="1" applyAlignment="1">
      <alignment horizontal="left" vertical="center"/>
    </xf>
    <xf numFmtId="171" fontId="58" fillId="2" borderId="37" xfId="1" applyNumberFormat="1" applyFont="1" applyFill="1" applyBorder="1" applyAlignment="1">
      <alignment horizontal="center" vertical="center" wrapText="1"/>
    </xf>
    <xf numFmtId="171" fontId="58" fillId="2" borderId="4" xfId="1" applyNumberFormat="1" applyFont="1" applyFill="1" applyBorder="1" applyAlignment="1">
      <alignment horizontal="center" vertical="center" wrapText="1"/>
    </xf>
    <xf numFmtId="0" fontId="58" fillId="2" borderId="33" xfId="1" applyFont="1" applyFill="1" applyBorder="1" applyAlignment="1">
      <alignment horizontal="center" vertical="center" wrapText="1"/>
    </xf>
    <xf numFmtId="0" fontId="58" fillId="2" borderId="34" xfId="1" applyFont="1" applyFill="1" applyBorder="1" applyAlignment="1">
      <alignment horizontal="center" vertical="center" wrapText="1"/>
    </xf>
    <xf numFmtId="170" fontId="53" fillId="2" borderId="44" xfId="2" applyNumberFormat="1" applyFont="1" applyFill="1" applyBorder="1" applyAlignment="1">
      <alignment horizontal="center" vertical="center"/>
    </xf>
    <xf numFmtId="166" fontId="56" fillId="7" borderId="45" xfId="2" applyNumberFormat="1" applyFont="1" applyFill="1" applyBorder="1" applyAlignment="1">
      <alignment horizontal="center" vertical="center"/>
    </xf>
    <xf numFmtId="0" fontId="57" fillId="2" borderId="44" xfId="2" applyFont="1" applyFill="1" applyBorder="1" applyAlignment="1">
      <alignment horizontal="center" vertical="center"/>
    </xf>
    <xf numFmtId="166" fontId="56" fillId="7" borderId="67" xfId="2" applyNumberFormat="1" applyFont="1" applyFill="1" applyBorder="1" applyAlignment="1">
      <alignment horizontal="center" vertical="center" wrapText="1"/>
    </xf>
    <xf numFmtId="0" fontId="53" fillId="2" borderId="44" xfId="2" applyFont="1" applyFill="1" applyBorder="1" applyAlignment="1">
      <alignment horizontal="center" vertical="center" wrapText="1"/>
    </xf>
    <xf numFmtId="166" fontId="53" fillId="7" borderId="67" xfId="2" applyNumberFormat="1" applyFont="1" applyFill="1" applyBorder="1" applyAlignment="1">
      <alignment horizontal="center" vertical="center"/>
    </xf>
    <xf numFmtId="0" fontId="53" fillId="0" borderId="44" xfId="2" applyFont="1" applyBorder="1" applyAlignment="1">
      <alignment horizontal="center" vertical="center"/>
    </xf>
    <xf numFmtId="0" fontId="53" fillId="0" borderId="67" xfId="2" applyFont="1" applyBorder="1" applyAlignment="1">
      <alignment horizontal="center" vertical="center"/>
    </xf>
    <xf numFmtId="1" fontId="53" fillId="0" borderId="44" xfId="2" applyNumberFormat="1" applyFont="1" applyBorder="1" applyAlignment="1">
      <alignment horizontal="center" vertical="center"/>
    </xf>
    <xf numFmtId="0" fontId="59" fillId="15" borderId="44" xfId="5" applyFont="1" applyFill="1" applyBorder="1" applyAlignment="1">
      <alignment horizontal="center" vertical="center"/>
    </xf>
    <xf numFmtId="166" fontId="59" fillId="15" borderId="67" xfId="5" applyNumberFormat="1" applyFont="1" applyFill="1" applyBorder="1" applyAlignment="1">
      <alignment horizontal="center" vertical="center"/>
    </xf>
    <xf numFmtId="0" fontId="61" fillId="2" borderId="67" xfId="5" applyFont="1" applyFill="1" applyBorder="1" applyAlignment="1">
      <alignment horizontal="center" vertical="center"/>
    </xf>
    <xf numFmtId="0" fontId="61" fillId="8" borderId="44" xfId="5" applyFont="1" applyFill="1" applyBorder="1" applyAlignment="1">
      <alignment horizontal="center" vertical="center"/>
    </xf>
    <xf numFmtId="0" fontId="61" fillId="0" borderId="67" xfId="5" applyFont="1" applyBorder="1" applyAlignment="1">
      <alignment horizontal="left" vertical="center"/>
    </xf>
    <xf numFmtId="0" fontId="57" fillId="2" borderId="44" xfId="5" applyFont="1" applyFill="1" applyBorder="1" applyAlignment="1">
      <alignment horizontal="center" vertical="center"/>
    </xf>
    <xf numFmtId="170" fontId="53" fillId="2" borderId="10" xfId="2" applyNumberFormat="1" applyFont="1" applyFill="1" applyBorder="1" applyAlignment="1">
      <alignment horizontal="center" vertical="center"/>
    </xf>
    <xf numFmtId="166" fontId="56" fillId="7" borderId="57" xfId="2" applyNumberFormat="1" applyFont="1" applyFill="1" applyBorder="1" applyAlignment="1">
      <alignment horizontal="center" vertical="center"/>
    </xf>
    <xf numFmtId="0" fontId="57" fillId="2" borderId="10" xfId="2" applyFont="1" applyFill="1" applyBorder="1" applyAlignment="1">
      <alignment horizontal="center" vertical="center"/>
    </xf>
    <xf numFmtId="166" fontId="56" fillId="7" borderId="19" xfId="2" applyNumberFormat="1" applyFont="1" applyFill="1" applyBorder="1" applyAlignment="1">
      <alignment horizontal="center" vertical="center" wrapText="1"/>
    </xf>
    <xf numFmtId="0" fontId="53" fillId="2" borderId="10" xfId="2" applyFont="1" applyFill="1" applyBorder="1" applyAlignment="1">
      <alignment horizontal="center" vertical="center" wrapText="1"/>
    </xf>
    <xf numFmtId="166" fontId="53" fillId="7" borderId="19" xfId="2" applyNumberFormat="1" applyFont="1" applyFill="1" applyBorder="1" applyAlignment="1">
      <alignment horizontal="center" vertical="center"/>
    </xf>
    <xf numFmtId="0" fontId="53" fillId="0" borderId="10" xfId="2" applyFont="1" applyBorder="1" applyAlignment="1">
      <alignment horizontal="center" vertical="center"/>
    </xf>
    <xf numFmtId="0" fontId="53" fillId="0" borderId="19" xfId="2" applyFont="1" applyBorder="1" applyAlignment="1">
      <alignment horizontal="center" vertical="center"/>
    </xf>
    <xf numFmtId="1" fontId="53" fillId="0" borderId="10" xfId="2" applyNumberFormat="1" applyFont="1" applyBorder="1" applyAlignment="1">
      <alignment horizontal="center" vertical="center"/>
    </xf>
    <xf numFmtId="0" fontId="59" fillId="15" borderId="10" xfId="5" applyFont="1" applyFill="1" applyBorder="1" applyAlignment="1">
      <alignment horizontal="center" vertical="center"/>
    </xf>
    <xf numFmtId="166" fontId="59" fillId="15" borderId="19" xfId="5" applyNumberFormat="1" applyFont="1" applyFill="1" applyBorder="1" applyAlignment="1">
      <alignment horizontal="center" vertical="center"/>
    </xf>
    <xf numFmtId="0" fontId="60" fillId="2" borderId="19" xfId="5" applyFont="1" applyFill="1" applyBorder="1" applyAlignment="1">
      <alignment horizontal="center" vertical="center"/>
    </xf>
    <xf numFmtId="0" fontId="60" fillId="2" borderId="10" xfId="5" applyFont="1" applyFill="1" applyBorder="1" applyAlignment="1">
      <alignment horizontal="center" vertical="center"/>
    </xf>
    <xf numFmtId="0" fontId="60" fillId="0" borderId="19" xfId="5" applyFont="1" applyBorder="1" applyAlignment="1">
      <alignment horizontal="left" vertical="center"/>
    </xf>
    <xf numFmtId="0" fontId="60" fillId="8" borderId="10" xfId="5" applyFont="1" applyFill="1" applyBorder="1" applyAlignment="1">
      <alignment horizontal="center" vertical="center"/>
    </xf>
    <xf numFmtId="166" fontId="56" fillId="7" borderId="57" xfId="2" applyNumberFormat="1" applyFont="1" applyFill="1" applyBorder="1" applyAlignment="1">
      <alignment horizontal="center" vertical="center" wrapText="1"/>
    </xf>
    <xf numFmtId="166" fontId="56" fillId="7" borderId="19" xfId="2" applyNumberFormat="1" applyFont="1" applyFill="1" applyBorder="1" applyAlignment="1">
      <alignment horizontal="center" vertical="center"/>
    </xf>
    <xf numFmtId="0" fontId="53" fillId="2" borderId="10" xfId="2" applyFont="1" applyFill="1" applyBorder="1" applyAlignment="1">
      <alignment horizontal="center" vertical="center"/>
    </xf>
    <xf numFmtId="0" fontId="53" fillId="7" borderId="10" xfId="5" applyFont="1" applyFill="1" applyBorder="1" applyAlignment="1">
      <alignment horizontal="center" vertical="center"/>
    </xf>
    <xf numFmtId="166" fontId="53" fillId="7" borderId="19" xfId="5" applyNumberFormat="1" applyFont="1" applyFill="1" applyBorder="1" applyAlignment="1">
      <alignment horizontal="center" vertical="center"/>
    </xf>
    <xf numFmtId="0" fontId="57" fillId="0" borderId="19" xfId="5" applyFont="1" applyBorder="1" applyAlignment="1">
      <alignment horizontal="center" vertical="center"/>
    </xf>
    <xf numFmtId="0" fontId="57" fillId="0" borderId="10" xfId="5" applyFont="1" applyBorder="1" applyAlignment="1">
      <alignment horizontal="center" vertical="center"/>
    </xf>
    <xf numFmtId="0" fontId="57" fillId="0" borderId="19" xfId="5" applyFont="1" applyBorder="1" applyAlignment="1">
      <alignment horizontal="left" vertical="center"/>
    </xf>
    <xf numFmtId="0" fontId="53" fillId="23" borderId="10" xfId="2" applyFont="1" applyFill="1" applyBorder="1" applyAlignment="1">
      <alignment horizontal="center" vertical="center"/>
    </xf>
    <xf numFmtId="166" fontId="53" fillId="23" borderId="19" xfId="2" applyNumberFormat="1" applyFont="1" applyFill="1" applyBorder="1" applyAlignment="1">
      <alignment horizontal="center" vertical="center"/>
    </xf>
    <xf numFmtId="0" fontId="53" fillId="23" borderId="19" xfId="2" applyFont="1" applyFill="1" applyBorder="1" applyAlignment="1">
      <alignment horizontal="center" vertical="center"/>
    </xf>
    <xf numFmtId="0" fontId="57" fillId="23" borderId="10" xfId="2" applyFont="1" applyFill="1" applyBorder="1" applyAlignment="1">
      <alignment horizontal="center" vertical="center"/>
    </xf>
    <xf numFmtId="0" fontId="57" fillId="23" borderId="19" xfId="2" applyFont="1" applyFill="1" applyBorder="1" applyAlignment="1">
      <alignment horizontal="left" vertical="center"/>
    </xf>
    <xf numFmtId="164" fontId="57" fillId="23" borderId="10" xfId="2" applyNumberFormat="1" applyFont="1" applyFill="1" applyBorder="1" applyAlignment="1">
      <alignment horizontal="center" vertical="center"/>
    </xf>
    <xf numFmtId="0" fontId="61" fillId="2" borderId="19" xfId="5" applyFont="1" applyFill="1" applyBorder="1" applyAlignment="1">
      <alignment horizontal="center" vertical="center"/>
    </xf>
    <xf numFmtId="0" fontId="61" fillId="2" borderId="10" xfId="5" applyFont="1" applyFill="1" applyBorder="1" applyAlignment="1">
      <alignment horizontal="center" vertical="center"/>
    </xf>
    <xf numFmtId="0" fontId="61" fillId="0" borderId="19" xfId="5" applyFont="1" applyBorder="1" applyAlignment="1">
      <alignment horizontal="left" vertical="center"/>
    </xf>
    <xf numFmtId="0" fontId="61" fillId="8" borderId="10" xfId="5" applyFont="1" applyFill="1" applyBorder="1" applyAlignment="1">
      <alignment horizontal="center" vertical="center"/>
    </xf>
    <xf numFmtId="166" fontId="56" fillId="7" borderId="64" xfId="2" applyNumberFormat="1" applyFont="1" applyFill="1" applyBorder="1" applyAlignment="1">
      <alignment horizontal="center" vertical="center" wrapText="1"/>
    </xf>
    <xf numFmtId="0" fontId="57" fillId="2" borderId="20" xfId="2" applyFont="1" applyFill="1" applyBorder="1" applyAlignment="1">
      <alignment horizontal="center" vertical="center"/>
    </xf>
    <xf numFmtId="166" fontId="62" fillId="7" borderId="19" xfId="2" applyNumberFormat="1" applyFont="1" applyFill="1" applyBorder="1" applyAlignment="1">
      <alignment horizontal="center" vertical="center" wrapText="1"/>
    </xf>
    <xf numFmtId="166" fontId="53" fillId="7" borderId="21" xfId="2" applyNumberFormat="1" applyFont="1" applyFill="1" applyBorder="1" applyAlignment="1">
      <alignment horizontal="center" vertical="center"/>
    </xf>
    <xf numFmtId="0" fontId="53" fillId="2" borderId="20" xfId="2" applyFont="1" applyFill="1" applyBorder="1" applyAlignment="1">
      <alignment horizontal="center" vertical="center"/>
    </xf>
    <xf numFmtId="0" fontId="53" fillId="0" borderId="21" xfId="2" applyFont="1" applyBorder="1" applyAlignment="1">
      <alignment horizontal="center" vertical="center"/>
    </xf>
    <xf numFmtId="0" fontId="53" fillId="7" borderId="19" xfId="5" applyFont="1" applyFill="1" applyBorder="1" applyAlignment="1">
      <alignment horizontal="center" vertical="center"/>
    </xf>
    <xf numFmtId="0" fontId="53" fillId="2" borderId="19" xfId="5" applyFont="1" applyFill="1" applyBorder="1" applyAlignment="1">
      <alignment horizontal="center" vertical="center"/>
    </xf>
    <xf numFmtId="0" fontId="53" fillId="2" borderId="10" xfId="5" applyFont="1" applyFill="1" applyBorder="1" applyAlignment="1">
      <alignment horizontal="center" vertical="center"/>
    </xf>
    <xf numFmtId="0" fontId="53" fillId="0" borderId="19" xfId="5" applyFont="1" applyBorder="1" applyAlignment="1">
      <alignment horizontal="left" vertical="center"/>
    </xf>
    <xf numFmtId="166" fontId="63" fillId="7" borderId="19" xfId="2" applyNumberFormat="1" applyFont="1" applyFill="1" applyBorder="1" applyAlignment="1">
      <alignment horizontal="center" vertical="center"/>
    </xf>
    <xf numFmtId="0" fontId="59" fillId="25" borderId="10" xfId="5" applyFont="1" applyFill="1" applyBorder="1" applyAlignment="1">
      <alignment horizontal="center" vertical="center"/>
    </xf>
    <xf numFmtId="166" fontId="59" fillId="25" borderId="19" xfId="5" applyNumberFormat="1" applyFont="1" applyFill="1" applyBorder="1" applyAlignment="1">
      <alignment horizontal="center" vertical="center"/>
    </xf>
    <xf numFmtId="0" fontId="61" fillId="23" borderId="19" xfId="5" applyFont="1" applyFill="1" applyBorder="1" applyAlignment="1">
      <alignment horizontal="center" vertical="center"/>
    </xf>
    <xf numFmtId="0" fontId="61" fillId="23" borderId="10" xfId="5" applyFont="1" applyFill="1" applyBorder="1" applyAlignment="1">
      <alignment horizontal="center" vertical="center"/>
    </xf>
    <xf numFmtId="0" fontId="61" fillId="23" borderId="19" xfId="5" applyFont="1" applyFill="1" applyBorder="1" applyAlignment="1">
      <alignment horizontal="left" vertical="center"/>
    </xf>
    <xf numFmtId="0" fontId="57" fillId="2" borderId="10" xfId="5" applyFont="1" applyFill="1" applyBorder="1" applyAlignment="1">
      <alignment horizontal="center" vertical="center"/>
    </xf>
    <xf numFmtId="170" fontId="53" fillId="2" borderId="23" xfId="2" applyNumberFormat="1" applyFont="1" applyFill="1" applyBorder="1" applyAlignment="1">
      <alignment horizontal="center" vertical="center"/>
    </xf>
    <xf numFmtId="166" fontId="56" fillId="7" borderId="60" xfId="2" applyNumberFormat="1" applyFont="1" applyFill="1" applyBorder="1" applyAlignment="1">
      <alignment horizontal="center" vertical="center" wrapText="1"/>
    </xf>
    <xf numFmtId="0" fontId="57" fillId="2" borderId="23" xfId="2" applyFont="1" applyFill="1" applyBorder="1" applyAlignment="1">
      <alignment horizontal="center" vertical="center"/>
    </xf>
    <xf numFmtId="166" fontId="62" fillId="7" borderId="35" xfId="2" applyNumberFormat="1" applyFont="1" applyFill="1" applyBorder="1" applyAlignment="1">
      <alignment horizontal="center" vertical="center" wrapText="1"/>
    </xf>
    <xf numFmtId="166" fontId="64" fillId="7" borderId="35" xfId="2" applyNumberFormat="1" applyFont="1" applyFill="1" applyBorder="1" applyAlignment="1">
      <alignment horizontal="center" vertical="center" wrapText="1"/>
    </xf>
    <xf numFmtId="0" fontId="53" fillId="0" borderId="35" xfId="2" applyFont="1" applyBorder="1" applyAlignment="1">
      <alignment horizontal="center" vertical="center"/>
    </xf>
    <xf numFmtId="1" fontId="53" fillId="0" borderId="23" xfId="2" applyNumberFormat="1" applyFont="1" applyBorder="1" applyAlignment="1">
      <alignment horizontal="center" vertical="center"/>
    </xf>
    <xf numFmtId="0" fontId="59" fillId="15" borderId="50" xfId="5" applyFont="1" applyFill="1" applyBorder="1" applyAlignment="1">
      <alignment horizontal="center" vertical="center"/>
    </xf>
    <xf numFmtId="166" fontId="59" fillId="15" borderId="39" xfId="5" applyNumberFormat="1" applyFont="1" applyFill="1" applyBorder="1" applyAlignment="1">
      <alignment horizontal="center" vertical="center"/>
    </xf>
    <xf numFmtId="0" fontId="61" fillId="2" borderId="39" xfId="5" applyFont="1" applyFill="1" applyBorder="1" applyAlignment="1">
      <alignment horizontal="center" vertical="center"/>
    </xf>
    <xf numFmtId="0" fontId="61" fillId="2" borderId="50" xfId="5" applyFont="1" applyFill="1" applyBorder="1" applyAlignment="1">
      <alignment horizontal="center" vertical="center"/>
    </xf>
    <xf numFmtId="0" fontId="61" fillId="0" borderId="39" xfId="5" applyFont="1" applyBorder="1" applyAlignment="1">
      <alignment horizontal="left" vertical="center"/>
    </xf>
    <xf numFmtId="0" fontId="61" fillId="8" borderId="50" xfId="5" applyFont="1" applyFill="1" applyBorder="1" applyAlignment="1">
      <alignment horizontal="center" vertical="center"/>
    </xf>
    <xf numFmtId="166" fontId="65" fillId="2" borderId="0" xfId="2" applyNumberFormat="1" applyFont="1" applyFill="1" applyAlignment="1">
      <alignment horizontal="center" vertical="center"/>
    </xf>
    <xf numFmtId="0" fontId="57" fillId="2" borderId="0" xfId="2" applyFont="1" applyFill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66" fontId="53" fillId="2" borderId="0" xfId="2" applyNumberFormat="1" applyFont="1" applyFill="1" applyAlignment="1">
      <alignment horizontal="center" vertical="center"/>
    </xf>
    <xf numFmtId="1" fontId="53" fillId="2" borderId="0" xfId="2" applyNumberFormat="1" applyFont="1" applyFill="1" applyAlignment="1">
      <alignment horizontal="center" vertical="center"/>
    </xf>
    <xf numFmtId="0" fontId="53" fillId="2" borderId="0" xfId="5" applyFont="1" applyFill="1" applyAlignment="1">
      <alignment horizontal="center" vertical="center"/>
    </xf>
    <xf numFmtId="166" fontId="53" fillId="2" borderId="0" xfId="5" applyNumberFormat="1" applyFont="1" applyFill="1" applyAlignment="1">
      <alignment horizontal="center" vertical="center"/>
    </xf>
    <xf numFmtId="0" fontId="61" fillId="8" borderId="0" xfId="5" applyFont="1" applyFill="1" applyAlignment="1">
      <alignment horizontal="center" vertical="center"/>
    </xf>
    <xf numFmtId="0" fontId="61" fillId="2" borderId="0" xfId="5" applyFont="1" applyFill="1" applyAlignment="1">
      <alignment horizontal="center" vertical="center"/>
    </xf>
    <xf numFmtId="0" fontId="61" fillId="8" borderId="0" xfId="5" applyFont="1" applyFill="1" applyAlignment="1">
      <alignment horizontal="left" vertical="center"/>
    </xf>
    <xf numFmtId="0" fontId="57" fillId="2" borderId="0" xfId="5" applyFont="1" applyFill="1" applyAlignment="1">
      <alignment horizontal="center" vertical="center"/>
    </xf>
    <xf numFmtId="0" fontId="44" fillId="2" borderId="0" xfId="1" applyFont="1" applyFill="1"/>
    <xf numFmtId="165" fontId="48" fillId="2" borderId="0" xfId="1" applyNumberFormat="1" applyFont="1" applyFill="1" applyAlignment="1">
      <alignment horizontal="center" vertical="center"/>
    </xf>
    <xf numFmtId="0" fontId="58" fillId="2" borderId="0" xfId="1" applyFont="1" applyFill="1" applyAlignment="1">
      <alignment horizontal="center" vertical="center"/>
    </xf>
    <xf numFmtId="166" fontId="62" fillId="7" borderId="59" xfId="2" applyNumberFormat="1" applyFont="1" applyFill="1" applyBorder="1" applyAlignment="1">
      <alignment horizontal="center" vertical="center"/>
    </xf>
    <xf numFmtId="166" fontId="62" fillId="7" borderId="54" xfId="2" applyNumberFormat="1" applyFont="1" applyFill="1" applyBorder="1" applyAlignment="1">
      <alignment horizontal="center" vertical="center" wrapText="1"/>
    </xf>
    <xf numFmtId="0" fontId="53" fillId="2" borderId="6" xfId="2" applyFont="1" applyFill="1" applyBorder="1" applyAlignment="1">
      <alignment horizontal="center" vertical="center" wrapText="1"/>
    </xf>
    <xf numFmtId="166" fontId="53" fillId="7" borderId="54" xfId="2" applyNumberFormat="1" applyFont="1" applyFill="1" applyBorder="1" applyAlignment="1">
      <alignment horizontal="center" vertical="center"/>
    </xf>
    <xf numFmtId="0" fontId="53" fillId="7" borderId="6" xfId="5" applyFont="1" applyFill="1" applyBorder="1" applyAlignment="1">
      <alignment horizontal="center" vertical="center"/>
    </xf>
    <xf numFmtId="166" fontId="53" fillId="7" borderId="54" xfId="5" applyNumberFormat="1" applyFont="1" applyFill="1" applyBorder="1" applyAlignment="1">
      <alignment horizontal="center" vertical="center"/>
    </xf>
    <xf numFmtId="0" fontId="57" fillId="2" borderId="54" xfId="5" applyFont="1" applyFill="1" applyBorder="1" applyAlignment="1">
      <alignment horizontal="center" vertical="center"/>
    </xf>
    <xf numFmtId="0" fontId="57" fillId="2" borderId="6" xfId="5" applyFont="1" applyFill="1" applyBorder="1" applyAlignment="1">
      <alignment horizontal="center" vertical="center"/>
    </xf>
    <xf numFmtId="0" fontId="57" fillId="0" borderId="54" xfId="5" applyFont="1" applyBorder="1" applyAlignment="1">
      <alignment horizontal="left" vertical="center"/>
    </xf>
    <xf numFmtId="166" fontId="62" fillId="7" borderId="57" xfId="2" applyNumberFormat="1" applyFont="1" applyFill="1" applyBorder="1" applyAlignment="1">
      <alignment horizontal="center" vertical="center"/>
    </xf>
    <xf numFmtId="166" fontId="64" fillId="7" borderId="19" xfId="2" applyNumberFormat="1" applyFont="1" applyFill="1" applyBorder="1" applyAlignment="1">
      <alignment horizontal="center" vertical="center" wrapText="1"/>
    </xf>
    <xf numFmtId="0" fontId="57" fillId="2" borderId="19" xfId="5" applyFont="1" applyFill="1" applyBorder="1" applyAlignment="1">
      <alignment horizontal="center" vertical="center"/>
    </xf>
    <xf numFmtId="0" fontId="57" fillId="8" borderId="10" xfId="5" applyFont="1" applyFill="1" applyBorder="1" applyAlignment="1">
      <alignment horizontal="center" vertical="center"/>
    </xf>
    <xf numFmtId="0" fontId="58" fillId="2" borderId="58" xfId="1" applyFont="1" applyFill="1" applyBorder="1" applyAlignment="1">
      <alignment horizontal="center" vertical="center" wrapText="1"/>
    </xf>
    <xf numFmtId="0" fontId="58" fillId="2" borderId="43" xfId="1" applyFont="1" applyFill="1" applyBorder="1" applyAlignment="1">
      <alignment horizontal="center" vertical="center" wrapText="1"/>
    </xf>
    <xf numFmtId="0" fontId="57" fillId="2" borderId="57" xfId="5" applyFont="1" applyFill="1" applyBorder="1" applyAlignment="1">
      <alignment horizontal="center" vertical="center"/>
    </xf>
    <xf numFmtId="0" fontId="57" fillId="2" borderId="18" xfId="5" applyFont="1" applyFill="1" applyBorder="1" applyAlignment="1">
      <alignment horizontal="center" vertical="center"/>
    </xf>
    <xf numFmtId="170" fontId="53" fillId="2" borderId="2" xfId="2" applyNumberFormat="1" applyFont="1" applyFill="1" applyBorder="1" applyAlignment="1">
      <alignment horizontal="center" vertical="center"/>
    </xf>
    <xf numFmtId="166" fontId="62" fillId="7" borderId="45" xfId="2" applyNumberFormat="1" applyFont="1" applyFill="1" applyBorder="1" applyAlignment="1">
      <alignment horizontal="center" vertical="center" wrapText="1"/>
    </xf>
    <xf numFmtId="166" fontId="62" fillId="7" borderId="67" xfId="2" applyNumberFormat="1" applyFont="1" applyFill="1" applyBorder="1" applyAlignment="1">
      <alignment horizontal="center" vertical="center" wrapText="1"/>
    </xf>
    <xf numFmtId="0" fontId="53" fillId="2" borderId="44" xfId="2" applyFont="1" applyFill="1" applyBorder="1" applyAlignment="1">
      <alignment horizontal="center" vertical="center"/>
    </xf>
    <xf numFmtId="0" fontId="57" fillId="0" borderId="19" xfId="5" applyFont="1" applyBorder="1" applyAlignment="1">
      <alignment horizontal="left" vertical="center" wrapText="1"/>
    </xf>
    <xf numFmtId="164" fontId="61" fillId="8" borderId="10" xfId="5" applyNumberFormat="1" applyFont="1" applyFill="1" applyBorder="1" applyAlignment="1">
      <alignment horizontal="center" vertical="center"/>
    </xf>
    <xf numFmtId="166" fontId="62" fillId="7" borderId="64" xfId="2" applyNumberFormat="1" applyFont="1" applyFill="1" applyBorder="1" applyAlignment="1">
      <alignment horizontal="center" vertical="center" wrapText="1"/>
    </xf>
    <xf numFmtId="166" fontId="62" fillId="7" borderId="51" xfId="2" applyNumberFormat="1" applyFont="1" applyFill="1" applyBorder="1" applyAlignment="1">
      <alignment horizontal="center" vertical="center" wrapText="1"/>
    </xf>
    <xf numFmtId="0" fontId="57" fillId="2" borderId="14" xfId="2" applyFont="1" applyFill="1" applyBorder="1" applyAlignment="1">
      <alignment horizontal="center" vertical="center"/>
    </xf>
    <xf numFmtId="1" fontId="53" fillId="0" borderId="20" xfId="2" applyNumberFormat="1" applyFont="1" applyBorder="1" applyAlignment="1">
      <alignment horizontal="center" vertical="center"/>
    </xf>
    <xf numFmtId="166" fontId="64" fillId="7" borderId="57" xfId="2" applyNumberFormat="1" applyFont="1" applyFill="1" applyBorder="1" applyAlignment="1">
      <alignment horizontal="center" vertical="center" wrapText="1"/>
    </xf>
    <xf numFmtId="170" fontId="53" fillId="2" borderId="20" xfId="2" applyNumberFormat="1" applyFont="1" applyFill="1" applyBorder="1" applyAlignment="1">
      <alignment horizontal="center" vertical="center"/>
    </xf>
    <xf numFmtId="166" fontId="62" fillId="7" borderId="21" xfId="2" applyNumberFormat="1" applyFont="1" applyFill="1" applyBorder="1" applyAlignment="1">
      <alignment horizontal="center" vertical="center" wrapText="1"/>
    </xf>
    <xf numFmtId="166" fontId="64" fillId="7" borderId="21" xfId="2" applyNumberFormat="1" applyFont="1" applyFill="1" applyBorder="1" applyAlignment="1">
      <alignment horizontal="center" vertical="center" wrapText="1"/>
    </xf>
    <xf numFmtId="0" fontId="53" fillId="7" borderId="10" xfId="2" applyFont="1" applyFill="1" applyBorder="1" applyAlignment="1">
      <alignment horizontal="center" vertical="center"/>
    </xf>
    <xf numFmtId="0" fontId="53" fillId="2" borderId="19" xfId="2" applyFont="1" applyFill="1" applyBorder="1" applyAlignment="1">
      <alignment horizontal="center" vertical="center"/>
    </xf>
    <xf numFmtId="0" fontId="57" fillId="0" borderId="19" xfId="2" applyFont="1" applyBorder="1" applyAlignment="1">
      <alignment horizontal="left" vertical="center"/>
    </xf>
    <xf numFmtId="164" fontId="57" fillId="2" borderId="10" xfId="2" applyNumberFormat="1" applyFont="1" applyFill="1" applyBorder="1" applyAlignment="1">
      <alignment horizontal="center" vertical="center"/>
    </xf>
    <xf numFmtId="166" fontId="64" fillId="7" borderId="64" xfId="2" applyNumberFormat="1" applyFont="1" applyFill="1" applyBorder="1" applyAlignment="1">
      <alignment horizontal="center" vertical="center" wrapText="1"/>
    </xf>
    <xf numFmtId="170" fontId="53" fillId="2" borderId="67" xfId="2" applyNumberFormat="1" applyFont="1" applyFill="1" applyBorder="1" applyAlignment="1">
      <alignment horizontal="center" vertical="center"/>
    </xf>
    <xf numFmtId="166" fontId="62" fillId="7" borderId="57" xfId="2" applyNumberFormat="1" applyFont="1" applyFill="1" applyBorder="1" applyAlignment="1">
      <alignment horizontal="center" vertical="center" wrapText="1"/>
    </xf>
    <xf numFmtId="166" fontId="66" fillId="7" borderId="19" xfId="2" applyNumberFormat="1" applyFont="1" applyFill="1" applyBorder="1" applyAlignment="1">
      <alignment horizontal="center" vertical="center"/>
    </xf>
    <xf numFmtId="0" fontId="67" fillId="7" borderId="19" xfId="2" applyFont="1" applyFill="1" applyBorder="1" applyAlignment="1">
      <alignment horizontal="center" vertical="center"/>
    </xf>
    <xf numFmtId="1" fontId="53" fillId="2" borderId="10" xfId="2" applyNumberFormat="1" applyFont="1" applyFill="1" applyBorder="1" applyAlignment="1">
      <alignment horizontal="center" vertical="center"/>
    </xf>
    <xf numFmtId="166" fontId="62" fillId="7" borderId="38" xfId="2" applyNumberFormat="1" applyFont="1" applyFill="1" applyBorder="1" applyAlignment="1">
      <alignment horizontal="center" vertical="center" wrapText="1"/>
    </xf>
    <xf numFmtId="0" fontId="53" fillId="2" borderId="50" xfId="2" applyFont="1" applyFill="1" applyBorder="1" applyAlignment="1">
      <alignment horizontal="center" vertical="center"/>
    </xf>
    <xf numFmtId="166" fontId="64" fillId="7" borderId="39" xfId="2" applyNumberFormat="1" applyFont="1" applyFill="1" applyBorder="1" applyAlignment="1">
      <alignment horizontal="center" vertical="center" wrapText="1"/>
    </xf>
    <xf numFmtId="166" fontId="53" fillId="7" borderId="39" xfId="2" applyNumberFormat="1" applyFont="1" applyFill="1" applyBorder="1" applyAlignment="1">
      <alignment horizontal="center" vertical="center"/>
    </xf>
    <xf numFmtId="0" fontId="53" fillId="0" borderId="39" xfId="2" applyFont="1" applyBorder="1" applyAlignment="1">
      <alignment horizontal="center" vertical="center"/>
    </xf>
    <xf numFmtId="1" fontId="53" fillId="0" borderId="50" xfId="2" applyNumberFormat="1" applyFont="1" applyBorder="1" applyAlignment="1">
      <alignment horizontal="center" vertical="center"/>
    </xf>
    <xf numFmtId="0" fontId="60" fillId="2" borderId="50" xfId="5" applyFont="1" applyFill="1" applyBorder="1" applyAlignment="1">
      <alignment horizontal="center" vertical="center"/>
    </xf>
    <xf numFmtId="0" fontId="60" fillId="2" borderId="38" xfId="5" applyFont="1" applyFill="1" applyBorder="1" applyAlignment="1">
      <alignment horizontal="center" vertical="center"/>
    </xf>
    <xf numFmtId="0" fontId="61" fillId="0" borderId="50" xfId="5" applyFont="1" applyBorder="1" applyAlignment="1">
      <alignment horizontal="left" vertical="center"/>
    </xf>
    <xf numFmtId="0" fontId="61" fillId="8" borderId="40" xfId="5" applyFont="1" applyFill="1" applyBorder="1" applyAlignment="1">
      <alignment horizontal="center" vertical="center"/>
    </xf>
    <xf numFmtId="0" fontId="44" fillId="0" borderId="51" xfId="1" applyFont="1" applyBorder="1"/>
    <xf numFmtId="166" fontId="67" fillId="2" borderId="0" xfId="2" applyNumberFormat="1" applyFont="1" applyFill="1" applyAlignment="1">
      <alignment horizontal="center" vertical="center" wrapText="1"/>
    </xf>
    <xf numFmtId="166" fontId="64" fillId="2" borderId="0" xfId="2" applyNumberFormat="1" applyFont="1" applyFill="1" applyAlignment="1">
      <alignment horizontal="center" vertical="center" wrapText="1"/>
    </xf>
    <xf numFmtId="0" fontId="57" fillId="2" borderId="0" xfId="5" applyFont="1" applyFill="1" applyAlignment="1">
      <alignment horizontal="left" vertical="center"/>
    </xf>
    <xf numFmtId="166" fontId="66" fillId="7" borderId="59" xfId="2" applyNumberFormat="1" applyFont="1" applyFill="1" applyBorder="1" applyAlignment="1">
      <alignment horizontal="center" vertical="center" wrapText="1"/>
    </xf>
    <xf numFmtId="166" fontId="66" fillId="7" borderId="54" xfId="2" applyNumberFormat="1" applyFont="1" applyFill="1" applyBorder="1" applyAlignment="1">
      <alignment horizontal="center" vertical="center" wrapText="1"/>
    </xf>
    <xf numFmtId="0" fontId="53" fillId="2" borderId="6" xfId="2" applyFont="1" applyFill="1" applyBorder="1" applyAlignment="1">
      <alignment horizontal="center" vertical="center"/>
    </xf>
    <xf numFmtId="0" fontId="53" fillId="2" borderId="54" xfId="2" applyFont="1" applyFill="1" applyBorder="1" applyAlignment="1">
      <alignment horizontal="center" vertical="center"/>
    </xf>
    <xf numFmtId="1" fontId="53" fillId="2" borderId="6" xfId="2" applyNumberFormat="1" applyFont="1" applyFill="1" applyBorder="1" applyAlignment="1">
      <alignment horizontal="center" vertical="center"/>
    </xf>
    <xf numFmtId="0" fontId="59" fillId="15" borderId="6" xfId="5" applyFont="1" applyFill="1" applyBorder="1" applyAlignment="1">
      <alignment horizontal="center" vertical="center"/>
    </xf>
    <xf numFmtId="166" fontId="59" fillId="15" borderId="54" xfId="5" applyNumberFormat="1" applyFont="1" applyFill="1" applyBorder="1" applyAlignment="1">
      <alignment horizontal="center" vertical="center"/>
    </xf>
    <xf numFmtId="0" fontId="61" fillId="2" borderId="59" xfId="5" applyFont="1" applyFill="1" applyBorder="1" applyAlignment="1">
      <alignment horizontal="center" vertical="center"/>
    </xf>
    <xf numFmtId="0" fontId="61" fillId="2" borderId="6" xfId="5" applyFont="1" applyFill="1" applyBorder="1" applyAlignment="1">
      <alignment horizontal="center" vertical="center"/>
    </xf>
    <xf numFmtId="0" fontId="61" fillId="0" borderId="54" xfId="5" applyFont="1" applyBorder="1" applyAlignment="1">
      <alignment horizontal="left" vertical="center"/>
    </xf>
    <xf numFmtId="0" fontId="61" fillId="8" borderId="6" xfId="5" applyFont="1" applyFill="1" applyBorder="1" applyAlignment="1">
      <alignment horizontal="center" vertical="center"/>
    </xf>
    <xf numFmtId="0" fontId="58" fillId="2" borderId="37" xfId="1" applyFont="1" applyFill="1" applyBorder="1" applyAlignment="1">
      <alignment horizontal="center" vertical="center" wrapText="1"/>
    </xf>
    <xf numFmtId="0" fontId="58" fillId="2" borderId="4" xfId="1" applyFont="1" applyFill="1" applyBorder="1" applyAlignment="1">
      <alignment horizontal="center" vertical="center" wrapText="1"/>
    </xf>
    <xf numFmtId="166" fontId="63" fillId="7" borderId="45" xfId="2" applyNumberFormat="1" applyFont="1" applyFill="1" applyBorder="1" applyAlignment="1">
      <alignment horizontal="center" vertical="center" wrapText="1"/>
    </xf>
    <xf numFmtId="166" fontId="66" fillId="7" borderId="67" xfId="2" applyNumberFormat="1" applyFont="1" applyFill="1" applyBorder="1" applyAlignment="1">
      <alignment horizontal="center" vertical="center" wrapText="1"/>
    </xf>
    <xf numFmtId="0" fontId="53" fillId="2" borderId="67" xfId="2" applyFont="1" applyFill="1" applyBorder="1" applyAlignment="1">
      <alignment horizontal="center" vertical="center"/>
    </xf>
    <xf numFmtId="1" fontId="53" fillId="2" borderId="44" xfId="2" applyNumberFormat="1" applyFont="1" applyFill="1" applyBorder="1" applyAlignment="1">
      <alignment horizontal="center" vertical="center"/>
    </xf>
    <xf numFmtId="0" fontId="53" fillId="2" borderId="45" xfId="5" applyFont="1" applyFill="1" applyBorder="1" applyAlignment="1">
      <alignment horizontal="center" vertical="center"/>
    </xf>
    <xf numFmtId="0" fontId="53" fillId="2" borderId="67" xfId="5" applyFont="1" applyFill="1" applyBorder="1" applyAlignment="1">
      <alignment horizontal="center" vertical="center"/>
    </xf>
    <xf numFmtId="0" fontId="61" fillId="2" borderId="45" xfId="5" applyFont="1" applyFill="1" applyBorder="1" applyAlignment="1">
      <alignment horizontal="center" vertical="center"/>
    </xf>
    <xf numFmtId="0" fontId="61" fillId="2" borderId="44" xfId="5" applyFont="1" applyFill="1" applyBorder="1" applyAlignment="1">
      <alignment horizontal="center" vertical="center"/>
    </xf>
    <xf numFmtId="0" fontId="59" fillId="25" borderId="44" xfId="5" applyFont="1" applyFill="1" applyBorder="1" applyAlignment="1">
      <alignment horizontal="center" vertical="center"/>
    </xf>
    <xf numFmtId="166" fontId="59" fillId="25" borderId="67" xfId="5" applyNumberFormat="1" applyFont="1" applyFill="1" applyBorder="1" applyAlignment="1">
      <alignment horizontal="center" vertical="center"/>
    </xf>
    <xf numFmtId="0" fontId="61" fillId="23" borderId="45" xfId="5" applyFont="1" applyFill="1" applyBorder="1" applyAlignment="1">
      <alignment horizontal="center" vertical="center"/>
    </xf>
    <xf numFmtId="0" fontId="61" fillId="23" borderId="44" xfId="5" applyFont="1" applyFill="1" applyBorder="1" applyAlignment="1">
      <alignment horizontal="center" vertical="center"/>
    </xf>
    <xf numFmtId="0" fontId="61" fillId="23" borderId="67" xfId="5" applyFont="1" applyFill="1" applyBorder="1" applyAlignment="1">
      <alignment horizontal="left" vertical="center"/>
    </xf>
    <xf numFmtId="166" fontId="66" fillId="7" borderId="57" xfId="2" applyNumberFormat="1" applyFont="1" applyFill="1" applyBorder="1" applyAlignment="1">
      <alignment horizontal="center" vertical="center"/>
    </xf>
    <xf numFmtId="166" fontId="63" fillId="7" borderId="45" xfId="2" applyNumberFormat="1" applyFont="1" applyFill="1" applyBorder="1" applyAlignment="1">
      <alignment horizontal="center" vertical="center"/>
    </xf>
    <xf numFmtId="166" fontId="63" fillId="7" borderId="67" xfId="2" applyNumberFormat="1" applyFont="1" applyFill="1" applyBorder="1" applyAlignment="1">
      <alignment horizontal="center" vertical="center"/>
    </xf>
    <xf numFmtId="0" fontId="53" fillId="2" borderId="18" xfId="5" applyFont="1" applyFill="1" applyBorder="1" applyAlignment="1">
      <alignment horizontal="center" vertical="center"/>
    </xf>
    <xf numFmtId="166" fontId="66" fillId="7" borderId="45" xfId="2" applyNumberFormat="1" applyFont="1" applyFill="1" applyBorder="1" applyAlignment="1">
      <alignment horizontal="center" vertical="center" wrapText="1"/>
    </xf>
    <xf numFmtId="166" fontId="66" fillId="7" borderId="67" xfId="2" applyNumberFormat="1" applyFont="1" applyFill="1" applyBorder="1" applyAlignment="1">
      <alignment horizontal="center" vertical="center"/>
    </xf>
    <xf numFmtId="166" fontId="66" fillId="7" borderId="64" xfId="2" applyNumberFormat="1" applyFont="1" applyFill="1" applyBorder="1" applyAlignment="1">
      <alignment horizontal="center" vertical="center" wrapText="1"/>
    </xf>
    <xf numFmtId="166" fontId="66" fillId="7" borderId="0" xfId="2" applyNumberFormat="1" applyFont="1" applyFill="1" applyAlignment="1">
      <alignment horizontal="center" vertical="center" wrapText="1"/>
    </xf>
    <xf numFmtId="49" fontId="66" fillId="7" borderId="19" xfId="2" applyNumberFormat="1" applyFont="1" applyFill="1" applyBorder="1" applyAlignment="1">
      <alignment horizontal="center" vertical="center"/>
    </xf>
    <xf numFmtId="0" fontId="57" fillId="7" borderId="19" xfId="2" applyFont="1" applyFill="1" applyBorder="1" applyAlignment="1">
      <alignment horizontal="center" vertical="center"/>
    </xf>
    <xf numFmtId="0" fontId="53" fillId="7" borderId="44" xfId="2" applyFont="1" applyFill="1" applyBorder="1" applyAlignment="1">
      <alignment horizontal="center" vertical="center"/>
    </xf>
    <xf numFmtId="0" fontId="53" fillId="2" borderId="45" xfId="2" applyFont="1" applyFill="1" applyBorder="1" applyAlignment="1">
      <alignment horizontal="center" vertical="center"/>
    </xf>
    <xf numFmtId="0" fontId="57" fillId="0" borderId="67" xfId="2" applyFont="1" applyBorder="1" applyAlignment="1">
      <alignment horizontal="left" vertical="center"/>
    </xf>
    <xf numFmtId="164" fontId="57" fillId="2" borderId="44" xfId="2" applyNumberFormat="1" applyFont="1" applyFill="1" applyBorder="1" applyAlignment="1">
      <alignment horizontal="center" vertical="center"/>
    </xf>
    <xf numFmtId="49" fontId="66" fillId="7" borderId="21" xfId="2" applyNumberFormat="1" applyFont="1" applyFill="1" applyBorder="1" applyAlignment="1">
      <alignment horizontal="center" vertical="center"/>
    </xf>
    <xf numFmtId="0" fontId="57" fillId="7" borderId="21" xfId="2" applyFont="1" applyFill="1" applyBorder="1" applyAlignment="1">
      <alignment horizontal="center" vertical="center"/>
    </xf>
    <xf numFmtId="166" fontId="63" fillId="7" borderId="64" xfId="2" applyNumberFormat="1" applyFont="1" applyFill="1" applyBorder="1" applyAlignment="1">
      <alignment horizontal="center" vertical="center"/>
    </xf>
    <xf numFmtId="0" fontId="53" fillId="7" borderId="44" xfId="5" applyFont="1" applyFill="1" applyBorder="1" applyAlignment="1">
      <alignment horizontal="center" vertical="center"/>
    </xf>
    <xf numFmtId="166" fontId="53" fillId="7" borderId="67" xfId="5" applyNumberFormat="1" applyFont="1" applyFill="1" applyBorder="1" applyAlignment="1">
      <alignment horizontal="center" vertical="center"/>
    </xf>
    <xf numFmtId="0" fontId="57" fillId="2" borderId="45" xfId="5" applyFont="1" applyFill="1" applyBorder="1" applyAlignment="1">
      <alignment horizontal="center" vertical="center"/>
    </xf>
    <xf numFmtId="0" fontId="57" fillId="0" borderId="67" xfId="5" applyFont="1" applyBorder="1" applyAlignment="1">
      <alignment horizontal="left" vertical="center"/>
    </xf>
    <xf numFmtId="171" fontId="58" fillId="2" borderId="70" xfId="1" applyNumberFormat="1" applyFont="1" applyFill="1" applyBorder="1" applyAlignment="1">
      <alignment horizontal="center" vertical="center" wrapText="1"/>
    </xf>
    <xf numFmtId="171" fontId="58" fillId="2" borderId="69" xfId="1" applyNumberFormat="1" applyFont="1" applyFill="1" applyBorder="1" applyAlignment="1">
      <alignment horizontal="center" vertical="center" wrapText="1"/>
    </xf>
    <xf numFmtId="166" fontId="66" fillId="7" borderId="19" xfId="2" applyNumberFormat="1" applyFont="1" applyFill="1" applyBorder="1" applyAlignment="1">
      <alignment horizontal="center" vertical="center" wrapText="1"/>
    </xf>
    <xf numFmtId="0" fontId="53" fillId="2" borderId="57" xfId="2" applyFont="1" applyFill="1" applyBorder="1" applyAlignment="1">
      <alignment horizontal="center" vertical="center"/>
    </xf>
    <xf numFmtId="0" fontId="53" fillId="2" borderId="18" xfId="2" applyFont="1" applyFill="1" applyBorder="1" applyAlignment="1">
      <alignment horizontal="center" vertical="center"/>
    </xf>
    <xf numFmtId="166" fontId="66" fillId="7" borderId="60" xfId="2" applyNumberFormat="1" applyFont="1" applyFill="1" applyBorder="1" applyAlignment="1">
      <alignment horizontal="center" vertical="center"/>
    </xf>
    <xf numFmtId="166" fontId="66" fillId="7" borderId="35" xfId="2" applyNumberFormat="1" applyFont="1" applyFill="1" applyBorder="1" applyAlignment="1">
      <alignment horizontal="center" vertical="center"/>
    </xf>
    <xf numFmtId="0" fontId="53" fillId="2" borderId="23" xfId="2" applyFont="1" applyFill="1" applyBorder="1" applyAlignment="1">
      <alignment horizontal="center" vertical="center"/>
    </xf>
    <xf numFmtId="166" fontId="53" fillId="7" borderId="35" xfId="2" applyNumberFormat="1" applyFont="1" applyFill="1" applyBorder="1" applyAlignment="1">
      <alignment horizontal="center" vertical="center"/>
    </xf>
    <xf numFmtId="0" fontId="53" fillId="2" borderId="35" xfId="2" applyFont="1" applyFill="1" applyBorder="1" applyAlignment="1">
      <alignment horizontal="center" vertical="center"/>
    </xf>
    <xf numFmtId="1" fontId="53" fillId="2" borderId="23" xfId="2" applyNumberFormat="1" applyFont="1" applyFill="1" applyBorder="1" applyAlignment="1">
      <alignment horizontal="center" vertical="center"/>
    </xf>
    <xf numFmtId="0" fontId="59" fillId="15" borderId="23" xfId="5" applyFont="1" applyFill="1" applyBorder="1" applyAlignment="1">
      <alignment horizontal="center" vertical="center"/>
    </xf>
    <xf numFmtId="166" fontId="59" fillId="15" borderId="35" xfId="5" applyNumberFormat="1" applyFont="1" applyFill="1" applyBorder="1" applyAlignment="1">
      <alignment horizontal="center" vertical="center"/>
    </xf>
    <xf numFmtId="0" fontId="61" fillId="2" borderId="60" xfId="5" applyFont="1" applyFill="1" applyBorder="1" applyAlignment="1">
      <alignment horizontal="center" vertical="center"/>
    </xf>
    <xf numFmtId="0" fontId="61" fillId="2" borderId="23" xfId="5" applyFont="1" applyFill="1" applyBorder="1" applyAlignment="1">
      <alignment horizontal="center" vertical="center"/>
    </xf>
    <xf numFmtId="0" fontId="61" fillId="0" borderId="35" xfId="5" applyFont="1" applyBorder="1" applyAlignment="1">
      <alignment horizontal="left" vertical="center"/>
    </xf>
    <xf numFmtId="0" fontId="61" fillId="8" borderId="23" xfId="5" applyFont="1" applyFill="1" applyBorder="1" applyAlignment="1">
      <alignment horizontal="center" vertical="center"/>
    </xf>
    <xf numFmtId="166" fontId="53" fillId="7" borderId="37" xfId="2" applyNumberFormat="1" applyFont="1" applyFill="1" applyBorder="1" applyAlignment="1">
      <alignment horizontal="center" vertical="center"/>
    </xf>
    <xf numFmtId="166" fontId="53" fillId="7" borderId="3" xfId="2" applyNumberFormat="1" applyFont="1" applyFill="1" applyBorder="1" applyAlignment="1">
      <alignment horizontal="center" vertical="center"/>
    </xf>
    <xf numFmtId="166" fontId="53" fillId="7" borderId="4" xfId="2" applyNumberFormat="1" applyFont="1" applyFill="1" applyBorder="1" applyAlignment="1">
      <alignment horizontal="center" vertical="center"/>
    </xf>
    <xf numFmtId="0" fontId="53" fillId="7" borderId="3" xfId="2" applyFont="1" applyFill="1" applyBorder="1" applyAlignment="1">
      <alignment horizontal="center" vertical="center"/>
    </xf>
    <xf numFmtId="1" fontId="53" fillId="7" borderId="5" xfId="2" applyNumberFormat="1" applyFont="1" applyFill="1" applyBorder="1" applyAlignment="1">
      <alignment horizontal="center" vertical="center"/>
    </xf>
    <xf numFmtId="1" fontId="53" fillId="7" borderId="37" xfId="2" applyNumberFormat="1" applyFont="1" applyFill="1" applyBorder="1" applyAlignment="1">
      <alignment horizontal="center" vertical="center"/>
    </xf>
    <xf numFmtId="1" fontId="53" fillId="7" borderId="4" xfId="2" applyNumberFormat="1" applyFont="1" applyFill="1" applyBorder="1" applyAlignment="1">
      <alignment horizontal="center" vertical="center"/>
    </xf>
    <xf numFmtId="0" fontId="58" fillId="7" borderId="37" xfId="2" applyFont="1" applyFill="1" applyBorder="1" applyAlignment="1">
      <alignment horizontal="center" vertical="center"/>
    </xf>
    <xf numFmtId="0" fontId="58" fillId="7" borderId="3" xfId="2" applyFont="1" applyFill="1" applyBorder="1" applyAlignment="1">
      <alignment horizontal="center" vertical="center"/>
    </xf>
    <xf numFmtId="0" fontId="57" fillId="7" borderId="4" xfId="2" applyFont="1" applyFill="1" applyBorder="1" applyAlignment="1">
      <alignment horizontal="center" vertical="center"/>
    </xf>
    <xf numFmtId="0" fontId="52" fillId="7" borderId="3" xfId="2" applyFont="1" applyFill="1" applyBorder="1" applyAlignment="1">
      <alignment horizontal="center" vertical="center"/>
    </xf>
    <xf numFmtId="0" fontId="52" fillId="2" borderId="0" xfId="2" applyFont="1" applyFill="1" applyAlignment="1">
      <alignment horizontal="left" vertical="center"/>
    </xf>
    <xf numFmtId="0" fontId="55" fillId="2" borderId="0" xfId="2" applyFont="1" applyFill="1" applyAlignment="1">
      <alignment horizontal="left" vertical="center"/>
    </xf>
    <xf numFmtId="1" fontId="52" fillId="2" borderId="0" xfId="2" applyNumberFormat="1" applyFont="1" applyFill="1" applyAlignment="1">
      <alignment horizontal="center" vertical="center"/>
    </xf>
    <xf numFmtId="0" fontId="48" fillId="2" borderId="0" xfId="2" applyFont="1" applyFill="1" applyAlignment="1">
      <alignment horizontal="center" vertical="center"/>
    </xf>
    <xf numFmtId="0" fontId="48" fillId="2" borderId="0" xfId="2" applyFont="1" applyFill="1" applyAlignment="1">
      <alignment horizontal="center" vertical="center" wrapText="1"/>
    </xf>
    <xf numFmtId="0" fontId="52" fillId="26" borderId="59" xfId="1" applyFont="1" applyFill="1" applyBorder="1" applyAlignment="1">
      <alignment horizontal="center" vertical="center"/>
    </xf>
    <xf numFmtId="0" fontId="52" fillId="26" borderId="57" xfId="1" applyFont="1" applyFill="1" applyBorder="1" applyAlignment="1">
      <alignment horizontal="center" vertical="center"/>
    </xf>
    <xf numFmtId="0" fontId="52" fillId="26" borderId="60" xfId="1" applyFont="1" applyFill="1" applyBorder="1" applyAlignment="1">
      <alignment horizontal="center" vertical="center"/>
    </xf>
    <xf numFmtId="0" fontId="70" fillId="2" borderId="0" xfId="2" applyFont="1" applyFill="1" applyAlignment="1">
      <alignment horizontal="center" vertical="center"/>
    </xf>
    <xf numFmtId="0" fontId="44" fillId="0" borderId="0" xfId="2" applyFont="1"/>
    <xf numFmtId="0" fontId="52" fillId="0" borderId="0" xfId="2" applyFont="1"/>
    <xf numFmtId="0" fontId="52" fillId="26" borderId="5" xfId="2" applyFont="1" applyFill="1" applyBorder="1" applyAlignment="1">
      <alignment horizontal="center" vertical="center"/>
    </xf>
    <xf numFmtId="0" fontId="71" fillId="0" borderId="0" xfId="0" applyFont="1" applyAlignment="1"/>
    <xf numFmtId="0" fontId="72" fillId="0" borderId="0" xfId="0" applyFont="1" applyAlignment="1"/>
    <xf numFmtId="0" fontId="14" fillId="2" borderId="0" xfId="2" applyFont="1" applyFill="1" applyAlignment="1">
      <alignment horizontal="center" vertical="center"/>
    </xf>
    <xf numFmtId="0" fontId="49" fillId="2" borderId="0" xfId="2" applyFont="1" applyFill="1" applyAlignment="1">
      <alignment horizontal="center" vertical="center"/>
    </xf>
    <xf numFmtId="167" fontId="49" fillId="2" borderId="0" xfId="2" applyNumberFormat="1" applyFont="1" applyFill="1" applyAlignment="1">
      <alignment horizontal="center" vertical="center"/>
    </xf>
    <xf numFmtId="167" fontId="73" fillId="2" borderId="0" xfId="2" applyNumberFormat="1" applyFont="1" applyFill="1" applyAlignment="1">
      <alignment horizontal="center" vertical="center"/>
    </xf>
    <xf numFmtId="0" fontId="54" fillId="0" borderId="0" xfId="0" applyFont="1" applyAlignment="1"/>
    <xf numFmtId="0" fontId="34" fillId="0" borderId="0" xfId="0" applyFont="1" applyAlignment="1"/>
    <xf numFmtId="1" fontId="73" fillId="10" borderId="4" xfId="2" applyNumberFormat="1" applyFont="1" applyFill="1" applyBorder="1" applyAlignment="1">
      <alignment horizontal="center" vertical="center"/>
    </xf>
    <xf numFmtId="166" fontId="65" fillId="7" borderId="54" xfId="2" applyNumberFormat="1" applyFont="1" applyFill="1" applyBorder="1" applyAlignment="1">
      <alignment horizontal="center" vertical="center"/>
    </xf>
    <xf numFmtId="0" fontId="53" fillId="7" borderId="54" xfId="2" applyFont="1" applyFill="1" applyBorder="1" applyAlignment="1">
      <alignment horizontal="center" vertical="center"/>
    </xf>
    <xf numFmtId="0" fontId="57" fillId="2" borderId="55" xfId="5" applyFont="1" applyFill="1" applyBorder="1" applyAlignment="1">
      <alignment horizontal="center" vertical="center"/>
    </xf>
    <xf numFmtId="0" fontId="57" fillId="2" borderId="6" xfId="5" applyFont="1" applyFill="1" applyBorder="1" applyAlignment="1">
      <alignment horizontal="left" vertical="center"/>
    </xf>
    <xf numFmtId="0" fontId="72" fillId="2" borderId="0" xfId="0" applyFont="1" applyFill="1" applyAlignment="1"/>
    <xf numFmtId="0" fontId="57" fillId="2" borderId="19" xfId="5" applyFont="1" applyFill="1" applyBorder="1" applyAlignment="1">
      <alignment horizontal="left" vertical="center"/>
    </xf>
    <xf numFmtId="166" fontId="65" fillId="7" borderId="67" xfId="2" applyNumberFormat="1" applyFont="1" applyFill="1" applyBorder="1" applyAlignment="1">
      <alignment horizontal="center" vertical="center"/>
    </xf>
    <xf numFmtId="0" fontId="53" fillId="7" borderId="67" xfId="2" applyFont="1" applyFill="1" applyBorder="1" applyAlignment="1">
      <alignment horizontal="center" vertical="center"/>
    </xf>
    <xf numFmtId="0" fontId="53" fillId="7" borderId="20" xfId="5" applyFont="1" applyFill="1" applyBorder="1" applyAlignment="1">
      <alignment horizontal="center" vertical="center"/>
    </xf>
    <xf numFmtId="166" fontId="53" fillId="7" borderId="21" xfId="5" applyNumberFormat="1" applyFont="1" applyFill="1" applyBorder="1" applyAlignment="1">
      <alignment horizontal="center" vertical="center"/>
    </xf>
    <xf numFmtId="0" fontId="57" fillId="2" borderId="20" xfId="5" applyFont="1" applyFill="1" applyBorder="1" applyAlignment="1">
      <alignment horizontal="center" vertical="center"/>
    </xf>
    <xf numFmtId="0" fontId="57" fillId="2" borderId="13" xfId="5" applyFont="1" applyFill="1" applyBorder="1" applyAlignment="1">
      <alignment horizontal="center" vertical="center"/>
    </xf>
    <xf numFmtId="0" fontId="57" fillId="2" borderId="13" xfId="5" applyFont="1" applyFill="1" applyBorder="1" applyAlignment="1">
      <alignment horizontal="left" vertical="center"/>
    </xf>
    <xf numFmtId="166" fontId="56" fillId="7" borderId="38" xfId="2" applyNumberFormat="1" applyFont="1" applyFill="1" applyBorder="1" applyAlignment="1">
      <alignment horizontal="center" vertical="center"/>
    </xf>
    <xf numFmtId="0" fontId="57" fillId="2" borderId="50" xfId="2" applyFont="1" applyFill="1" applyBorder="1" applyAlignment="1">
      <alignment horizontal="center" vertical="center"/>
    </xf>
    <xf numFmtId="166" fontId="57" fillId="7" borderId="39" xfId="2" applyNumberFormat="1" applyFont="1" applyFill="1" applyBorder="1" applyAlignment="1">
      <alignment horizontal="center" vertical="center"/>
    </xf>
    <xf numFmtId="0" fontId="53" fillId="0" borderId="50" xfId="2" applyFont="1" applyBorder="1" applyAlignment="1">
      <alignment horizontal="center" vertical="center"/>
    </xf>
    <xf numFmtId="0" fontId="53" fillId="7" borderId="39" xfId="2" applyFont="1" applyFill="1" applyBorder="1" applyAlignment="1">
      <alignment horizontal="center" vertical="center"/>
    </xf>
    <xf numFmtId="0" fontId="61" fillId="15" borderId="23" xfId="5" applyFont="1" applyFill="1" applyBorder="1" applyAlignment="1">
      <alignment horizontal="center" vertical="center"/>
    </xf>
    <xf numFmtId="166" fontId="61" fillId="15" borderId="35" xfId="5" applyNumberFormat="1" applyFont="1" applyFill="1" applyBorder="1" applyAlignment="1">
      <alignment horizontal="center" vertical="center"/>
    </xf>
    <xf numFmtId="0" fontId="61" fillId="8" borderId="61" xfId="5" applyFont="1" applyFill="1" applyBorder="1" applyAlignment="1">
      <alignment horizontal="center" vertical="center"/>
    </xf>
    <xf numFmtId="0" fontId="61" fillId="2" borderId="61" xfId="5" applyFont="1" applyFill="1" applyBorder="1" applyAlignment="1">
      <alignment horizontal="center" vertical="center"/>
    </xf>
    <xf numFmtId="0" fontId="61" fillId="8" borderId="61" xfId="5" applyFont="1" applyFill="1" applyBorder="1" applyAlignment="1">
      <alignment horizontal="left" vertical="center"/>
    </xf>
    <xf numFmtId="170" fontId="75" fillId="2" borderId="0" xfId="2" applyNumberFormat="1" applyFont="1" applyFill="1" applyAlignment="1">
      <alignment horizontal="center" vertical="center"/>
    </xf>
    <xf numFmtId="166" fontId="76" fillId="2" borderId="0" xfId="2" applyNumberFormat="1" applyFont="1" applyFill="1" applyAlignment="1">
      <alignment horizontal="center" vertical="center" wrapText="1"/>
    </xf>
    <xf numFmtId="0" fontId="77" fillId="0" borderId="0" xfId="0" applyFont="1" applyAlignment="1"/>
    <xf numFmtId="166" fontId="76" fillId="2" borderId="0" xfId="2" applyNumberFormat="1" applyFont="1" applyFill="1" applyAlignment="1">
      <alignment horizontal="center" vertical="center"/>
    </xf>
    <xf numFmtId="0" fontId="75" fillId="2" borderId="0" xfId="2" applyFont="1" applyFill="1" applyAlignment="1">
      <alignment horizontal="center" vertical="center"/>
    </xf>
    <xf numFmtId="1" fontId="75" fillId="2" borderId="0" xfId="2" applyNumberFormat="1" applyFont="1" applyFill="1" applyAlignment="1">
      <alignment horizontal="center" vertical="center"/>
    </xf>
    <xf numFmtId="0" fontId="74" fillId="2" borderId="0" xfId="2" applyFont="1" applyFill="1" applyAlignment="1">
      <alignment horizontal="center" vertical="center"/>
    </xf>
    <xf numFmtId="166" fontId="74" fillId="2" borderId="0" xfId="2" applyNumberFormat="1" applyFont="1" applyFill="1" applyAlignment="1">
      <alignment horizontal="center" vertical="center"/>
    </xf>
    <xf numFmtId="0" fontId="74" fillId="2" borderId="0" xfId="2" applyFont="1" applyFill="1" applyAlignment="1">
      <alignment horizontal="center" vertical="top"/>
    </xf>
    <xf numFmtId="0" fontId="73" fillId="2" borderId="0" xfId="2" applyFont="1" applyFill="1" applyAlignment="1">
      <alignment horizontal="center" vertical="top"/>
    </xf>
    <xf numFmtId="0" fontId="73" fillId="2" borderId="0" xfId="2" applyFont="1" applyFill="1" applyAlignment="1">
      <alignment horizontal="left" vertical="center"/>
    </xf>
    <xf numFmtId="0" fontId="73" fillId="2" borderId="0" xfId="2" applyFont="1" applyFill="1" applyAlignment="1">
      <alignment horizontal="center" vertical="center"/>
    </xf>
    <xf numFmtId="166" fontId="56" fillId="7" borderId="6" xfId="2" applyNumberFormat="1" applyFont="1" applyFill="1" applyBorder="1" applyAlignment="1">
      <alignment horizontal="center" vertical="center"/>
    </xf>
    <xf numFmtId="0" fontId="53" fillId="7" borderId="6" xfId="2" applyFont="1" applyFill="1" applyBorder="1" applyAlignment="1">
      <alignment horizontal="center" vertical="center"/>
    </xf>
    <xf numFmtId="0" fontId="53" fillId="2" borderId="59" xfId="2" applyFont="1" applyFill="1" applyBorder="1" applyAlignment="1">
      <alignment horizontal="center" vertical="center"/>
    </xf>
    <xf numFmtId="0" fontId="53" fillId="2" borderId="55" xfId="2" applyFont="1" applyFill="1" applyBorder="1" applyAlignment="1">
      <alignment horizontal="center" vertical="center"/>
    </xf>
    <xf numFmtId="0" fontId="57" fillId="2" borderId="54" xfId="2" applyFont="1" applyFill="1" applyBorder="1" applyAlignment="1">
      <alignment horizontal="left" vertical="center"/>
    </xf>
    <xf numFmtId="164" fontId="57" fillId="2" borderId="6" xfId="2" applyNumberFormat="1" applyFont="1" applyFill="1" applyBorder="1" applyAlignment="1">
      <alignment horizontal="center" vertical="center"/>
    </xf>
    <xf numFmtId="166" fontId="63" fillId="7" borderId="44" xfId="2" applyNumberFormat="1" applyFont="1" applyFill="1" applyBorder="1" applyAlignment="1">
      <alignment horizontal="center" vertical="center"/>
    </xf>
    <xf numFmtId="166" fontId="56" fillId="7" borderId="67" xfId="2" applyNumberFormat="1" applyFont="1" applyFill="1" applyBorder="1" applyAlignment="1">
      <alignment horizontal="center" vertical="center"/>
    </xf>
    <xf numFmtId="0" fontId="53" fillId="23" borderId="10" xfId="5" applyFont="1" applyFill="1" applyBorder="1" applyAlignment="1">
      <alignment horizontal="center" vertical="center"/>
    </xf>
    <xf numFmtId="166" fontId="53" fillId="23" borderId="19" xfId="5" applyNumberFormat="1" applyFont="1" applyFill="1" applyBorder="1" applyAlignment="1">
      <alignment horizontal="center" vertical="center"/>
    </xf>
    <xf numFmtId="0" fontId="57" fillId="23" borderId="57" xfId="5" applyFont="1" applyFill="1" applyBorder="1" applyAlignment="1">
      <alignment horizontal="center" vertical="center"/>
    </xf>
    <xf numFmtId="0" fontId="57" fillId="23" borderId="18" xfId="5" applyFont="1" applyFill="1" applyBorder="1" applyAlignment="1">
      <alignment horizontal="center" vertical="center"/>
    </xf>
    <xf numFmtId="0" fontId="57" fillId="23" borderId="10" xfId="5" applyFont="1" applyFill="1" applyBorder="1" applyAlignment="1">
      <alignment horizontal="center" vertical="center"/>
    </xf>
    <xf numFmtId="0" fontId="57" fillId="23" borderId="19" xfId="5" applyFont="1" applyFill="1" applyBorder="1" applyAlignment="1">
      <alignment horizontal="left" vertical="center"/>
    </xf>
    <xf numFmtId="0" fontId="60" fillId="2" borderId="19" xfId="5" applyFont="1" applyFill="1" applyBorder="1" applyAlignment="1">
      <alignment horizontal="left" vertical="center"/>
    </xf>
    <xf numFmtId="0" fontId="77" fillId="0" borderId="0" xfId="1" applyFont="1"/>
    <xf numFmtId="166" fontId="56" fillId="7" borderId="10" xfId="2" applyNumberFormat="1" applyFont="1" applyFill="1" applyBorder="1" applyAlignment="1">
      <alignment horizontal="center" vertical="center"/>
    </xf>
    <xf numFmtId="0" fontId="61" fillId="2" borderId="21" xfId="5" applyFont="1" applyFill="1" applyBorder="1" applyAlignment="1">
      <alignment horizontal="center" vertical="center"/>
    </xf>
    <xf numFmtId="0" fontId="57" fillId="2" borderId="21" xfId="5" applyFont="1" applyFill="1" applyBorder="1" applyAlignment="1">
      <alignment horizontal="left" vertical="center"/>
    </xf>
    <xf numFmtId="166" fontId="63" fillId="7" borderId="10" xfId="2" applyNumberFormat="1" applyFont="1" applyFill="1" applyBorder="1" applyAlignment="1">
      <alignment horizontal="center" vertical="center"/>
    </xf>
    <xf numFmtId="166" fontId="64" fillId="7" borderId="19" xfId="2" applyNumberFormat="1" applyFont="1" applyFill="1" applyBorder="1" applyAlignment="1">
      <alignment horizontal="center" vertical="center"/>
    </xf>
    <xf numFmtId="0" fontId="53" fillId="7" borderId="21" xfId="5" applyFont="1" applyFill="1" applyBorder="1" applyAlignment="1">
      <alignment horizontal="center" vertical="center"/>
    </xf>
    <xf numFmtId="0" fontId="53" fillId="2" borderId="21" xfId="5" applyFont="1" applyFill="1" applyBorder="1" applyAlignment="1">
      <alignment horizontal="center" vertical="center"/>
    </xf>
    <xf numFmtId="0" fontId="53" fillId="2" borderId="20" xfId="5" applyFont="1" applyFill="1" applyBorder="1" applyAlignment="1">
      <alignment horizontal="center" vertical="center"/>
    </xf>
    <xf numFmtId="0" fontId="53" fillId="2" borderId="21" xfId="5" applyFont="1" applyFill="1" applyBorder="1" applyAlignment="1">
      <alignment horizontal="left" vertical="center"/>
    </xf>
    <xf numFmtId="166" fontId="63" fillId="7" borderId="57" xfId="2" applyNumberFormat="1" applyFont="1" applyFill="1" applyBorder="1" applyAlignment="1">
      <alignment horizontal="center" vertical="center"/>
    </xf>
    <xf numFmtId="0" fontId="59" fillId="25" borderId="20" xfId="5" applyFont="1" applyFill="1" applyBorder="1" applyAlignment="1">
      <alignment horizontal="center" vertical="center"/>
    </xf>
    <xf numFmtId="166" fontId="59" fillId="25" borderId="21" xfId="5" applyNumberFormat="1" applyFont="1" applyFill="1" applyBorder="1" applyAlignment="1">
      <alignment horizontal="center" vertical="center"/>
    </xf>
    <xf numFmtId="0" fontId="61" fillId="23" borderId="21" xfId="5" applyFont="1" applyFill="1" applyBorder="1" applyAlignment="1">
      <alignment horizontal="center" vertical="center"/>
    </xf>
    <xf numFmtId="0" fontId="61" fillId="23" borderId="20" xfId="5" applyFont="1" applyFill="1" applyBorder="1" applyAlignment="1">
      <alignment horizontal="center" vertical="center"/>
    </xf>
    <xf numFmtId="0" fontId="61" fillId="23" borderId="21" xfId="5" applyFont="1" applyFill="1" applyBorder="1" applyAlignment="1">
      <alignment horizontal="left" vertical="center"/>
    </xf>
    <xf numFmtId="0" fontId="61" fillId="24" borderId="20" xfId="5" applyFont="1" applyFill="1" applyBorder="1" applyAlignment="1">
      <alignment horizontal="center" vertical="center"/>
    </xf>
    <xf numFmtId="0" fontId="53" fillId="2" borderId="19" xfId="5" applyFont="1" applyFill="1" applyBorder="1" applyAlignment="1">
      <alignment horizontal="left" vertical="center"/>
    </xf>
    <xf numFmtId="166" fontId="64" fillId="7" borderId="45" xfId="2" applyNumberFormat="1" applyFont="1" applyFill="1" applyBorder="1" applyAlignment="1">
      <alignment horizontal="center" vertical="center" wrapText="1"/>
    </xf>
    <xf numFmtId="0" fontId="53" fillId="7" borderId="14" xfId="5" applyFont="1" applyFill="1" applyBorder="1" applyAlignment="1">
      <alignment horizontal="center" vertical="center"/>
    </xf>
    <xf numFmtId="0" fontId="53" fillId="7" borderId="0" xfId="5" applyFont="1" applyFill="1" applyAlignment="1">
      <alignment horizontal="center" vertical="center"/>
    </xf>
    <xf numFmtId="0" fontId="57" fillId="2" borderId="62" xfId="5" applyFont="1" applyFill="1" applyBorder="1" applyAlignment="1">
      <alignment horizontal="center" vertical="center"/>
    </xf>
    <xf numFmtId="0" fontId="53" fillId="2" borderId="14" xfId="5" applyFont="1" applyFill="1" applyBorder="1" applyAlignment="1">
      <alignment horizontal="center" vertical="center"/>
    </xf>
    <xf numFmtId="0" fontId="53" fillId="2" borderId="0" xfId="5" applyFont="1" applyFill="1" applyAlignment="1">
      <alignment horizontal="left" vertical="center"/>
    </xf>
    <xf numFmtId="166" fontId="58" fillId="7" borderId="45" xfId="2" applyNumberFormat="1" applyFont="1" applyFill="1" applyBorder="1" applyAlignment="1">
      <alignment horizontal="center" vertical="center" wrapText="1"/>
    </xf>
    <xf numFmtId="0" fontId="57" fillId="2" borderId="19" xfId="5" applyFont="1" applyFill="1" applyBorder="1" applyAlignment="1">
      <alignment horizontal="left" vertical="center" wrapText="1"/>
    </xf>
    <xf numFmtId="166" fontId="56" fillId="7" borderId="44" xfId="2" applyNumberFormat="1" applyFont="1" applyFill="1" applyBorder="1" applyAlignment="1">
      <alignment horizontal="center" vertical="center"/>
    </xf>
    <xf numFmtId="0" fontId="61" fillId="2" borderId="19" xfId="5" applyFont="1" applyFill="1" applyBorder="1" applyAlignment="1">
      <alignment horizontal="left" vertical="center"/>
    </xf>
    <xf numFmtId="170" fontId="53" fillId="2" borderId="50" xfId="2" applyNumberFormat="1" applyFont="1" applyFill="1" applyBorder="1" applyAlignment="1">
      <alignment horizontal="center" vertical="center"/>
    </xf>
    <xf numFmtId="166" fontId="56" fillId="7" borderId="60" xfId="2" applyNumberFormat="1" applyFont="1" applyFill="1" applyBorder="1" applyAlignment="1">
      <alignment horizontal="center" vertical="center"/>
    </xf>
    <xf numFmtId="166" fontId="56" fillId="7" borderId="35" xfId="2" applyNumberFormat="1" applyFont="1" applyFill="1" applyBorder="1" applyAlignment="1">
      <alignment horizontal="center" vertical="center"/>
    </xf>
    <xf numFmtId="0" fontId="53" fillId="7" borderId="23" xfId="5" applyFont="1" applyFill="1" applyBorder="1" applyAlignment="1">
      <alignment horizontal="center" vertical="center"/>
    </xf>
    <xf numFmtId="0" fontId="53" fillId="7" borderId="35" xfId="5" applyFont="1" applyFill="1" applyBorder="1" applyAlignment="1">
      <alignment horizontal="center" vertical="center"/>
    </xf>
    <xf numFmtId="0" fontId="57" fillId="2" borderId="60" xfId="5" applyFont="1" applyFill="1" applyBorder="1" applyAlignment="1">
      <alignment horizontal="center" vertical="center"/>
    </xf>
    <xf numFmtId="0" fontId="57" fillId="2" borderId="61" xfId="5" applyFont="1" applyFill="1" applyBorder="1" applyAlignment="1">
      <alignment horizontal="center" vertical="center"/>
    </xf>
    <xf numFmtId="0" fontId="53" fillId="2" borderId="35" xfId="5" applyFont="1" applyFill="1" applyBorder="1" applyAlignment="1">
      <alignment horizontal="center" vertical="center"/>
    </xf>
    <xf numFmtId="0" fontId="53" fillId="2" borderId="23" xfId="5" applyFont="1" applyFill="1" applyBorder="1" applyAlignment="1">
      <alignment horizontal="center" vertical="center"/>
    </xf>
    <xf numFmtId="0" fontId="53" fillId="2" borderId="35" xfId="5" applyFont="1" applyFill="1" applyBorder="1" applyAlignment="1">
      <alignment horizontal="left" vertical="center"/>
    </xf>
    <xf numFmtId="170" fontId="74" fillId="2" borderId="0" xfId="2" applyNumberFormat="1" applyFont="1" applyFill="1" applyAlignment="1">
      <alignment horizontal="center" vertical="center"/>
    </xf>
    <xf numFmtId="166" fontId="78" fillId="2" borderId="0" xfId="2" applyNumberFormat="1" applyFont="1" applyFill="1" applyAlignment="1">
      <alignment horizontal="center" vertical="center"/>
    </xf>
    <xf numFmtId="166" fontId="78" fillId="2" borderId="0" xfId="2" applyNumberFormat="1" applyFont="1" applyFill="1" applyAlignment="1">
      <alignment horizontal="center" vertical="center" wrapText="1"/>
    </xf>
    <xf numFmtId="1" fontId="74" fillId="2" borderId="0" xfId="2" applyNumberFormat="1" applyFont="1" applyFill="1" applyAlignment="1">
      <alignment horizontal="center" vertical="center"/>
    </xf>
    <xf numFmtId="164" fontId="73" fillId="2" borderId="0" xfId="2" applyNumberFormat="1" applyFont="1" applyFill="1" applyAlignment="1">
      <alignment horizontal="center" vertical="center"/>
    </xf>
    <xf numFmtId="171" fontId="58" fillId="2" borderId="0" xfId="1" applyNumberFormat="1" applyFont="1" applyFill="1" applyAlignment="1">
      <alignment horizontal="center" vertical="center"/>
    </xf>
    <xf numFmtId="166" fontId="62" fillId="7" borderId="6" xfId="2" applyNumberFormat="1" applyFont="1" applyFill="1" applyBorder="1" applyAlignment="1">
      <alignment horizontal="center" vertical="center"/>
    </xf>
    <xf numFmtId="0" fontId="59" fillId="7" borderId="6" xfId="5" applyFont="1" applyFill="1" applyBorder="1" applyAlignment="1">
      <alignment horizontal="center" vertical="center"/>
    </xf>
    <xf numFmtId="166" fontId="59" fillId="7" borderId="54" xfId="5" applyNumberFormat="1" applyFont="1" applyFill="1" applyBorder="1" applyAlignment="1">
      <alignment horizontal="center" vertical="center"/>
    </xf>
    <xf numFmtId="0" fontId="61" fillId="0" borderId="54" xfId="5" applyFont="1" applyBorder="1" applyAlignment="1">
      <alignment horizontal="center" vertical="center"/>
    </xf>
    <xf numFmtId="0" fontId="61" fillId="0" borderId="6" xfId="5" applyFont="1" applyBorder="1" applyAlignment="1">
      <alignment horizontal="center" vertical="center"/>
    </xf>
    <xf numFmtId="0" fontId="61" fillId="2" borderId="54" xfId="5" applyFont="1" applyFill="1" applyBorder="1" applyAlignment="1">
      <alignment horizontal="left" vertical="center"/>
    </xf>
    <xf numFmtId="166" fontId="62" fillId="7" borderId="20" xfId="2" applyNumberFormat="1" applyFont="1" applyFill="1" applyBorder="1" applyAlignment="1">
      <alignment horizontal="center" vertical="center"/>
    </xf>
    <xf numFmtId="166" fontId="56" fillId="7" borderId="21" xfId="2" applyNumberFormat="1" applyFont="1" applyFill="1" applyBorder="1" applyAlignment="1">
      <alignment horizontal="center" vertical="center"/>
    </xf>
    <xf numFmtId="0" fontId="59" fillId="15" borderId="20" xfId="5" applyFont="1" applyFill="1" applyBorder="1" applyAlignment="1">
      <alignment horizontal="center" vertical="center"/>
    </xf>
    <xf numFmtId="166" fontId="59" fillId="15" borderId="21" xfId="5" applyNumberFormat="1" applyFont="1" applyFill="1" applyBorder="1" applyAlignment="1">
      <alignment horizontal="center" vertical="center"/>
    </xf>
    <xf numFmtId="0" fontId="60" fillId="2" borderId="21" xfId="5" applyFont="1" applyFill="1" applyBorder="1" applyAlignment="1">
      <alignment horizontal="center" vertical="center"/>
    </xf>
    <xf numFmtId="0" fontId="60" fillId="2" borderId="20" xfId="5" applyFont="1" applyFill="1" applyBorder="1" applyAlignment="1">
      <alignment horizontal="center" vertical="center"/>
    </xf>
    <xf numFmtId="0" fontId="61" fillId="2" borderId="21" xfId="5" applyFont="1" applyFill="1" applyBorder="1" applyAlignment="1">
      <alignment horizontal="left" vertical="center"/>
    </xf>
    <xf numFmtId="0" fontId="61" fillId="8" borderId="20" xfId="5" applyFont="1" applyFill="1" applyBorder="1" applyAlignment="1">
      <alignment horizontal="center" vertical="center"/>
    </xf>
    <xf numFmtId="0" fontId="79" fillId="0" borderId="0" xfId="1" applyFont="1"/>
    <xf numFmtId="166" fontId="62" fillId="7" borderId="10" xfId="2" applyNumberFormat="1" applyFont="1" applyFill="1" applyBorder="1" applyAlignment="1">
      <alignment horizontal="center" vertical="center"/>
    </xf>
    <xf numFmtId="0" fontId="59" fillId="7" borderId="10" xfId="5" applyFont="1" applyFill="1" applyBorder="1" applyAlignment="1">
      <alignment horizontal="center" vertical="center"/>
    </xf>
    <xf numFmtId="166" fontId="59" fillId="7" borderId="19" xfId="5" applyNumberFormat="1" applyFont="1" applyFill="1" applyBorder="1" applyAlignment="1">
      <alignment horizontal="center" vertical="center"/>
    </xf>
    <xf numFmtId="0" fontId="60" fillId="0" borderId="19" xfId="5" applyFont="1" applyBorder="1" applyAlignment="1">
      <alignment horizontal="center" vertical="center"/>
    </xf>
    <xf numFmtId="0" fontId="60" fillId="0" borderId="10" xfId="5" applyFont="1" applyBorder="1" applyAlignment="1">
      <alignment horizontal="center" vertical="center"/>
    </xf>
    <xf numFmtId="166" fontId="64" fillId="7" borderId="67" xfId="2" applyNumberFormat="1" applyFont="1" applyFill="1" applyBorder="1" applyAlignment="1">
      <alignment horizontal="center" vertical="center" wrapText="1"/>
    </xf>
    <xf numFmtId="0" fontId="64" fillId="7" borderId="19" xfId="2" applyFont="1" applyFill="1" applyBorder="1" applyAlignment="1">
      <alignment horizontal="center" vertical="center" wrapText="1"/>
    </xf>
    <xf numFmtId="0" fontId="53" fillId="7" borderId="19" xfId="2" applyFont="1" applyFill="1" applyBorder="1" applyAlignment="1">
      <alignment horizontal="center" vertical="center"/>
    </xf>
    <xf numFmtId="166" fontId="62" fillId="7" borderId="60" xfId="2" applyNumberFormat="1" applyFont="1" applyFill="1" applyBorder="1" applyAlignment="1">
      <alignment horizontal="center" vertical="center" wrapText="1"/>
    </xf>
    <xf numFmtId="0" fontId="64" fillId="7" borderId="35" xfId="2" applyFont="1" applyFill="1" applyBorder="1" applyAlignment="1">
      <alignment horizontal="center" vertical="center" wrapText="1"/>
    </xf>
    <xf numFmtId="0" fontId="53" fillId="0" borderId="23" xfId="2" applyFont="1" applyBorder="1" applyAlignment="1">
      <alignment horizontal="center" vertical="center"/>
    </xf>
    <xf numFmtId="0" fontId="53" fillId="7" borderId="35" xfId="2" applyFont="1" applyFill="1" applyBorder="1" applyAlignment="1">
      <alignment horizontal="center" vertical="center"/>
    </xf>
    <xf numFmtId="166" fontId="53" fillId="7" borderId="35" xfId="5" applyNumberFormat="1" applyFont="1" applyFill="1" applyBorder="1" applyAlignment="1">
      <alignment horizontal="center" vertical="center"/>
    </xf>
    <xf numFmtId="0" fontId="61" fillId="2" borderId="35" xfId="5" applyFont="1" applyFill="1" applyBorder="1" applyAlignment="1">
      <alignment horizontal="center" vertical="center"/>
    </xf>
    <xf numFmtId="0" fontId="61" fillId="2" borderId="35" xfId="5" applyFont="1" applyFill="1" applyBorder="1" applyAlignment="1">
      <alignment horizontal="left" vertical="center"/>
    </xf>
    <xf numFmtId="0" fontId="57" fillId="2" borderId="23" xfId="5" applyFont="1" applyFill="1" applyBorder="1" applyAlignment="1">
      <alignment horizontal="center" vertical="center"/>
    </xf>
    <xf numFmtId="0" fontId="71" fillId="2" borderId="0" xfId="0" applyFont="1" applyFill="1" applyAlignment="1"/>
    <xf numFmtId="170" fontId="53" fillId="2" borderId="41" xfId="2" applyNumberFormat="1" applyFont="1" applyFill="1" applyBorder="1" applyAlignment="1">
      <alignment horizontal="center" vertical="center"/>
    </xf>
    <xf numFmtId="0" fontId="53" fillId="0" borderId="41" xfId="2" applyFont="1" applyBorder="1" applyAlignment="1">
      <alignment horizontal="center" vertical="center"/>
    </xf>
    <xf numFmtId="166" fontId="53" fillId="7" borderId="2" xfId="2" applyNumberFormat="1" applyFont="1" applyFill="1" applyBorder="1" applyAlignment="1">
      <alignment horizontal="center" vertical="center"/>
    </xf>
    <xf numFmtId="0" fontId="53" fillId="2" borderId="41" xfId="2" applyFont="1" applyFill="1" applyBorder="1" applyAlignment="1">
      <alignment horizontal="center" vertical="center"/>
    </xf>
    <xf numFmtId="0" fontId="53" fillId="2" borderId="2" xfId="2" applyFont="1" applyFill="1" applyBorder="1" applyAlignment="1">
      <alignment horizontal="center" vertical="center"/>
    </xf>
    <xf numFmtId="0" fontId="59" fillId="15" borderId="37" xfId="5" applyFont="1" applyFill="1" applyBorder="1" applyAlignment="1">
      <alignment horizontal="center" vertical="center"/>
    </xf>
    <xf numFmtId="166" fontId="59" fillId="15" borderId="5" xfId="5" applyNumberFormat="1" applyFont="1" applyFill="1" applyBorder="1" applyAlignment="1">
      <alignment horizontal="center" vertical="center"/>
    </xf>
    <xf numFmtId="0" fontId="61" fillId="8" borderId="4" xfId="5" applyFont="1" applyFill="1" applyBorder="1" applyAlignment="1">
      <alignment horizontal="center" vertical="center"/>
    </xf>
    <xf numFmtId="0" fontId="61" fillId="2" borderId="5" xfId="5" applyFont="1" applyFill="1" applyBorder="1" applyAlignment="1">
      <alignment horizontal="center" vertical="center"/>
    </xf>
    <xf numFmtId="0" fontId="61" fillId="2" borderId="3" xfId="5" applyFont="1" applyFill="1" applyBorder="1" applyAlignment="1">
      <alignment horizontal="center" vertical="center"/>
    </xf>
    <xf numFmtId="0" fontId="61" fillId="8" borderId="5" xfId="5" applyFont="1" applyFill="1" applyBorder="1" applyAlignment="1">
      <alignment horizontal="left" vertical="center"/>
    </xf>
    <xf numFmtId="166" fontId="66" fillId="7" borderId="45" xfId="2" applyNumberFormat="1" applyFont="1" applyFill="1" applyBorder="1" applyAlignment="1">
      <alignment horizontal="center" vertical="center"/>
    </xf>
    <xf numFmtId="166" fontId="64" fillId="7" borderId="67" xfId="2" applyNumberFormat="1" applyFont="1" applyFill="1" applyBorder="1" applyAlignment="1">
      <alignment horizontal="center" vertical="center"/>
    </xf>
    <xf numFmtId="0" fontId="77" fillId="2" borderId="0" xfId="1" applyFont="1" applyFill="1"/>
    <xf numFmtId="166" fontId="66" fillId="7" borderId="64" xfId="2" applyNumberFormat="1" applyFont="1" applyFill="1" applyBorder="1" applyAlignment="1">
      <alignment horizontal="center" vertical="center"/>
    </xf>
    <xf numFmtId="0" fontId="53" fillId="0" borderId="20" xfId="2" applyFont="1" applyBorder="1" applyAlignment="1">
      <alignment horizontal="center" vertical="center"/>
    </xf>
    <xf numFmtId="0" fontId="53" fillId="7" borderId="38" xfId="5" applyFont="1" applyFill="1" applyBorder="1" applyAlignment="1">
      <alignment horizontal="center" vertical="center"/>
    </xf>
    <xf numFmtId="166" fontId="53" fillId="7" borderId="14" xfId="5" applyNumberFormat="1" applyFont="1" applyFill="1" applyBorder="1" applyAlignment="1">
      <alignment horizontal="center" vertical="center"/>
    </xf>
    <xf numFmtId="0" fontId="61" fillId="2" borderId="14" xfId="5" applyFont="1" applyFill="1" applyBorder="1" applyAlignment="1">
      <alignment horizontal="center" vertical="center"/>
    </xf>
    <xf numFmtId="0" fontId="57" fillId="2" borderId="14" xfId="5" applyFont="1" applyFill="1" applyBorder="1" applyAlignment="1">
      <alignment horizontal="center" vertical="center"/>
    </xf>
    <xf numFmtId="0" fontId="57" fillId="2" borderId="14" xfId="5" applyFont="1" applyFill="1" applyBorder="1" applyAlignment="1">
      <alignment horizontal="left" vertical="center"/>
    </xf>
    <xf numFmtId="0" fontId="71" fillId="0" borderId="0" xfId="2" applyFont="1"/>
    <xf numFmtId="0" fontId="53" fillId="7" borderId="5" xfId="5" applyFont="1" applyFill="1" applyBorder="1" applyAlignment="1">
      <alignment horizontal="center" vertical="center"/>
    </xf>
    <xf numFmtId="166" fontId="53" fillId="7" borderId="5" xfId="5" applyNumberFormat="1" applyFont="1" applyFill="1" applyBorder="1" applyAlignment="1">
      <alignment horizontal="center" vertical="center"/>
    </xf>
    <xf numFmtId="0" fontId="57" fillId="2" borderId="5" xfId="5" applyFont="1" applyFill="1" applyBorder="1" applyAlignment="1">
      <alignment horizontal="center" vertical="center"/>
    </xf>
    <xf numFmtId="0" fontId="57" fillId="2" borderId="5" xfId="5" applyFont="1" applyFill="1" applyBorder="1" applyAlignment="1">
      <alignment horizontal="left" vertical="center"/>
    </xf>
    <xf numFmtId="0" fontId="53" fillId="7" borderId="37" xfId="5" applyFont="1" applyFill="1" applyBorder="1" applyAlignment="1">
      <alignment horizontal="center" vertical="center"/>
    </xf>
    <xf numFmtId="166" fontId="53" fillId="7" borderId="41" xfId="5" applyNumberFormat="1" applyFont="1" applyFill="1" applyBorder="1" applyAlignment="1">
      <alignment horizontal="center" vertical="center"/>
    </xf>
    <xf numFmtId="0" fontId="57" fillId="2" borderId="41" xfId="5" applyFont="1" applyFill="1" applyBorder="1" applyAlignment="1">
      <alignment horizontal="center" vertical="center"/>
    </xf>
    <xf numFmtId="0" fontId="57" fillId="2" borderId="21" xfId="5" applyFont="1" applyFill="1" applyBorder="1" applyAlignment="1">
      <alignment horizontal="center" vertical="center"/>
    </xf>
    <xf numFmtId="0" fontId="61" fillId="2" borderId="41" xfId="5" applyFont="1" applyFill="1" applyBorder="1" applyAlignment="1">
      <alignment horizontal="center" vertical="center"/>
    </xf>
    <xf numFmtId="0" fontId="57" fillId="2" borderId="41" xfId="5" applyFont="1" applyFill="1" applyBorder="1" applyAlignment="1">
      <alignment horizontal="left" vertical="center"/>
    </xf>
    <xf numFmtId="0" fontId="67" fillId="7" borderId="21" xfId="2" applyFont="1" applyFill="1" applyBorder="1" applyAlignment="1">
      <alignment horizontal="center" vertical="center"/>
    </xf>
    <xf numFmtId="166" fontId="82" fillId="2" borderId="0" xfId="2" applyNumberFormat="1" applyFont="1" applyFill="1" applyAlignment="1">
      <alignment horizontal="center" vertical="center"/>
    </xf>
    <xf numFmtId="0" fontId="76" fillId="2" borderId="0" xfId="2" applyFont="1" applyFill="1" applyAlignment="1">
      <alignment horizontal="center" vertical="center"/>
    </xf>
    <xf numFmtId="0" fontId="82" fillId="2" borderId="0" xfId="2" applyFont="1" applyFill="1" applyAlignment="1">
      <alignment horizontal="center" vertical="center"/>
    </xf>
    <xf numFmtId="0" fontId="63" fillId="2" borderId="0" xfId="2" applyFont="1" applyFill="1" applyAlignment="1">
      <alignment horizontal="center" vertical="center"/>
    </xf>
    <xf numFmtId="166" fontId="53" fillId="7" borderId="5" xfId="2" applyNumberFormat="1" applyFont="1" applyFill="1" applyBorder="1" applyAlignment="1">
      <alignment horizontal="center" vertical="center"/>
    </xf>
    <xf numFmtId="0" fontId="53" fillId="2" borderId="37" xfId="2" applyFont="1" applyFill="1" applyBorder="1" applyAlignment="1">
      <alignment horizontal="center" vertical="center"/>
    </xf>
    <xf numFmtId="0" fontId="53" fillId="2" borderId="3" xfId="2" applyFont="1" applyFill="1" applyBorder="1" applyAlignment="1">
      <alignment horizontal="center" vertical="center"/>
    </xf>
    <xf numFmtId="0" fontId="53" fillId="2" borderId="5" xfId="2" applyFont="1" applyFill="1" applyBorder="1" applyAlignment="1">
      <alignment horizontal="center" vertical="center"/>
    </xf>
    <xf numFmtId="0" fontId="57" fillId="2" borderId="5" xfId="2" applyFont="1" applyFill="1" applyBorder="1" applyAlignment="1">
      <alignment horizontal="left" vertical="center"/>
    </xf>
    <xf numFmtId="164" fontId="57" fillId="2" borderId="5" xfId="2" applyNumberFormat="1" applyFont="1" applyFill="1" applyBorder="1" applyAlignment="1">
      <alignment horizontal="center" vertical="center"/>
    </xf>
    <xf numFmtId="170" fontId="53" fillId="2" borderId="14" xfId="2" applyNumberFormat="1" applyFont="1" applyFill="1" applyBorder="1" applyAlignment="1">
      <alignment horizontal="center" vertical="center"/>
    </xf>
    <xf numFmtId="0" fontId="53" fillId="0" borderId="0" xfId="2" applyFont="1" applyAlignment="1">
      <alignment horizontal="center" vertical="center"/>
    </xf>
    <xf numFmtId="166" fontId="84" fillId="2" borderId="0" xfId="2" applyNumberFormat="1" applyFont="1" applyFill="1" applyAlignment="1">
      <alignment horizontal="center" vertical="center"/>
    </xf>
    <xf numFmtId="0" fontId="47" fillId="2" borderId="0" xfId="2" applyFont="1" applyFill="1" applyAlignment="1">
      <alignment horizontal="center" vertical="center"/>
    </xf>
    <xf numFmtId="166" fontId="47" fillId="2" borderId="0" xfId="2" applyNumberFormat="1" applyFont="1" applyFill="1" applyAlignment="1">
      <alignment horizontal="center" vertical="center"/>
    </xf>
    <xf numFmtId="0" fontId="48" fillId="2" borderId="0" xfId="1" applyFont="1" applyFill="1" applyAlignment="1">
      <alignment horizontal="center" vertical="center"/>
    </xf>
    <xf numFmtId="0" fontId="71" fillId="2" borderId="0" xfId="2" applyFont="1" applyFill="1"/>
    <xf numFmtId="1" fontId="58" fillId="7" borderId="37" xfId="2" applyNumberFormat="1" applyFont="1" applyFill="1" applyBorder="1" applyAlignment="1">
      <alignment horizontal="center" vertical="center"/>
    </xf>
    <xf numFmtId="0" fontId="58" fillId="7" borderId="3" xfId="2" applyFont="1" applyFill="1" applyBorder="1" applyAlignment="1">
      <alignment vertical="center"/>
    </xf>
    <xf numFmtId="0" fontId="85" fillId="7" borderId="4" xfId="2" applyFont="1" applyFill="1" applyBorder="1" applyAlignment="1">
      <alignment vertical="center"/>
    </xf>
    <xf numFmtId="0" fontId="55" fillId="2" borderId="52" xfId="2" applyFont="1" applyFill="1" applyBorder="1" applyAlignment="1">
      <alignment horizontal="left" vertical="center"/>
    </xf>
    <xf numFmtId="0" fontId="52" fillId="28" borderId="6" xfId="2" applyFont="1" applyFill="1" applyBorder="1" applyAlignment="1">
      <alignment horizontal="center" vertical="center"/>
    </xf>
    <xf numFmtId="0" fontId="52" fillId="28" borderId="10" xfId="2" applyFont="1" applyFill="1" applyBorder="1" applyAlignment="1">
      <alignment horizontal="center" vertical="center"/>
    </xf>
    <xf numFmtId="0" fontId="52" fillId="28" borderId="23" xfId="2" applyFont="1" applyFill="1" applyBorder="1" applyAlignment="1">
      <alignment horizontal="center" vertical="center"/>
    </xf>
    <xf numFmtId="0" fontId="54" fillId="0" borderId="0" xfId="2" applyFont="1"/>
    <xf numFmtId="0" fontId="52" fillId="28" borderId="5" xfId="2" applyFont="1" applyFill="1" applyBorder="1" applyAlignment="1">
      <alignment horizontal="center" vertical="center"/>
    </xf>
    <xf numFmtId="0" fontId="54" fillId="0" borderId="39" xfId="2" applyFont="1" applyBorder="1"/>
    <xf numFmtId="0" fontId="52" fillId="7" borderId="41" xfId="2" applyFont="1" applyFill="1" applyBorder="1" applyAlignment="1">
      <alignment horizontal="center" vertical="center"/>
    </xf>
    <xf numFmtId="0" fontId="52" fillId="7" borderId="12" xfId="2" applyFont="1" applyFill="1" applyBorder="1" applyAlignment="1">
      <alignment horizontal="center" vertical="center"/>
    </xf>
    <xf numFmtId="170" fontId="87" fillId="29" borderId="6" xfId="0" applyNumberFormat="1" applyFont="1" applyFill="1" applyBorder="1" applyAlignment="1">
      <alignment horizontal="center" vertical="center"/>
    </xf>
    <xf numFmtId="170" fontId="87" fillId="29" borderId="0" xfId="0" applyNumberFormat="1" applyFont="1" applyFill="1" applyAlignment="1">
      <alignment horizontal="center" vertical="center"/>
    </xf>
    <xf numFmtId="166" fontId="88" fillId="30" borderId="41" xfId="0" applyNumberFormat="1" applyFont="1" applyFill="1" applyBorder="1" applyAlignment="1">
      <alignment horizontal="center" vertical="center"/>
    </xf>
    <xf numFmtId="0" fontId="89" fillId="29" borderId="2" xfId="0" applyFont="1" applyFill="1" applyBorder="1" applyAlignment="1">
      <alignment horizontal="center" vertical="center"/>
    </xf>
    <xf numFmtId="0" fontId="87" fillId="0" borderId="2" xfId="0" applyFont="1" applyBorder="1" applyAlignment="1">
      <alignment horizontal="center" vertical="center"/>
    </xf>
    <xf numFmtId="0" fontId="88" fillId="30" borderId="41" xfId="0" applyFont="1" applyFill="1" applyBorder="1" applyAlignment="1">
      <alignment horizontal="center" vertical="center"/>
    </xf>
    <xf numFmtId="0" fontId="87" fillId="0" borderId="12" xfId="0" applyFont="1" applyBorder="1" applyAlignment="1">
      <alignment horizontal="center" vertical="center"/>
    </xf>
    <xf numFmtId="1" fontId="87" fillId="0" borderId="41" xfId="0" applyNumberFormat="1" applyFont="1" applyBorder="1" applyAlignment="1">
      <alignment horizontal="center" vertical="center"/>
    </xf>
    <xf numFmtId="0" fontId="87" fillId="30" borderId="59" xfId="0" applyFont="1" applyFill="1" applyBorder="1" applyAlignment="1">
      <alignment horizontal="center" vertical="center"/>
    </xf>
    <xf numFmtId="166" fontId="87" fillId="30" borderId="6" xfId="0" applyNumberFormat="1" applyFont="1" applyFill="1" applyBorder="1" applyAlignment="1">
      <alignment horizontal="center" vertical="center"/>
    </xf>
    <xf numFmtId="0" fontId="89" fillId="2" borderId="54" xfId="0" applyFont="1" applyFill="1" applyBorder="1" applyAlignment="1">
      <alignment horizontal="center" vertical="center"/>
    </xf>
    <xf numFmtId="0" fontId="89" fillId="2" borderId="6" xfId="0" applyFont="1" applyFill="1" applyBorder="1" applyAlignment="1">
      <alignment horizontal="center" vertical="center"/>
    </xf>
    <xf numFmtId="0" fontId="89" fillId="2" borderId="6" xfId="0" applyFont="1" applyFill="1" applyBorder="1" applyAlignment="1">
      <alignment horizontal="left" vertical="center"/>
    </xf>
    <xf numFmtId="0" fontId="89" fillId="2" borderId="55" xfId="0" applyFont="1" applyFill="1" applyBorder="1" applyAlignment="1">
      <alignment horizontal="center" vertical="center"/>
    </xf>
    <xf numFmtId="170" fontId="87" fillId="29" borderId="10" xfId="0" applyNumberFormat="1" applyFont="1" applyFill="1" applyBorder="1" applyAlignment="1">
      <alignment horizontal="center" vertical="center"/>
    </xf>
    <xf numFmtId="166" fontId="88" fillId="30" borderId="20" xfId="0" applyNumberFormat="1" applyFont="1" applyFill="1" applyBorder="1" applyAlignment="1">
      <alignment horizontal="center" vertical="center"/>
    </xf>
    <xf numFmtId="0" fontId="89" fillId="29" borderId="19" xfId="0" applyFont="1" applyFill="1" applyBorder="1" applyAlignment="1">
      <alignment horizontal="center" vertical="center"/>
    </xf>
    <xf numFmtId="166" fontId="88" fillId="30" borderId="10" xfId="0" applyNumberFormat="1" applyFont="1" applyFill="1" applyBorder="1" applyAlignment="1">
      <alignment horizontal="center" vertical="center"/>
    </xf>
    <xf numFmtId="0" fontId="87" fillId="0" borderId="19" xfId="0" applyFont="1" applyBorder="1" applyAlignment="1">
      <alignment horizontal="center" vertical="center"/>
    </xf>
    <xf numFmtId="0" fontId="88" fillId="30" borderId="10" xfId="0" applyFont="1" applyFill="1" applyBorder="1" applyAlignment="1">
      <alignment horizontal="center" vertical="center"/>
    </xf>
    <xf numFmtId="0" fontId="87" fillId="0" borderId="18" xfId="0" applyFont="1" applyBorder="1" applyAlignment="1">
      <alignment horizontal="center" vertical="center"/>
    </xf>
    <xf numFmtId="1" fontId="87" fillId="0" borderId="20" xfId="0" applyNumberFormat="1" applyFont="1" applyBorder="1" applyAlignment="1">
      <alignment horizontal="center" vertical="center"/>
    </xf>
    <xf numFmtId="0" fontId="87" fillId="30" borderId="57" xfId="0" applyFont="1" applyFill="1" applyBorder="1" applyAlignment="1">
      <alignment horizontal="center" vertical="center"/>
    </xf>
    <xf numFmtId="166" fontId="87" fillId="30" borderId="10" xfId="0" applyNumberFormat="1" applyFont="1" applyFill="1" applyBorder="1" applyAlignment="1">
      <alignment horizontal="center" vertical="center"/>
    </xf>
    <xf numFmtId="0" fontId="89" fillId="2" borderId="19" xfId="0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center" vertical="center"/>
    </xf>
    <xf numFmtId="0" fontId="89" fillId="2" borderId="10" xfId="0" applyFont="1" applyFill="1" applyBorder="1" applyAlignment="1">
      <alignment horizontal="left" vertical="center"/>
    </xf>
    <xf numFmtId="164" fontId="89" fillId="2" borderId="18" xfId="0" applyNumberFormat="1" applyFont="1" applyFill="1" applyBorder="1" applyAlignment="1">
      <alignment horizontal="center" vertical="center"/>
    </xf>
    <xf numFmtId="170" fontId="87" fillId="29" borderId="20" xfId="0" applyNumberFormat="1" applyFont="1" applyFill="1" applyBorder="1" applyAlignment="1">
      <alignment horizontal="center" vertical="center"/>
    </xf>
    <xf numFmtId="0" fontId="89" fillId="29" borderId="21" xfId="0" applyFont="1" applyFill="1" applyBorder="1" applyAlignment="1">
      <alignment horizontal="center" vertical="center"/>
    </xf>
    <xf numFmtId="0" fontId="87" fillId="29" borderId="21" xfId="0" applyFont="1" applyFill="1" applyBorder="1" applyAlignment="1">
      <alignment horizontal="center" vertical="center"/>
    </xf>
    <xf numFmtId="0" fontId="87" fillId="0" borderId="13" xfId="0" applyFont="1" applyBorder="1" applyAlignment="1">
      <alignment horizontal="center" vertical="center"/>
    </xf>
    <xf numFmtId="0" fontId="87" fillId="0" borderId="21" xfId="0" applyFont="1" applyBorder="1" applyAlignment="1">
      <alignment horizontal="center" vertical="center"/>
    </xf>
    <xf numFmtId="0" fontId="53" fillId="7" borderId="45" xfId="5" applyFont="1" applyFill="1" applyBorder="1" applyAlignment="1">
      <alignment horizontal="center" vertical="center"/>
    </xf>
    <xf numFmtId="166" fontId="53" fillId="7" borderId="44" xfId="5" applyNumberFormat="1" applyFont="1" applyFill="1" applyBorder="1" applyAlignment="1">
      <alignment horizontal="center" vertical="center"/>
    </xf>
    <xf numFmtId="0" fontId="57" fillId="2" borderId="44" xfId="5" applyFont="1" applyFill="1" applyBorder="1" applyAlignment="1">
      <alignment horizontal="left" vertical="center"/>
    </xf>
    <xf numFmtId="0" fontId="87" fillId="30" borderId="45" xfId="0" applyFont="1" applyFill="1" applyBorder="1" applyAlignment="1">
      <alignment horizontal="center" vertical="center"/>
    </xf>
    <xf numFmtId="166" fontId="87" fillId="30" borderId="44" xfId="0" applyNumberFormat="1" applyFont="1" applyFill="1" applyBorder="1" applyAlignment="1">
      <alignment horizontal="center" vertical="center"/>
    </xf>
    <xf numFmtId="0" fontId="89" fillId="2" borderId="67" xfId="0" applyFont="1" applyFill="1" applyBorder="1" applyAlignment="1">
      <alignment horizontal="center" vertical="center"/>
    </xf>
    <xf numFmtId="0" fontId="89" fillId="2" borderId="44" xfId="0" applyFont="1" applyFill="1" applyBorder="1" applyAlignment="1">
      <alignment horizontal="center" vertical="center"/>
    </xf>
    <xf numFmtId="0" fontId="89" fillId="2" borderId="44" xfId="0" applyFont="1" applyFill="1" applyBorder="1" applyAlignment="1">
      <alignment horizontal="left" vertical="center"/>
    </xf>
    <xf numFmtId="0" fontId="89" fillId="2" borderId="18" xfId="0" applyFont="1" applyFill="1" applyBorder="1" applyAlignment="1">
      <alignment horizontal="center" vertical="center"/>
    </xf>
    <xf numFmtId="0" fontId="87" fillId="29" borderId="19" xfId="0" applyFont="1" applyFill="1" applyBorder="1" applyAlignment="1">
      <alignment horizontal="center" vertical="center"/>
    </xf>
    <xf numFmtId="1" fontId="87" fillId="0" borderId="10" xfId="0" applyNumberFormat="1" applyFont="1" applyBorder="1" applyAlignment="1">
      <alignment horizontal="center" vertical="center"/>
    </xf>
    <xf numFmtId="0" fontId="91" fillId="7" borderId="45" xfId="5" applyFont="1" applyFill="1" applyBorder="1" applyAlignment="1">
      <alignment horizontal="center" vertical="center"/>
    </xf>
    <xf numFmtId="166" fontId="91" fillId="7" borderId="44" xfId="5" applyNumberFormat="1" applyFont="1" applyFill="1" applyBorder="1" applyAlignment="1">
      <alignment horizontal="center" vertical="center"/>
    </xf>
    <xf numFmtId="0" fontId="89" fillId="2" borderId="62" xfId="5" applyFont="1" applyFill="1" applyBorder="1" applyAlignment="1">
      <alignment horizontal="center" vertical="center"/>
    </xf>
    <xf numFmtId="0" fontId="89" fillId="2" borderId="67" xfId="5" applyFont="1" applyFill="1" applyBorder="1" applyAlignment="1">
      <alignment horizontal="center" vertical="center"/>
    </xf>
    <xf numFmtId="0" fontId="89" fillId="2" borderId="44" xfId="5" applyFont="1" applyFill="1" applyBorder="1" applyAlignment="1">
      <alignment horizontal="center" vertical="center"/>
    </xf>
    <xf numFmtId="0" fontId="89" fillId="2" borderId="44" xfId="5" applyFont="1" applyFill="1" applyBorder="1" applyAlignment="1">
      <alignment horizontal="left" vertical="center"/>
    </xf>
    <xf numFmtId="166" fontId="88" fillId="30" borderId="20" xfId="0" applyNumberFormat="1" applyFont="1" applyFill="1" applyBorder="1" applyAlignment="1">
      <alignment horizontal="center" vertical="center" wrapText="1"/>
    </xf>
    <xf numFmtId="166" fontId="92" fillId="30" borderId="20" xfId="0" applyNumberFormat="1" applyFont="1" applyFill="1" applyBorder="1" applyAlignment="1">
      <alignment horizontal="center" vertical="center" wrapText="1"/>
    </xf>
    <xf numFmtId="0" fontId="93" fillId="0" borderId="13" xfId="0" applyFont="1" applyBorder="1" applyAlignment="1">
      <alignment horizontal="center" vertical="center"/>
    </xf>
    <xf numFmtId="0" fontId="53" fillId="7" borderId="17" xfId="6" applyFont="1" applyFill="1" applyBorder="1" applyAlignment="1">
      <alignment horizontal="center" vertical="center"/>
    </xf>
    <xf numFmtId="0" fontId="53" fillId="7" borderId="10" xfId="6" applyFont="1" applyFill="1" applyBorder="1" applyAlignment="1">
      <alignment horizontal="center" vertical="center"/>
    </xf>
    <xf numFmtId="0" fontId="53" fillId="2" borderId="10" xfId="6" applyFont="1" applyFill="1" applyBorder="1" applyAlignment="1">
      <alignment horizontal="center" vertical="center"/>
    </xf>
    <xf numFmtId="0" fontId="57" fillId="2" borderId="19" xfId="6" applyFont="1" applyFill="1" applyBorder="1" applyAlignment="1">
      <alignment horizontal="center" vertical="center"/>
    </xf>
    <xf numFmtId="0" fontId="53" fillId="2" borderId="10" xfId="6" applyFont="1" applyFill="1" applyBorder="1" applyAlignment="1">
      <alignment horizontal="left" vertical="center"/>
    </xf>
    <xf numFmtId="0" fontId="53" fillId="2" borderId="18" xfId="6" applyFont="1" applyFill="1" applyBorder="1" applyAlignment="1">
      <alignment horizontal="center" vertical="center"/>
    </xf>
    <xf numFmtId="170" fontId="87" fillId="29" borderId="23" xfId="0" applyNumberFormat="1" applyFont="1" applyFill="1" applyBorder="1" applyAlignment="1">
      <alignment horizontal="center" vertical="center"/>
    </xf>
    <xf numFmtId="166" fontId="88" fillId="30" borderId="23" xfId="0" applyNumberFormat="1" applyFont="1" applyFill="1" applyBorder="1" applyAlignment="1">
      <alignment horizontal="center" vertical="center"/>
    </xf>
    <xf numFmtId="0" fontId="89" fillId="29" borderId="35" xfId="0" applyFont="1" applyFill="1" applyBorder="1" applyAlignment="1">
      <alignment horizontal="center" vertical="center"/>
    </xf>
    <xf numFmtId="0" fontId="93" fillId="29" borderId="35" xfId="0" applyFont="1" applyFill="1" applyBorder="1" applyAlignment="1">
      <alignment horizontal="center" vertical="center"/>
    </xf>
    <xf numFmtId="0" fontId="87" fillId="0" borderId="61" xfId="0" applyFont="1" applyBorder="1" applyAlignment="1">
      <alignment horizontal="center" vertical="center"/>
    </xf>
    <xf numFmtId="0" fontId="87" fillId="0" borderId="35" xfId="0" applyFont="1" applyBorder="1" applyAlignment="1">
      <alignment horizontal="center" vertical="center"/>
    </xf>
    <xf numFmtId="1" fontId="87" fillId="0" borderId="23" xfId="0" applyNumberFormat="1" applyFont="1" applyBorder="1" applyAlignment="1">
      <alignment horizontal="center" vertical="center"/>
    </xf>
    <xf numFmtId="0" fontId="53" fillId="7" borderId="60" xfId="5" applyFont="1" applyFill="1" applyBorder="1" applyAlignment="1">
      <alignment horizontal="center" vertical="center"/>
    </xf>
    <xf numFmtId="166" fontId="53" fillId="7" borderId="23" xfId="5" applyNumberFormat="1" applyFont="1" applyFill="1" applyBorder="1" applyAlignment="1">
      <alignment horizontal="center" vertical="center"/>
    </xf>
    <xf numFmtId="0" fontId="57" fillId="2" borderId="35" xfId="5" applyFont="1" applyFill="1" applyBorder="1" applyAlignment="1">
      <alignment horizontal="center" vertical="center"/>
    </xf>
    <xf numFmtId="0" fontId="57" fillId="2" borderId="23" xfId="5" applyFont="1" applyFill="1" applyBorder="1" applyAlignment="1">
      <alignment horizontal="left" vertical="center"/>
    </xf>
    <xf numFmtId="166" fontId="94" fillId="2" borderId="0" xfId="2" applyNumberFormat="1" applyFont="1" applyFill="1" applyAlignment="1">
      <alignment horizontal="center" vertical="center" wrapText="1"/>
    </xf>
    <xf numFmtId="166" fontId="94" fillId="2" borderId="0" xfId="2" applyNumberFormat="1" applyFont="1" applyFill="1" applyAlignment="1">
      <alignment horizontal="center" vertical="center"/>
    </xf>
    <xf numFmtId="0" fontId="59" fillId="31" borderId="0" xfId="5" applyFont="1" applyFill="1" applyAlignment="1">
      <alignment horizontal="center" vertical="center"/>
    </xf>
    <xf numFmtId="166" fontId="59" fillId="31" borderId="0" xfId="5" applyNumberFormat="1" applyFont="1" applyFill="1" applyAlignment="1">
      <alignment horizontal="center" vertical="center"/>
    </xf>
    <xf numFmtId="166" fontId="65" fillId="7" borderId="59" xfId="2" applyNumberFormat="1" applyFont="1" applyFill="1" applyBorder="1" applyAlignment="1">
      <alignment horizontal="center" vertical="center"/>
    </xf>
    <xf numFmtId="0" fontId="57" fillId="2" borderId="59" xfId="2" applyFont="1" applyFill="1" applyBorder="1" applyAlignment="1">
      <alignment horizontal="center" vertical="center"/>
    </xf>
    <xf numFmtId="0" fontId="59" fillId="15" borderId="59" xfId="6" applyFont="1" applyFill="1" applyBorder="1" applyAlignment="1">
      <alignment horizontal="center" vertical="center"/>
    </xf>
    <xf numFmtId="166" fontId="59" fillId="15" borderId="59" xfId="6" applyNumberFormat="1" applyFont="1" applyFill="1" applyBorder="1" applyAlignment="1">
      <alignment horizontal="center" vertical="center"/>
    </xf>
    <xf numFmtId="0" fontId="61" fillId="8" borderId="55" xfId="6" applyFont="1" applyFill="1" applyBorder="1" applyAlignment="1">
      <alignment horizontal="center" vertical="center"/>
    </xf>
    <xf numFmtId="0" fontId="61" fillId="2" borderId="6" xfId="6" applyFont="1" applyFill="1" applyBorder="1" applyAlignment="1">
      <alignment horizontal="center" vertical="center"/>
    </xf>
    <xf numFmtId="0" fontId="61" fillId="2" borderId="55" xfId="6" applyFont="1" applyFill="1" applyBorder="1" applyAlignment="1">
      <alignment horizontal="center" vertical="center"/>
    </xf>
    <xf numFmtId="0" fontId="57" fillId="2" borderId="55" xfId="6" applyFont="1" applyFill="1" applyBorder="1" applyAlignment="1">
      <alignment horizontal="left" vertical="center"/>
    </xf>
    <xf numFmtId="164" fontId="61" fillId="8" borderId="55" xfId="6" applyNumberFormat="1" applyFont="1" applyFill="1" applyBorder="1" applyAlignment="1">
      <alignment horizontal="center" vertical="center"/>
    </xf>
    <xf numFmtId="166" fontId="65" fillId="7" borderId="57" xfId="2" applyNumberFormat="1" applyFont="1" applyFill="1" applyBorder="1" applyAlignment="1">
      <alignment horizontal="center" vertical="center"/>
    </xf>
    <xf numFmtId="0" fontId="57" fillId="2" borderId="57" xfId="2" applyFont="1" applyFill="1" applyBorder="1" applyAlignment="1">
      <alignment horizontal="center" vertical="center"/>
    </xf>
    <xf numFmtId="0" fontId="61" fillId="15" borderId="64" xfId="5" applyFont="1" applyFill="1" applyBorder="1" applyAlignment="1">
      <alignment horizontal="center" vertical="center"/>
    </xf>
    <xf numFmtId="166" fontId="61" fillId="15" borderId="64" xfId="5" applyNumberFormat="1" applyFont="1" applyFill="1" applyBorder="1" applyAlignment="1">
      <alignment horizontal="center" vertical="center"/>
    </xf>
    <xf numFmtId="0" fontId="61" fillId="8" borderId="13" xfId="5" applyFont="1" applyFill="1" applyBorder="1" applyAlignment="1">
      <alignment horizontal="center" vertical="center"/>
    </xf>
    <xf numFmtId="0" fontId="61" fillId="2" borderId="20" xfId="5" applyFont="1" applyFill="1" applyBorder="1" applyAlignment="1">
      <alignment horizontal="center" vertical="center"/>
    </xf>
    <xf numFmtId="0" fontId="61" fillId="2" borderId="13" xfId="5" applyFont="1" applyFill="1" applyBorder="1" applyAlignment="1">
      <alignment horizontal="center" vertical="center"/>
    </xf>
    <xf numFmtId="0" fontId="61" fillId="8" borderId="13" xfId="5" applyFont="1" applyFill="1" applyBorder="1" applyAlignment="1">
      <alignment horizontal="left" vertical="center"/>
    </xf>
    <xf numFmtId="0" fontId="58" fillId="2" borderId="59" xfId="1" applyFont="1" applyFill="1" applyBorder="1" applyAlignment="1">
      <alignment horizontal="center" vertical="center" wrapText="1"/>
    </xf>
    <xf numFmtId="0" fontId="58" fillId="2" borderId="55" xfId="1" applyFont="1" applyFill="1" applyBorder="1" applyAlignment="1">
      <alignment horizontal="center" vertical="center" wrapText="1"/>
    </xf>
    <xf numFmtId="0" fontId="57" fillId="2" borderId="64" xfId="2" applyFont="1" applyFill="1" applyBorder="1" applyAlignment="1">
      <alignment horizontal="center" vertical="center"/>
    </xf>
    <xf numFmtId="166" fontId="65" fillId="7" borderId="64" xfId="2" applyNumberFormat="1" applyFont="1" applyFill="1" applyBorder="1" applyAlignment="1">
      <alignment horizontal="center" vertical="center"/>
    </xf>
    <xf numFmtId="0" fontId="53" fillId="7" borderId="57" xfId="5" applyFont="1" applyFill="1" applyBorder="1" applyAlignment="1">
      <alignment horizontal="center" vertical="center"/>
    </xf>
    <xf numFmtId="166" fontId="53" fillId="7" borderId="57" xfId="5" applyNumberFormat="1" applyFont="1" applyFill="1" applyBorder="1" applyAlignment="1">
      <alignment horizontal="center" vertical="center"/>
    </xf>
    <xf numFmtId="0" fontId="57" fillId="2" borderId="18" xfId="5" applyFont="1" applyFill="1" applyBorder="1" applyAlignment="1">
      <alignment horizontal="left" vertical="center"/>
    </xf>
    <xf numFmtId="0" fontId="59" fillId="25" borderId="45" xfId="5" applyFont="1" applyFill="1" applyBorder="1" applyAlignment="1">
      <alignment horizontal="center" vertical="center"/>
    </xf>
    <xf numFmtId="166" fontId="59" fillId="25" borderId="45" xfId="5" applyNumberFormat="1" applyFont="1" applyFill="1" applyBorder="1" applyAlignment="1">
      <alignment horizontal="center" vertical="center"/>
    </xf>
    <xf numFmtId="0" fontId="61" fillId="23" borderId="62" xfId="5" applyFont="1" applyFill="1" applyBorder="1" applyAlignment="1">
      <alignment horizontal="center" vertical="center"/>
    </xf>
    <xf numFmtId="0" fontId="61" fillId="23" borderId="62" xfId="5" applyFont="1" applyFill="1" applyBorder="1" applyAlignment="1">
      <alignment horizontal="left" vertical="center"/>
    </xf>
    <xf numFmtId="166" fontId="65" fillId="7" borderId="60" xfId="2" applyNumberFormat="1" applyFont="1" applyFill="1" applyBorder="1" applyAlignment="1">
      <alignment horizontal="center" vertical="center"/>
    </xf>
    <xf numFmtId="0" fontId="57" fillId="2" borderId="60" xfId="2" applyFont="1" applyFill="1" applyBorder="1" applyAlignment="1">
      <alignment horizontal="center" vertical="center"/>
    </xf>
    <xf numFmtId="0" fontId="53" fillId="7" borderId="60" xfId="6" applyFont="1" applyFill="1" applyBorder="1" applyAlignment="1">
      <alignment horizontal="center" vertical="center"/>
    </xf>
    <xf numFmtId="166" fontId="53" fillId="7" borderId="60" xfId="6" applyNumberFormat="1" applyFont="1" applyFill="1" applyBorder="1" applyAlignment="1">
      <alignment horizontal="center" vertical="center"/>
    </xf>
    <xf numFmtId="0" fontId="57" fillId="2" borderId="60" xfId="6" applyFont="1" applyFill="1" applyBorder="1" applyAlignment="1">
      <alignment horizontal="center" vertical="center"/>
    </xf>
    <xf numFmtId="0" fontId="57" fillId="2" borderId="61" xfId="6" applyFont="1" applyFill="1" applyBorder="1" applyAlignment="1">
      <alignment horizontal="center" vertical="center"/>
    </xf>
    <xf numFmtId="0" fontId="57" fillId="2" borderId="23" xfId="6" applyFont="1" applyFill="1" applyBorder="1" applyAlignment="1">
      <alignment horizontal="center" vertical="center"/>
    </xf>
    <xf numFmtId="0" fontId="57" fillId="2" borderId="61" xfId="6" applyFont="1" applyFill="1" applyBorder="1" applyAlignment="1">
      <alignment horizontal="left" vertical="center"/>
    </xf>
    <xf numFmtId="0" fontId="80" fillId="0" borderId="0" xfId="1" applyFont="1"/>
    <xf numFmtId="0" fontId="61" fillId="31" borderId="0" xfId="5" applyFont="1" applyFill="1" applyAlignment="1">
      <alignment horizontal="center" vertical="center"/>
    </xf>
    <xf numFmtId="166" fontId="61" fillId="31" borderId="0" xfId="5" applyNumberFormat="1" applyFont="1" applyFill="1" applyAlignment="1">
      <alignment horizontal="center" vertical="center"/>
    </xf>
    <xf numFmtId="166" fontId="56" fillId="7" borderId="59" xfId="2" applyNumberFormat="1" applyFont="1" applyFill="1" applyBorder="1" applyAlignment="1">
      <alignment horizontal="center" vertical="center" wrapText="1"/>
    </xf>
    <xf numFmtId="0" fontId="53" fillId="0" borderId="55" xfId="2" applyFont="1" applyBorder="1" applyAlignment="1">
      <alignment horizontal="center" vertical="center"/>
    </xf>
    <xf numFmtId="1" fontId="53" fillId="0" borderId="54" xfId="2" applyNumberFormat="1" applyFont="1" applyBorder="1" applyAlignment="1">
      <alignment horizontal="center" vertical="center"/>
    </xf>
    <xf numFmtId="0" fontId="53" fillId="0" borderId="1" xfId="2" applyFont="1" applyBorder="1" applyAlignment="1">
      <alignment horizontal="center" vertical="center"/>
    </xf>
    <xf numFmtId="0" fontId="53" fillId="7" borderId="59" xfId="3" applyFont="1" applyFill="1" applyBorder="1" applyAlignment="1">
      <alignment horizontal="center" vertical="center"/>
    </xf>
    <xf numFmtId="166" fontId="53" fillId="7" borderId="59" xfId="3" applyNumberFormat="1" applyFont="1" applyFill="1" applyBorder="1" applyAlignment="1">
      <alignment horizontal="center" vertical="center"/>
    </xf>
    <xf numFmtId="0" fontId="53" fillId="2" borderId="31" xfId="3" applyFont="1" applyFill="1" applyBorder="1" applyAlignment="1">
      <alignment horizontal="center" vertical="center"/>
    </xf>
    <xf numFmtId="0" fontId="57" fillId="2" borderId="34" xfId="3" applyFont="1" applyFill="1" applyBorder="1" applyAlignment="1">
      <alignment horizontal="center" vertical="center"/>
    </xf>
    <xf numFmtId="0" fontId="57" fillId="2" borderId="55" xfId="3" applyFont="1" applyFill="1" applyBorder="1" applyAlignment="1">
      <alignment horizontal="left" vertical="center"/>
    </xf>
    <xf numFmtId="164" fontId="57" fillId="2" borderId="55" xfId="3" applyNumberFormat="1" applyFont="1" applyFill="1" applyBorder="1" applyAlignment="1">
      <alignment horizontal="center" vertical="center"/>
    </xf>
    <xf numFmtId="0" fontId="57" fillId="2" borderId="45" xfId="2" applyFont="1" applyFill="1" applyBorder="1" applyAlignment="1">
      <alignment horizontal="center" vertical="center"/>
    </xf>
    <xf numFmtId="0" fontId="53" fillId="0" borderId="18" xfId="2" applyFont="1" applyBorder="1" applyAlignment="1">
      <alignment horizontal="center" vertical="center"/>
    </xf>
    <xf numFmtId="1" fontId="53" fillId="0" borderId="67" xfId="2" applyNumberFormat="1" applyFont="1" applyBorder="1" applyAlignment="1">
      <alignment horizontal="center" vertical="center"/>
    </xf>
    <xf numFmtId="0" fontId="53" fillId="0" borderId="57" xfId="2" applyFont="1" applyBorder="1" applyAlignment="1">
      <alignment horizontal="center" vertical="center"/>
    </xf>
    <xf numFmtId="0" fontId="59" fillId="15" borderId="57" xfId="6" applyFont="1" applyFill="1" applyBorder="1" applyAlignment="1">
      <alignment horizontal="center" vertical="center"/>
    </xf>
    <xf numFmtId="166" fontId="59" fillId="15" borderId="57" xfId="6" applyNumberFormat="1" applyFont="1" applyFill="1" applyBorder="1" applyAlignment="1">
      <alignment horizontal="center" vertical="center"/>
    </xf>
    <xf numFmtId="0" fontId="61" fillId="8" borderId="16" xfId="6" applyFont="1" applyFill="1" applyBorder="1" applyAlignment="1">
      <alignment horizontal="center" vertical="center"/>
    </xf>
    <xf numFmtId="0" fontId="61" fillId="8" borderId="49" xfId="6" applyFont="1" applyFill="1" applyBorder="1" applyAlignment="1">
      <alignment horizontal="center" vertical="center"/>
    </xf>
    <xf numFmtId="0" fontId="61" fillId="8" borderId="18" xfId="6" applyFont="1" applyFill="1" applyBorder="1" applyAlignment="1">
      <alignment horizontal="left" vertical="center"/>
    </xf>
    <xf numFmtId="0" fontId="57" fillId="2" borderId="18" xfId="6" applyFont="1" applyFill="1" applyBorder="1" applyAlignment="1">
      <alignment horizontal="center" vertical="center"/>
    </xf>
    <xf numFmtId="0" fontId="53" fillId="0" borderId="52" xfId="2" applyFont="1" applyBorder="1" applyAlignment="1">
      <alignment horizontal="center" vertical="center"/>
    </xf>
    <xf numFmtId="0" fontId="53" fillId="0" borderId="64" xfId="2" applyFont="1" applyBorder="1" applyAlignment="1">
      <alignment horizontal="center" vertical="center"/>
    </xf>
    <xf numFmtId="0" fontId="53" fillId="7" borderId="57" xfId="6" applyFont="1" applyFill="1" applyBorder="1" applyAlignment="1">
      <alignment horizontal="center" vertical="center"/>
    </xf>
    <xf numFmtId="166" fontId="53" fillId="7" borderId="57" xfId="6" applyNumberFormat="1" applyFont="1" applyFill="1" applyBorder="1" applyAlignment="1">
      <alignment horizontal="center" vertical="center"/>
    </xf>
    <xf numFmtId="0" fontId="57" fillId="2" borderId="16" xfId="6" applyFont="1" applyFill="1" applyBorder="1" applyAlignment="1">
      <alignment horizontal="center" vertical="center"/>
    </xf>
    <xf numFmtId="0" fontId="57" fillId="2" borderId="49" xfId="6" applyFont="1" applyFill="1" applyBorder="1" applyAlignment="1">
      <alignment horizontal="center" vertical="center"/>
    </xf>
    <xf numFmtId="0" fontId="57" fillId="2" borderId="18" xfId="6" applyFont="1" applyFill="1" applyBorder="1" applyAlignment="1">
      <alignment horizontal="left" vertical="center"/>
    </xf>
    <xf numFmtId="1" fontId="53" fillId="0" borderId="19" xfId="2" applyNumberFormat="1" applyFont="1" applyBorder="1" applyAlignment="1">
      <alignment horizontal="center" vertical="center"/>
    </xf>
    <xf numFmtId="0" fontId="61" fillId="2" borderId="16" xfId="6" applyFont="1" applyFill="1" applyBorder="1" applyAlignment="1">
      <alignment horizontal="center" vertical="center"/>
    </xf>
    <xf numFmtId="0" fontId="61" fillId="2" borderId="49" xfId="6" applyFont="1" applyFill="1" applyBorder="1" applyAlignment="1">
      <alignment horizontal="center" vertical="center"/>
    </xf>
    <xf numFmtId="0" fontId="61" fillId="8" borderId="18" xfId="6" applyFont="1" applyFill="1" applyBorder="1" applyAlignment="1">
      <alignment horizontal="center" vertical="center"/>
    </xf>
    <xf numFmtId="0" fontId="61" fillId="2" borderId="18" xfId="6" applyFont="1" applyFill="1" applyBorder="1" applyAlignment="1">
      <alignment horizontal="left" vertical="center"/>
    </xf>
    <xf numFmtId="0" fontId="57" fillId="7" borderId="57" xfId="6" applyFont="1" applyFill="1" applyBorder="1" applyAlignment="1">
      <alignment horizontal="center" vertical="center"/>
    </xf>
    <xf numFmtId="166" fontId="57" fillId="7" borderId="57" xfId="6" applyNumberFormat="1" applyFont="1" applyFill="1" applyBorder="1" applyAlignment="1">
      <alignment horizontal="center" vertical="center"/>
    </xf>
    <xf numFmtId="0" fontId="53" fillId="2" borderId="16" xfId="6" applyFont="1" applyFill="1" applyBorder="1" applyAlignment="1">
      <alignment horizontal="center" vertical="center"/>
    </xf>
    <xf numFmtId="0" fontId="53" fillId="2" borderId="18" xfId="6" applyFont="1" applyFill="1" applyBorder="1" applyAlignment="1">
      <alignment horizontal="left" vertical="center"/>
    </xf>
    <xf numFmtId="0" fontId="57" fillId="2" borderId="48" xfId="2" applyFont="1" applyFill="1" applyBorder="1" applyAlignment="1">
      <alignment horizontal="center" vertical="center"/>
    </xf>
    <xf numFmtId="166" fontId="56" fillId="7" borderId="64" xfId="2" applyNumberFormat="1" applyFont="1" applyFill="1" applyBorder="1" applyAlignment="1">
      <alignment horizontal="center" vertical="center"/>
    </xf>
    <xf numFmtId="166" fontId="63" fillId="7" borderId="21" xfId="2" applyNumberFormat="1" applyFont="1" applyFill="1" applyBorder="1" applyAlignment="1">
      <alignment horizontal="center" vertical="center"/>
    </xf>
    <xf numFmtId="0" fontId="53" fillId="0" borderId="61" xfId="2" applyFont="1" applyBorder="1" applyAlignment="1">
      <alignment horizontal="center" vertical="center"/>
    </xf>
    <xf numFmtId="1" fontId="53" fillId="0" borderId="35" xfId="2" applyNumberFormat="1" applyFont="1" applyBorder="1" applyAlignment="1">
      <alignment horizontal="center" vertical="center"/>
    </xf>
    <xf numFmtId="0" fontId="53" fillId="0" borderId="60" xfId="2" applyFont="1" applyBorder="1" applyAlignment="1">
      <alignment horizontal="center" vertical="center"/>
    </xf>
    <xf numFmtId="0" fontId="53" fillId="7" borderId="60" xfId="3" applyFont="1" applyFill="1" applyBorder="1" applyAlignment="1">
      <alignment horizontal="center" vertical="center"/>
    </xf>
    <xf numFmtId="166" fontId="53" fillId="7" borderId="60" xfId="3" applyNumberFormat="1" applyFont="1" applyFill="1" applyBorder="1" applyAlignment="1">
      <alignment horizontal="center" vertical="center"/>
    </xf>
    <xf numFmtId="0" fontId="53" fillId="2" borderId="25" xfId="3" applyFont="1" applyFill="1" applyBorder="1" applyAlignment="1">
      <alignment horizontal="center" vertical="center"/>
    </xf>
    <xf numFmtId="0" fontId="57" fillId="2" borderId="36" xfId="3" applyFont="1" applyFill="1" applyBorder="1" applyAlignment="1">
      <alignment horizontal="center" vertical="center"/>
    </xf>
    <xf numFmtId="0" fontId="57" fillId="2" borderId="61" xfId="3" applyFont="1" applyFill="1" applyBorder="1" applyAlignment="1">
      <alignment horizontal="left" vertical="center"/>
    </xf>
    <xf numFmtId="164" fontId="57" fillId="2" borderId="61" xfId="3" applyNumberFormat="1" applyFont="1" applyFill="1" applyBorder="1" applyAlignment="1">
      <alignment horizontal="center" vertical="center"/>
    </xf>
    <xf numFmtId="166" fontId="64" fillId="7" borderId="59" xfId="2" applyNumberFormat="1" applyFont="1" applyFill="1" applyBorder="1" applyAlignment="1">
      <alignment horizontal="center" vertical="center"/>
    </xf>
    <xf numFmtId="166" fontId="64" fillId="7" borderId="54" xfId="2" applyNumberFormat="1" applyFont="1" applyFill="1" applyBorder="1" applyAlignment="1">
      <alignment horizontal="center" vertical="center"/>
    </xf>
    <xf numFmtId="0" fontId="53" fillId="7" borderId="6" xfId="6" applyFont="1" applyFill="1" applyBorder="1" applyAlignment="1">
      <alignment horizontal="center" vertical="center"/>
    </xf>
    <xf numFmtId="166" fontId="53" fillId="7" borderId="54" xfId="6" applyNumberFormat="1" applyFont="1" applyFill="1" applyBorder="1" applyAlignment="1">
      <alignment horizontal="center" vertical="center"/>
    </xf>
    <xf numFmtId="0" fontId="57" fillId="2" borderId="55" xfId="6" applyFont="1" applyFill="1" applyBorder="1" applyAlignment="1">
      <alignment horizontal="center" vertical="center"/>
    </xf>
    <xf numFmtId="0" fontId="57" fillId="2" borderId="54" xfId="6" applyFont="1" applyFill="1" applyBorder="1" applyAlignment="1">
      <alignment horizontal="center" vertical="center"/>
    </xf>
    <xf numFmtId="0" fontId="57" fillId="2" borderId="6" xfId="6" applyFont="1" applyFill="1" applyBorder="1" applyAlignment="1">
      <alignment horizontal="center" vertical="center"/>
    </xf>
    <xf numFmtId="166" fontId="64" fillId="7" borderId="57" xfId="2" applyNumberFormat="1" applyFont="1" applyFill="1" applyBorder="1" applyAlignment="1">
      <alignment horizontal="center" vertical="center"/>
    </xf>
    <xf numFmtId="166" fontId="58" fillId="7" borderId="19" xfId="2" applyNumberFormat="1" applyFont="1" applyFill="1" applyBorder="1" applyAlignment="1">
      <alignment horizontal="center" vertical="center"/>
    </xf>
    <xf numFmtId="0" fontId="59" fillId="15" borderId="10" xfId="6" applyFont="1" applyFill="1" applyBorder="1" applyAlignment="1">
      <alignment horizontal="center" vertical="center"/>
    </xf>
    <xf numFmtId="166" fontId="59" fillId="15" borderId="19" xfId="6" applyNumberFormat="1" applyFont="1" applyFill="1" applyBorder="1" applyAlignment="1">
      <alignment horizontal="center" vertical="center"/>
    </xf>
    <xf numFmtId="0" fontId="61" fillId="2" borderId="19" xfId="6" applyFont="1" applyFill="1" applyBorder="1" applyAlignment="1">
      <alignment horizontal="center" vertical="center"/>
    </xf>
    <xf numFmtId="0" fontId="61" fillId="2" borderId="10" xfId="6" applyFont="1" applyFill="1" applyBorder="1" applyAlignment="1">
      <alignment horizontal="center" vertical="center"/>
    </xf>
    <xf numFmtId="166" fontId="64" fillId="7" borderId="51" xfId="2" applyNumberFormat="1" applyFont="1" applyFill="1" applyBorder="1" applyAlignment="1">
      <alignment horizontal="center" vertical="center"/>
    </xf>
    <xf numFmtId="166" fontId="58" fillId="7" borderId="0" xfId="2" applyNumberFormat="1" applyFont="1" applyFill="1" applyAlignment="1">
      <alignment horizontal="center" vertical="center"/>
    </xf>
    <xf numFmtId="0" fontId="53" fillId="0" borderId="14" xfId="2" applyFont="1" applyBorder="1" applyAlignment="1">
      <alignment horizontal="center" vertical="center"/>
    </xf>
    <xf numFmtId="166" fontId="53" fillId="7" borderId="0" xfId="2" applyNumberFormat="1" applyFont="1" applyFill="1" applyAlignment="1">
      <alignment horizontal="center" vertical="center"/>
    </xf>
    <xf numFmtId="0" fontId="53" fillId="7" borderId="44" xfId="6" applyFont="1" applyFill="1" applyBorder="1" applyAlignment="1">
      <alignment horizontal="center" vertical="center"/>
    </xf>
    <xf numFmtId="0" fontId="53" fillId="7" borderId="67" xfId="6" applyFont="1" applyFill="1" applyBorder="1" applyAlignment="1">
      <alignment horizontal="center" vertical="center"/>
    </xf>
    <xf numFmtId="0" fontId="53" fillId="2" borderId="62" xfId="6" applyFont="1" applyFill="1" applyBorder="1" applyAlignment="1">
      <alignment horizontal="center" vertical="center"/>
    </xf>
    <xf numFmtId="0" fontId="53" fillId="2" borderId="67" xfId="6" applyFont="1" applyFill="1" applyBorder="1" applyAlignment="1">
      <alignment horizontal="center" vertical="center"/>
    </xf>
    <xf numFmtId="0" fontId="57" fillId="2" borderId="44" xfId="6" applyFont="1" applyFill="1" applyBorder="1" applyAlignment="1">
      <alignment horizontal="center" vertical="center"/>
    </xf>
    <xf numFmtId="0" fontId="53" fillId="2" borderId="62" xfId="6" applyFont="1" applyFill="1" applyBorder="1" applyAlignment="1">
      <alignment horizontal="left" vertical="center"/>
    </xf>
    <xf numFmtId="166" fontId="64" fillId="7" borderId="64" xfId="2" applyNumberFormat="1" applyFont="1" applyFill="1" applyBorder="1" applyAlignment="1">
      <alignment horizontal="center" vertical="center"/>
    </xf>
    <xf numFmtId="0" fontId="53" fillId="0" borderId="13" xfId="2" applyFont="1" applyBorder="1" applyAlignment="1">
      <alignment horizontal="center" vertical="center"/>
    </xf>
    <xf numFmtId="1" fontId="53" fillId="0" borderId="21" xfId="2" applyNumberFormat="1" applyFont="1" applyBorder="1" applyAlignment="1">
      <alignment horizontal="center" vertical="center"/>
    </xf>
    <xf numFmtId="166" fontId="53" fillId="7" borderId="19" xfId="6" applyNumberFormat="1" applyFont="1" applyFill="1" applyBorder="1" applyAlignment="1">
      <alignment horizontal="center" vertical="center"/>
    </xf>
    <xf numFmtId="166" fontId="64" fillId="7" borderId="10" xfId="2" applyNumberFormat="1" applyFont="1" applyFill="1" applyBorder="1" applyAlignment="1">
      <alignment horizontal="center" vertical="center"/>
    </xf>
    <xf numFmtId="0" fontId="57" fillId="2" borderId="10" xfId="6" applyFont="1" applyFill="1" applyBorder="1" applyAlignment="1">
      <alignment horizontal="center" vertical="center"/>
    </xf>
    <xf numFmtId="0" fontId="57" fillId="2" borderId="15" xfId="6" applyFont="1" applyFill="1" applyBorder="1" applyAlignment="1">
      <alignment horizontal="left" vertical="center"/>
    </xf>
    <xf numFmtId="0" fontId="53" fillId="0" borderId="62" xfId="2" applyFont="1" applyBorder="1" applyAlignment="1">
      <alignment horizontal="center" vertical="center"/>
    </xf>
    <xf numFmtId="0" fontId="61" fillId="8" borderId="10" xfId="6" applyFont="1" applyFill="1" applyBorder="1" applyAlignment="1">
      <alignment horizontal="center" vertical="center"/>
    </xf>
    <xf numFmtId="164" fontId="61" fillId="8" borderId="18" xfId="6" applyNumberFormat="1" applyFont="1" applyFill="1" applyBorder="1" applyAlignment="1">
      <alignment horizontal="center" vertical="center"/>
    </xf>
    <xf numFmtId="166" fontId="58" fillId="7" borderId="51" xfId="2" applyNumberFormat="1" applyFont="1" applyFill="1" applyBorder="1" applyAlignment="1">
      <alignment horizontal="center" vertical="center" wrapText="1"/>
    </xf>
    <xf numFmtId="166" fontId="64" fillId="7" borderId="0" xfId="2" applyNumberFormat="1" applyFont="1" applyFill="1" applyAlignment="1">
      <alignment horizontal="center" vertical="center" wrapText="1"/>
    </xf>
    <xf numFmtId="0" fontId="61" fillId="15" borderId="20" xfId="6" applyFont="1" applyFill="1" applyBorder="1" applyAlignment="1">
      <alignment horizontal="center" vertical="center"/>
    </xf>
    <xf numFmtId="166" fontId="61" fillId="15" borderId="21" xfId="6" applyNumberFormat="1" applyFont="1" applyFill="1" applyBorder="1" applyAlignment="1">
      <alignment horizontal="center" vertical="center"/>
    </xf>
    <xf numFmtId="0" fontId="61" fillId="8" borderId="13" xfId="6" applyFont="1" applyFill="1" applyBorder="1" applyAlignment="1">
      <alignment horizontal="center" vertical="center"/>
    </xf>
    <xf numFmtId="0" fontId="61" fillId="2" borderId="21" xfId="6" applyFont="1" applyFill="1" applyBorder="1" applyAlignment="1">
      <alignment horizontal="center" vertical="center"/>
    </xf>
    <xf numFmtId="0" fontId="61" fillId="2" borderId="20" xfId="6" applyFont="1" applyFill="1" applyBorder="1" applyAlignment="1">
      <alignment horizontal="center" vertical="center"/>
    </xf>
    <xf numFmtId="0" fontId="61" fillId="8" borderId="13" xfId="6" applyFont="1" applyFill="1" applyBorder="1" applyAlignment="1">
      <alignment horizontal="left" vertical="center"/>
    </xf>
    <xf numFmtId="0" fontId="57" fillId="7" borderId="10" xfId="6" applyFont="1" applyFill="1" applyBorder="1" applyAlignment="1">
      <alignment horizontal="center" vertical="center"/>
    </xf>
    <xf numFmtId="166" fontId="57" fillId="7" borderId="19" xfId="6" applyNumberFormat="1" applyFont="1" applyFill="1" applyBorder="1" applyAlignment="1">
      <alignment horizontal="center" vertical="center"/>
    </xf>
    <xf numFmtId="0" fontId="57" fillId="8" borderId="18" xfId="6" applyFont="1" applyFill="1" applyBorder="1" applyAlignment="1">
      <alignment horizontal="center" vertical="center"/>
    </xf>
    <xf numFmtId="0" fontId="57" fillId="8" borderId="18" xfId="6" applyFont="1" applyFill="1" applyBorder="1" applyAlignment="1">
      <alignment horizontal="left" vertical="center"/>
    </xf>
    <xf numFmtId="0" fontId="58" fillId="2" borderId="1" xfId="1" applyFont="1" applyFill="1" applyBorder="1" applyAlignment="1">
      <alignment horizontal="center" vertical="center" wrapText="1"/>
    </xf>
    <xf numFmtId="0" fontId="58" fillId="2" borderId="12" xfId="1" applyFont="1" applyFill="1" applyBorder="1" applyAlignment="1">
      <alignment horizontal="center" vertical="center" wrapText="1"/>
    </xf>
    <xf numFmtId="166" fontId="64" fillId="7" borderId="50" xfId="2" applyNumberFormat="1" applyFont="1" applyFill="1" applyBorder="1" applyAlignment="1">
      <alignment horizontal="center" vertical="center" wrapText="1"/>
    </xf>
    <xf numFmtId="166" fontId="64" fillId="7" borderId="40" xfId="2" applyNumberFormat="1" applyFont="1" applyFill="1" applyBorder="1" applyAlignment="1">
      <alignment horizontal="center" vertical="center" wrapText="1"/>
    </xf>
    <xf numFmtId="0" fontId="57" fillId="2" borderId="38" xfId="2" applyFont="1" applyFill="1" applyBorder="1" applyAlignment="1">
      <alignment horizontal="center" vertical="center"/>
    </xf>
    <xf numFmtId="0" fontId="53" fillId="0" borderId="38" xfId="2" applyFont="1" applyBorder="1" applyAlignment="1">
      <alignment horizontal="center" vertical="center"/>
    </xf>
    <xf numFmtId="1" fontId="53" fillId="0" borderId="38" xfId="2" applyNumberFormat="1" applyFont="1" applyBorder="1" applyAlignment="1">
      <alignment horizontal="center" vertical="center"/>
    </xf>
    <xf numFmtId="0" fontId="53" fillId="7" borderId="23" xfId="6" applyFont="1" applyFill="1" applyBorder="1" applyAlignment="1">
      <alignment horizontal="center" vertical="center"/>
    </xf>
    <xf numFmtId="166" fontId="53" fillId="7" borderId="35" xfId="6" applyNumberFormat="1" applyFont="1" applyFill="1" applyBorder="1" applyAlignment="1">
      <alignment horizontal="center" vertical="center"/>
    </xf>
    <xf numFmtId="0" fontId="61" fillId="2" borderId="35" xfId="6" applyFont="1" applyFill="1" applyBorder="1" applyAlignment="1">
      <alignment horizontal="center" vertical="center"/>
    </xf>
    <xf numFmtId="166" fontId="66" fillId="7" borderId="6" xfId="2" applyNumberFormat="1" applyFont="1" applyFill="1" applyBorder="1" applyAlignment="1">
      <alignment horizontal="center" vertical="center" wrapText="1"/>
    </xf>
    <xf numFmtId="0" fontId="57" fillId="2" borderId="54" xfId="2" applyFont="1" applyFill="1" applyBorder="1" applyAlignment="1">
      <alignment horizontal="center" vertical="center"/>
    </xf>
    <xf numFmtId="166" fontId="53" fillId="7" borderId="6" xfId="2" applyNumberFormat="1" applyFont="1" applyFill="1" applyBorder="1" applyAlignment="1">
      <alignment horizontal="center" vertical="center"/>
    </xf>
    <xf numFmtId="1" fontId="53" fillId="2" borderId="54" xfId="2" applyNumberFormat="1" applyFont="1" applyFill="1" applyBorder="1" applyAlignment="1">
      <alignment horizontal="center" vertical="center"/>
    </xf>
    <xf numFmtId="0" fontId="53" fillId="7" borderId="59" xfId="5" applyFont="1" applyFill="1" applyBorder="1" applyAlignment="1">
      <alignment horizontal="center" vertical="center"/>
    </xf>
    <xf numFmtId="166" fontId="53" fillId="7" borderId="59" xfId="5" applyNumberFormat="1" applyFont="1" applyFill="1" applyBorder="1" applyAlignment="1">
      <alignment horizontal="center" vertical="center"/>
    </xf>
    <xf numFmtId="0" fontId="61" fillId="2" borderId="55" xfId="5" applyFont="1" applyFill="1" applyBorder="1" applyAlignment="1">
      <alignment horizontal="center" vertical="center"/>
    </xf>
    <xf numFmtId="0" fontId="61" fillId="2" borderId="55" xfId="5" applyFont="1" applyFill="1" applyBorder="1" applyAlignment="1">
      <alignment horizontal="left" vertical="center"/>
    </xf>
    <xf numFmtId="166" fontId="66" fillId="7" borderId="10" xfId="2" applyNumberFormat="1" applyFont="1" applyFill="1" applyBorder="1" applyAlignment="1">
      <alignment horizontal="center" vertical="center"/>
    </xf>
    <xf numFmtId="0" fontId="57" fillId="2" borderId="19" xfId="2" applyFont="1" applyFill="1" applyBorder="1" applyAlignment="1">
      <alignment horizontal="center" vertical="center"/>
    </xf>
    <xf numFmtId="0" fontId="66" fillId="7" borderId="57" xfId="2" applyFont="1" applyFill="1" applyBorder="1" applyAlignment="1">
      <alignment horizontal="center" vertical="center"/>
    </xf>
    <xf numFmtId="0" fontId="67" fillId="7" borderId="10" xfId="2" applyFont="1" applyFill="1" applyBorder="1" applyAlignment="1">
      <alignment horizontal="center" vertical="center"/>
    </xf>
    <xf numFmtId="0" fontId="57" fillId="2" borderId="18" xfId="2" applyFont="1" applyFill="1" applyBorder="1" applyAlignment="1">
      <alignment horizontal="center" vertical="center"/>
    </xf>
    <xf numFmtId="1" fontId="53" fillId="2" borderId="19" xfId="2" applyNumberFormat="1" applyFont="1" applyFill="1" applyBorder="1" applyAlignment="1">
      <alignment horizontal="center" vertical="center"/>
    </xf>
    <xf numFmtId="0" fontId="59" fillId="15" borderId="57" xfId="5" applyFont="1" applyFill="1" applyBorder="1" applyAlignment="1">
      <alignment horizontal="center" vertical="center"/>
    </xf>
    <xf numFmtId="166" fontId="59" fillId="15" borderId="57" xfId="5" applyNumberFormat="1" applyFont="1" applyFill="1" applyBorder="1" applyAlignment="1">
      <alignment horizontal="center" vertical="center"/>
    </xf>
    <xf numFmtId="0" fontId="61" fillId="8" borderId="19" xfId="5" applyFont="1" applyFill="1" applyBorder="1" applyAlignment="1">
      <alignment horizontal="center" vertical="center"/>
    </xf>
    <xf numFmtId="0" fontId="61" fillId="2" borderId="18" xfId="5" applyFont="1" applyFill="1" applyBorder="1" applyAlignment="1">
      <alignment horizontal="center" vertical="center"/>
    </xf>
    <xf numFmtId="0" fontId="61" fillId="2" borderId="18" xfId="5" applyFont="1" applyFill="1" applyBorder="1" applyAlignment="1">
      <alignment horizontal="left" vertical="center"/>
    </xf>
    <xf numFmtId="0" fontId="61" fillId="8" borderId="18" xfId="5" applyFont="1" applyFill="1" applyBorder="1" applyAlignment="1">
      <alignment horizontal="center" vertical="center"/>
    </xf>
    <xf numFmtId="49" fontId="66" fillId="7" borderId="45" xfId="2" applyNumberFormat="1" applyFont="1" applyFill="1" applyBorder="1" applyAlignment="1">
      <alignment horizontal="center" vertical="center"/>
    </xf>
    <xf numFmtId="0" fontId="57" fillId="7" borderId="44" xfId="2" applyFont="1" applyFill="1" applyBorder="1" applyAlignment="1">
      <alignment horizontal="center" vertical="center"/>
    </xf>
    <xf numFmtId="0" fontId="57" fillId="2" borderId="62" xfId="2" applyFont="1" applyFill="1" applyBorder="1" applyAlignment="1">
      <alignment horizontal="center" vertical="center"/>
    </xf>
    <xf numFmtId="0" fontId="61" fillId="2" borderId="18" xfId="6" applyFont="1" applyFill="1" applyBorder="1" applyAlignment="1">
      <alignment horizontal="center" vertical="center"/>
    </xf>
    <xf numFmtId="0" fontId="57" fillId="7" borderId="10" xfId="2" applyFont="1" applyFill="1" applyBorder="1" applyAlignment="1">
      <alignment horizontal="center" vertical="center"/>
    </xf>
    <xf numFmtId="0" fontId="59" fillId="15" borderId="17" xfId="6" applyFont="1" applyFill="1" applyBorder="1" applyAlignment="1">
      <alignment horizontal="center" vertical="center"/>
    </xf>
    <xf numFmtId="0" fontId="53" fillId="7" borderId="64" xfId="5" applyFont="1" applyFill="1" applyBorder="1" applyAlignment="1">
      <alignment horizontal="center" vertical="center"/>
    </xf>
    <xf numFmtId="166" fontId="53" fillId="7" borderId="64" xfId="5" applyNumberFormat="1" applyFont="1" applyFill="1" applyBorder="1" applyAlignment="1">
      <alignment horizontal="center" vertical="center"/>
    </xf>
    <xf numFmtId="0" fontId="57" fillId="2" borderId="64" xfId="5" applyFont="1" applyFill="1" applyBorder="1" applyAlignment="1">
      <alignment horizontal="center" vertical="center"/>
    </xf>
    <xf numFmtId="166" fontId="66" fillId="7" borderId="20" xfId="2" applyNumberFormat="1" applyFont="1" applyFill="1" applyBorder="1" applyAlignment="1">
      <alignment horizontal="center" vertical="center"/>
    </xf>
    <xf numFmtId="0" fontId="57" fillId="2" borderId="21" xfId="2" applyFont="1" applyFill="1" applyBorder="1" applyAlignment="1">
      <alignment horizontal="center" vertical="center"/>
    </xf>
    <xf numFmtId="0" fontId="67" fillId="7" borderId="20" xfId="2" applyFont="1" applyFill="1" applyBorder="1" applyAlignment="1">
      <alignment horizontal="center" vertical="center"/>
    </xf>
    <xf numFmtId="0" fontId="57" fillId="2" borderId="13" xfId="2" applyFont="1" applyFill="1" applyBorder="1" applyAlignment="1">
      <alignment horizontal="center" vertical="center"/>
    </xf>
    <xf numFmtId="166" fontId="66" fillId="7" borderId="23" xfId="2" applyNumberFormat="1" applyFont="1" applyFill="1" applyBorder="1" applyAlignment="1">
      <alignment horizontal="center" vertical="center"/>
    </xf>
    <xf numFmtId="0" fontId="57" fillId="2" borderId="35" xfId="2" applyFont="1" applyFill="1" applyBorder="1" applyAlignment="1">
      <alignment horizontal="center" vertical="center"/>
    </xf>
    <xf numFmtId="166" fontId="53" fillId="7" borderId="23" xfId="2" applyNumberFormat="1" applyFont="1" applyFill="1" applyBorder="1" applyAlignment="1">
      <alignment horizontal="center" vertical="center"/>
    </xf>
    <xf numFmtId="0" fontId="53" fillId="2" borderId="61" xfId="2" applyFont="1" applyFill="1" applyBorder="1" applyAlignment="1">
      <alignment horizontal="center" vertical="center"/>
    </xf>
    <xf numFmtId="1" fontId="53" fillId="2" borderId="35" xfId="2" applyNumberFormat="1" applyFont="1" applyFill="1" applyBorder="1" applyAlignment="1">
      <alignment horizontal="center" vertical="center"/>
    </xf>
    <xf numFmtId="166" fontId="53" fillId="7" borderId="60" xfId="5" applyNumberFormat="1" applyFont="1" applyFill="1" applyBorder="1" applyAlignment="1">
      <alignment horizontal="center" vertical="center"/>
    </xf>
    <xf numFmtId="0" fontId="57" fillId="2" borderId="61" xfId="5" applyFont="1" applyFill="1" applyBorder="1" applyAlignment="1">
      <alignment horizontal="left" vertical="center"/>
    </xf>
    <xf numFmtId="166" fontId="43" fillId="7" borderId="3" xfId="2" applyNumberFormat="1" applyFont="1" applyFill="1" applyBorder="1" applyAlignment="1">
      <alignment horizontal="center" vertical="center"/>
    </xf>
    <xf numFmtId="0" fontId="51" fillId="7" borderId="4" xfId="2" applyFont="1" applyFill="1" applyBorder="1" applyAlignment="1">
      <alignment horizontal="center" vertical="center"/>
    </xf>
    <xf numFmtId="0" fontId="52" fillId="28" borderId="59" xfId="1" applyFont="1" applyFill="1" applyBorder="1" applyAlignment="1">
      <alignment horizontal="center" vertical="center"/>
    </xf>
    <xf numFmtId="0" fontId="52" fillId="28" borderId="57" xfId="1" applyFont="1" applyFill="1" applyBorder="1" applyAlignment="1">
      <alignment horizontal="center" vertical="center"/>
    </xf>
    <xf numFmtId="0" fontId="52" fillId="28" borderId="60" xfId="1" applyFont="1" applyFill="1" applyBorder="1" applyAlignment="1">
      <alignment horizontal="center" vertical="center"/>
    </xf>
    <xf numFmtId="0" fontId="53" fillId="7" borderId="59" xfId="6" applyFont="1" applyFill="1" applyBorder="1" applyAlignment="1">
      <alignment horizontal="center" vertical="center"/>
    </xf>
    <xf numFmtId="166" fontId="53" fillId="7" borderId="59" xfId="6" applyNumberFormat="1" applyFont="1" applyFill="1" applyBorder="1" applyAlignment="1">
      <alignment horizontal="center" vertical="center"/>
    </xf>
    <xf numFmtId="0" fontId="61" fillId="2" borderId="54" xfId="6" applyFont="1" applyFill="1" applyBorder="1" applyAlignment="1">
      <alignment horizontal="center" vertical="center"/>
    </xf>
    <xf numFmtId="0" fontId="57" fillId="2" borderId="33" xfId="6" applyFont="1" applyFill="1" applyBorder="1" applyAlignment="1">
      <alignment horizontal="left" vertical="center"/>
    </xf>
    <xf numFmtId="0" fontId="57" fillId="2" borderId="34" xfId="6" applyFont="1" applyFill="1" applyBorder="1" applyAlignment="1">
      <alignment horizontal="center" vertical="center"/>
    </xf>
    <xf numFmtId="166" fontId="53" fillId="7" borderId="57" xfId="2" applyNumberFormat="1" applyFont="1" applyFill="1" applyBorder="1" applyAlignment="1">
      <alignment horizontal="center" vertical="center"/>
    </xf>
    <xf numFmtId="0" fontId="61" fillId="8" borderId="21" xfId="5" applyFont="1" applyFill="1" applyBorder="1" applyAlignment="1">
      <alignment horizontal="left" vertical="center"/>
    </xf>
    <xf numFmtId="166" fontId="53" fillId="7" borderId="64" xfId="2" applyNumberFormat="1" applyFont="1" applyFill="1" applyBorder="1" applyAlignment="1">
      <alignment horizontal="center" vertical="center"/>
    </xf>
    <xf numFmtId="0" fontId="57" fillId="2" borderId="19" xfId="6" applyFont="1" applyFill="1" applyBorder="1" applyAlignment="1">
      <alignment horizontal="left" vertical="center"/>
    </xf>
    <xf numFmtId="166" fontId="53" fillId="7" borderId="60" xfId="2" applyNumberFormat="1" applyFont="1" applyFill="1" applyBorder="1" applyAlignment="1">
      <alignment horizontal="center" vertical="center"/>
    </xf>
    <xf numFmtId="0" fontId="59" fillId="15" borderId="60" xfId="5" applyFont="1" applyFill="1" applyBorder="1" applyAlignment="1">
      <alignment horizontal="center" vertical="center"/>
    </xf>
    <xf numFmtId="166" fontId="59" fillId="15" borderId="60" xfId="5" applyNumberFormat="1" applyFont="1" applyFill="1" applyBorder="1" applyAlignment="1">
      <alignment horizontal="center" vertical="center"/>
    </xf>
    <xf numFmtId="0" fontId="61" fillId="8" borderId="35" xfId="5" applyFont="1" applyFill="1" applyBorder="1" applyAlignment="1">
      <alignment horizontal="left" vertical="center"/>
    </xf>
    <xf numFmtId="166" fontId="56" fillId="7" borderId="54" xfId="2" applyNumberFormat="1" applyFont="1" applyFill="1" applyBorder="1" applyAlignment="1">
      <alignment horizontal="center" vertical="center" wrapText="1"/>
    </xf>
    <xf numFmtId="166" fontId="53" fillId="7" borderId="6" xfId="3" applyNumberFormat="1" applyFont="1" applyFill="1" applyBorder="1" applyAlignment="1">
      <alignment horizontal="center" vertical="center"/>
    </xf>
    <xf numFmtId="0" fontId="53" fillId="2" borderId="6" xfId="3" applyFont="1" applyFill="1" applyBorder="1" applyAlignment="1">
      <alignment horizontal="center" vertical="center"/>
    </xf>
    <xf numFmtId="0" fontId="57" fillId="2" borderId="6" xfId="3" applyFont="1" applyFill="1" applyBorder="1" applyAlignment="1">
      <alignment horizontal="center" vertical="center"/>
    </xf>
    <xf numFmtId="0" fontId="57" fillId="2" borderId="6" xfId="3" applyFont="1" applyFill="1" applyBorder="1" applyAlignment="1">
      <alignment horizontal="left" vertical="center"/>
    </xf>
    <xf numFmtId="166" fontId="53" fillId="7" borderId="10" xfId="6" applyNumberFormat="1" applyFont="1" applyFill="1" applyBorder="1" applyAlignment="1">
      <alignment horizontal="center" vertical="center"/>
    </xf>
    <xf numFmtId="0" fontId="57" fillId="2" borderId="10" xfId="6" applyFont="1" applyFill="1" applyBorder="1" applyAlignment="1">
      <alignment horizontal="left" vertical="center"/>
    </xf>
    <xf numFmtId="166" fontId="59" fillId="15" borderId="10" xfId="6" applyNumberFormat="1" applyFont="1" applyFill="1" applyBorder="1" applyAlignment="1">
      <alignment horizontal="center" vertical="center"/>
    </xf>
    <xf numFmtId="166" fontId="57" fillId="7" borderId="10" xfId="6" applyNumberFormat="1" applyFont="1" applyFill="1" applyBorder="1" applyAlignment="1">
      <alignment horizontal="center" vertical="center"/>
    </xf>
    <xf numFmtId="0" fontId="61" fillId="15" borderId="57" xfId="6" applyFont="1" applyFill="1" applyBorder="1" applyAlignment="1">
      <alignment horizontal="center" vertical="center"/>
    </xf>
    <xf numFmtId="166" fontId="61" fillId="15" borderId="10" xfId="6" applyNumberFormat="1" applyFont="1" applyFill="1" applyBorder="1" applyAlignment="1">
      <alignment horizontal="center" vertical="center"/>
    </xf>
    <xf numFmtId="0" fontId="61" fillId="8" borderId="10" xfId="6" applyFont="1" applyFill="1" applyBorder="1" applyAlignment="1">
      <alignment horizontal="left" vertical="center"/>
    </xf>
    <xf numFmtId="0" fontId="53" fillId="7" borderId="45" xfId="3" applyFont="1" applyFill="1" applyBorder="1" applyAlignment="1">
      <alignment horizontal="center" vertical="center"/>
    </xf>
    <xf numFmtId="166" fontId="53" fillId="7" borderId="44" xfId="3" applyNumberFormat="1" applyFont="1" applyFill="1" applyBorder="1" applyAlignment="1">
      <alignment horizontal="center" vertical="center"/>
    </xf>
    <xf numFmtId="0" fontId="53" fillId="2" borderId="44" xfId="3" applyFont="1" applyFill="1" applyBorder="1" applyAlignment="1">
      <alignment horizontal="center" vertical="center"/>
    </xf>
    <xf numFmtId="0" fontId="57" fillId="2" borderId="44" xfId="3" applyFont="1" applyFill="1" applyBorder="1" applyAlignment="1">
      <alignment horizontal="center" vertical="center"/>
    </xf>
    <xf numFmtId="0" fontId="57" fillId="2" borderId="44" xfId="3" applyFont="1" applyFill="1" applyBorder="1" applyAlignment="1">
      <alignment horizontal="left" vertical="center"/>
    </xf>
    <xf numFmtId="164" fontId="57" fillId="2" borderId="62" xfId="3" applyNumberFormat="1" applyFont="1" applyFill="1" applyBorder="1" applyAlignment="1">
      <alignment horizontal="center" vertical="center"/>
    </xf>
    <xf numFmtId="0" fontId="59" fillId="15" borderId="45" xfId="6" applyFont="1" applyFill="1" applyBorder="1" applyAlignment="1">
      <alignment horizontal="center" vertical="center"/>
    </xf>
    <xf numFmtId="166" fontId="59" fillId="15" borderId="44" xfId="6" applyNumberFormat="1" applyFont="1" applyFill="1" applyBorder="1" applyAlignment="1">
      <alignment horizontal="center" vertical="center"/>
    </xf>
    <xf numFmtId="0" fontId="61" fillId="2" borderId="44" xfId="6" applyFont="1" applyFill="1" applyBorder="1" applyAlignment="1">
      <alignment horizontal="center" vertical="center"/>
    </xf>
    <xf numFmtId="0" fontId="61" fillId="8" borderId="44" xfId="6" applyFont="1" applyFill="1" applyBorder="1" applyAlignment="1">
      <alignment horizontal="left" vertical="center"/>
    </xf>
    <xf numFmtId="0" fontId="61" fillId="8" borderId="62" xfId="6" applyFont="1" applyFill="1" applyBorder="1" applyAlignment="1">
      <alignment horizontal="center" vertical="center"/>
    </xf>
    <xf numFmtId="0" fontId="59" fillId="15" borderId="60" xfId="6" applyFont="1" applyFill="1" applyBorder="1" applyAlignment="1">
      <alignment horizontal="center" vertical="center"/>
    </xf>
    <xf numFmtId="166" fontId="59" fillId="15" borderId="23" xfId="6" applyNumberFormat="1" applyFont="1" applyFill="1" applyBorder="1" applyAlignment="1">
      <alignment horizontal="center" vertical="center"/>
    </xf>
    <xf numFmtId="0" fontId="61" fillId="8" borderId="23" xfId="6" applyFont="1" applyFill="1" applyBorder="1" applyAlignment="1">
      <alignment horizontal="center" vertical="center"/>
    </xf>
    <xf numFmtId="0" fontId="61" fillId="8" borderId="23" xfId="6" applyFont="1" applyFill="1" applyBorder="1" applyAlignment="1">
      <alignment horizontal="left" vertical="center"/>
    </xf>
    <xf numFmtId="166" fontId="63" fillId="7" borderId="54" xfId="2" applyNumberFormat="1" applyFont="1" applyFill="1" applyBorder="1" applyAlignment="1">
      <alignment horizontal="center" vertical="center" wrapText="1"/>
    </xf>
    <xf numFmtId="0" fontId="57" fillId="2" borderId="6" xfId="6" applyFont="1" applyFill="1" applyBorder="1" applyAlignment="1">
      <alignment horizontal="left" vertical="center"/>
    </xf>
    <xf numFmtId="20" fontId="43" fillId="0" borderId="0" xfId="0" applyNumberFormat="1" applyFont="1" applyAlignment="1"/>
    <xf numFmtId="166" fontId="63" fillId="7" borderId="19" xfId="2" applyNumberFormat="1" applyFont="1" applyFill="1" applyBorder="1" applyAlignment="1">
      <alignment horizontal="center" vertical="center" wrapText="1"/>
    </xf>
    <xf numFmtId="166" fontId="53" fillId="7" borderId="45" xfId="3" applyNumberFormat="1" applyFont="1" applyFill="1" applyBorder="1" applyAlignment="1">
      <alignment horizontal="center" vertical="center"/>
    </xf>
    <xf numFmtId="0" fontId="57" fillId="2" borderId="62" xfId="3" applyFont="1" applyFill="1" applyBorder="1" applyAlignment="1">
      <alignment horizontal="center" vertical="center"/>
    </xf>
    <xf numFmtId="0" fontId="53" fillId="7" borderId="38" xfId="6" applyFont="1" applyFill="1" applyBorder="1" applyAlignment="1">
      <alignment horizontal="center" vertical="center"/>
    </xf>
    <xf numFmtId="0" fontId="53" fillId="2" borderId="50" xfId="6" applyFont="1" applyFill="1" applyBorder="1" applyAlignment="1">
      <alignment horizontal="center" vertical="center"/>
    </xf>
    <xf numFmtId="0" fontId="57" fillId="2" borderId="40" xfId="6" applyFont="1" applyFill="1" applyBorder="1" applyAlignment="1">
      <alignment horizontal="center" vertical="center"/>
    </xf>
    <xf numFmtId="0" fontId="53" fillId="2" borderId="50" xfId="6" applyFont="1" applyFill="1" applyBorder="1" applyAlignment="1">
      <alignment horizontal="left" vertical="center"/>
    </xf>
    <xf numFmtId="0" fontId="53" fillId="2" borderId="40" xfId="6" applyFont="1" applyFill="1" applyBorder="1" applyAlignment="1">
      <alignment horizontal="center" vertical="center"/>
    </xf>
    <xf numFmtId="0" fontId="57" fillId="2" borderId="10" xfId="5" applyFont="1" applyFill="1" applyBorder="1" applyAlignment="1">
      <alignment horizontal="left" vertical="center"/>
    </xf>
    <xf numFmtId="0" fontId="53" fillId="2" borderId="62" xfId="2" applyFont="1" applyFill="1" applyBorder="1" applyAlignment="1">
      <alignment horizontal="center" vertical="center"/>
    </xf>
    <xf numFmtId="0" fontId="57" fillId="2" borderId="44" xfId="2" applyFont="1" applyFill="1" applyBorder="1" applyAlignment="1">
      <alignment horizontal="left" vertical="center"/>
    </xf>
    <xf numFmtId="164" fontId="57" fillId="2" borderId="62" xfId="2" applyNumberFormat="1" applyFont="1" applyFill="1" applyBorder="1" applyAlignment="1">
      <alignment horizontal="center" vertical="center"/>
    </xf>
    <xf numFmtId="166" fontId="66" fillId="7" borderId="21" xfId="2" applyNumberFormat="1" applyFont="1" applyFill="1" applyBorder="1" applyAlignment="1">
      <alignment horizontal="center" vertical="center"/>
    </xf>
    <xf numFmtId="0" fontId="61" fillId="8" borderId="23" xfId="5" applyFont="1" applyFill="1" applyBorder="1" applyAlignment="1">
      <alignment horizontal="left" vertical="center"/>
    </xf>
    <xf numFmtId="0" fontId="57" fillId="7" borderId="59" xfId="6" applyFont="1" applyFill="1" applyBorder="1" applyAlignment="1">
      <alignment horizontal="center" vertical="center"/>
    </xf>
    <xf numFmtId="166" fontId="57" fillId="7" borderId="59" xfId="6" applyNumberFormat="1" applyFont="1" applyFill="1" applyBorder="1" applyAlignment="1">
      <alignment horizontal="center" vertical="center"/>
    </xf>
    <xf numFmtId="0" fontId="61" fillId="15" borderId="64" xfId="6" applyFont="1" applyFill="1" applyBorder="1" applyAlignment="1">
      <alignment horizontal="center" vertical="center"/>
    </xf>
    <xf numFmtId="166" fontId="61" fillId="15" borderId="64" xfId="6" applyNumberFormat="1" applyFont="1" applyFill="1" applyBorder="1" applyAlignment="1">
      <alignment horizontal="center" vertical="center"/>
    </xf>
    <xf numFmtId="0" fontId="61" fillId="2" borderId="13" xfId="6" applyFont="1" applyFill="1" applyBorder="1" applyAlignment="1">
      <alignment horizontal="center" vertical="center"/>
    </xf>
    <xf numFmtId="0" fontId="57" fillId="2" borderId="55" xfId="3" applyFont="1" applyFill="1" applyBorder="1" applyAlignment="1">
      <alignment horizontal="center" vertical="center"/>
    </xf>
    <xf numFmtId="0" fontId="53" fillId="22" borderId="57" xfId="6" applyFont="1" applyFill="1" applyBorder="1" applyAlignment="1">
      <alignment horizontal="center" vertical="center"/>
    </xf>
    <xf numFmtId="166" fontId="53" fillId="22" borderId="57" xfId="6" applyNumberFormat="1" applyFont="1" applyFill="1" applyBorder="1" applyAlignment="1">
      <alignment horizontal="center" vertical="center"/>
    </xf>
    <xf numFmtId="0" fontId="57" fillId="22" borderId="10" xfId="6" applyFont="1" applyFill="1" applyBorder="1" applyAlignment="1">
      <alignment horizontal="center" vertical="center"/>
    </xf>
    <xf numFmtId="0" fontId="57" fillId="22" borderId="18" xfId="6" applyFont="1" applyFill="1" applyBorder="1" applyAlignment="1">
      <alignment horizontal="center" vertical="center"/>
    </xf>
    <xf numFmtId="0" fontId="57" fillId="22" borderId="18" xfId="6" applyFont="1" applyFill="1" applyBorder="1" applyAlignment="1">
      <alignment horizontal="left" vertical="center"/>
    </xf>
    <xf numFmtId="0" fontId="53" fillId="7" borderId="64" xfId="6" applyFont="1" applyFill="1" applyBorder="1" applyAlignment="1">
      <alignment horizontal="center" vertical="center"/>
    </xf>
    <xf numFmtId="166" fontId="53" fillId="7" borderId="64" xfId="6" applyNumberFormat="1" applyFont="1" applyFill="1" applyBorder="1" applyAlignment="1">
      <alignment horizontal="center" vertical="center"/>
    </xf>
    <xf numFmtId="0" fontId="57" fillId="2" borderId="13" xfId="6" applyFont="1" applyFill="1" applyBorder="1" applyAlignment="1">
      <alignment horizontal="center" vertical="center"/>
    </xf>
    <xf numFmtId="0" fontId="57" fillId="2" borderId="13" xfId="6" applyFont="1" applyFill="1" applyBorder="1" applyAlignment="1">
      <alignment horizontal="left" vertical="center"/>
    </xf>
    <xf numFmtId="0" fontId="53" fillId="7" borderId="57" xfId="3" applyFont="1" applyFill="1" applyBorder="1" applyAlignment="1">
      <alignment horizontal="center" vertical="center"/>
    </xf>
    <xf numFmtId="166" fontId="53" fillId="7" borderId="57" xfId="3" applyNumberFormat="1" applyFont="1" applyFill="1" applyBorder="1" applyAlignment="1">
      <alignment horizontal="center" vertical="center"/>
    </xf>
    <xf numFmtId="0" fontId="53" fillId="2" borderId="10" xfId="3" applyFont="1" applyFill="1" applyBorder="1" applyAlignment="1">
      <alignment horizontal="center" vertical="center"/>
    </xf>
    <xf numFmtId="0" fontId="57" fillId="2" borderId="18" xfId="3" applyFont="1" applyFill="1" applyBorder="1" applyAlignment="1">
      <alignment horizontal="center" vertical="center"/>
    </xf>
    <xf numFmtId="0" fontId="57" fillId="2" borderId="18" xfId="3" applyFont="1" applyFill="1" applyBorder="1" applyAlignment="1">
      <alignment horizontal="left" vertical="center"/>
    </xf>
    <xf numFmtId="164" fontId="57" fillId="2" borderId="18" xfId="3" applyNumberFormat="1" applyFont="1" applyFill="1" applyBorder="1" applyAlignment="1">
      <alignment horizontal="center" vertical="center"/>
    </xf>
    <xf numFmtId="166" fontId="59" fillId="15" borderId="45" xfId="6" applyNumberFormat="1" applyFont="1" applyFill="1" applyBorder="1" applyAlignment="1">
      <alignment horizontal="center" vertical="center"/>
    </xf>
    <xf numFmtId="0" fontId="61" fillId="2" borderId="62" xfId="6" applyFont="1" applyFill="1" applyBorder="1" applyAlignment="1">
      <alignment horizontal="center" vertical="center"/>
    </xf>
    <xf numFmtId="0" fontId="61" fillId="8" borderId="62" xfId="6" applyFont="1" applyFill="1" applyBorder="1" applyAlignment="1">
      <alignment horizontal="left" vertical="center"/>
    </xf>
    <xf numFmtId="166" fontId="59" fillId="15" borderId="60" xfId="6" applyNumberFormat="1" applyFont="1" applyFill="1" applyBorder="1" applyAlignment="1">
      <alignment horizontal="center" vertical="center"/>
    </xf>
    <xf numFmtId="0" fontId="61" fillId="2" borderId="23" xfId="6" applyFont="1" applyFill="1" applyBorder="1" applyAlignment="1">
      <alignment horizontal="center" vertical="center"/>
    </xf>
    <xf numFmtId="0" fontId="61" fillId="2" borderId="61" xfId="6" applyFont="1" applyFill="1" applyBorder="1" applyAlignment="1">
      <alignment horizontal="center" vertical="center"/>
    </xf>
    <xf numFmtId="0" fontId="61" fillId="8" borderId="61" xfId="6" applyFont="1" applyFill="1" applyBorder="1" applyAlignment="1">
      <alignment horizontal="left" vertical="center"/>
    </xf>
    <xf numFmtId="0" fontId="61" fillId="8" borderId="61" xfId="6" applyFont="1" applyFill="1" applyBorder="1" applyAlignment="1">
      <alignment horizontal="center" vertical="center"/>
    </xf>
    <xf numFmtId="166" fontId="58" fillId="7" borderId="54" xfId="2" applyNumberFormat="1" applyFont="1" applyFill="1" applyBorder="1" applyAlignment="1">
      <alignment horizontal="center" vertical="center" wrapText="1"/>
    </xf>
    <xf numFmtId="0" fontId="53" fillId="7" borderId="45" xfId="6" applyFont="1" applyFill="1" applyBorder="1" applyAlignment="1">
      <alignment horizontal="center" vertical="center"/>
    </xf>
    <xf numFmtId="0" fontId="53" fillId="2" borderId="44" xfId="6" applyFont="1" applyFill="1" applyBorder="1" applyAlignment="1">
      <alignment horizontal="center" vertical="center"/>
    </xf>
    <xf numFmtId="166" fontId="65" fillId="7" borderId="19" xfId="2" applyNumberFormat="1" applyFont="1" applyFill="1" applyBorder="1" applyAlignment="1">
      <alignment horizontal="center" vertical="center" wrapText="1"/>
    </xf>
    <xf numFmtId="0" fontId="59" fillId="15" borderId="64" xfId="6" applyFont="1" applyFill="1" applyBorder="1" applyAlignment="1">
      <alignment horizontal="center" vertical="center"/>
    </xf>
    <xf numFmtId="166" fontId="59" fillId="15" borderId="64" xfId="6" applyNumberFormat="1" applyFont="1" applyFill="1" applyBorder="1" applyAlignment="1">
      <alignment horizontal="center" vertical="center"/>
    </xf>
    <xf numFmtId="164" fontId="61" fillId="8" borderId="13" xfId="6" applyNumberFormat="1" applyFont="1" applyFill="1" applyBorder="1" applyAlignment="1">
      <alignment horizontal="center" vertical="center"/>
    </xf>
    <xf numFmtId="166" fontId="61" fillId="15" borderId="57" xfId="6" applyNumberFormat="1" applyFont="1" applyFill="1" applyBorder="1" applyAlignment="1">
      <alignment horizontal="center" vertical="center"/>
    </xf>
    <xf numFmtId="0" fontId="57" fillId="2" borderId="62" xfId="6" applyFont="1" applyFill="1" applyBorder="1" applyAlignment="1">
      <alignment horizontal="left" vertical="center"/>
    </xf>
    <xf numFmtId="164" fontId="61" fillId="8" borderId="62" xfId="6" applyNumberFormat="1" applyFont="1" applyFill="1" applyBorder="1" applyAlignment="1">
      <alignment horizontal="center" vertical="center"/>
    </xf>
    <xf numFmtId="0" fontId="61" fillId="8" borderId="20" xfId="6" applyFont="1" applyFill="1" applyBorder="1" applyAlignment="1">
      <alignment horizontal="center" vertical="center"/>
    </xf>
    <xf numFmtId="166" fontId="58" fillId="7" borderId="19" xfId="2" applyNumberFormat="1" applyFont="1" applyFill="1" applyBorder="1" applyAlignment="1">
      <alignment horizontal="center" vertical="center" wrapText="1"/>
    </xf>
    <xf numFmtId="166" fontId="64" fillId="7" borderId="38" xfId="2" applyNumberFormat="1" applyFont="1" applyFill="1" applyBorder="1" applyAlignment="1">
      <alignment horizontal="center" vertical="center" wrapText="1"/>
    </xf>
    <xf numFmtId="0" fontId="57" fillId="2" borderId="55" xfId="5" applyFont="1" applyFill="1" applyBorder="1" applyAlignment="1">
      <alignment horizontal="left" vertical="center"/>
    </xf>
    <xf numFmtId="166" fontId="53" fillId="7" borderId="45" xfId="5" applyNumberFormat="1" applyFont="1" applyFill="1" applyBorder="1" applyAlignment="1">
      <alignment horizontal="center" vertical="center"/>
    </xf>
    <xf numFmtId="0" fontId="57" fillId="2" borderId="67" xfId="5" applyFont="1" applyFill="1" applyBorder="1" applyAlignment="1">
      <alignment horizontal="center" vertical="center"/>
    </xf>
    <xf numFmtId="0" fontId="57" fillId="2" borderId="62" xfId="5" applyFont="1" applyFill="1" applyBorder="1" applyAlignment="1">
      <alignment horizontal="left" vertical="center"/>
    </xf>
    <xf numFmtId="0" fontId="53" fillId="7" borderId="45" xfId="2" applyFont="1" applyFill="1" applyBorder="1" applyAlignment="1">
      <alignment horizontal="center" vertical="center"/>
    </xf>
    <xf numFmtId="166" fontId="53" fillId="7" borderId="45" xfId="2" applyNumberFormat="1" applyFont="1" applyFill="1" applyBorder="1" applyAlignment="1">
      <alignment horizontal="center" vertical="center"/>
    </xf>
    <xf numFmtId="0" fontId="57" fillId="2" borderId="62" xfId="2" applyFont="1" applyFill="1" applyBorder="1" applyAlignment="1">
      <alignment horizontal="left" vertical="center"/>
    </xf>
    <xf numFmtId="166" fontId="65" fillId="7" borderId="54" xfId="2" applyNumberFormat="1" applyFont="1" applyFill="1" applyBorder="1" applyAlignment="1">
      <alignment horizontal="center" vertical="center" wrapText="1"/>
    </xf>
    <xf numFmtId="0" fontId="53" fillId="2" borderId="55" xfId="3" applyFont="1" applyFill="1" applyBorder="1" applyAlignment="1">
      <alignment horizontal="center" vertical="center"/>
    </xf>
    <xf numFmtId="166" fontId="65" fillId="7" borderId="19" xfId="2" applyNumberFormat="1" applyFont="1" applyFill="1" applyBorder="1" applyAlignment="1">
      <alignment horizontal="center" vertical="center"/>
    </xf>
    <xf numFmtId="0" fontId="53" fillId="2" borderId="62" xfId="3" applyFont="1" applyFill="1" applyBorder="1" applyAlignment="1">
      <alignment horizontal="center" vertical="center"/>
    </xf>
    <xf numFmtId="0" fontId="57" fillId="2" borderId="62" xfId="3" applyFont="1" applyFill="1" applyBorder="1" applyAlignment="1">
      <alignment horizontal="left" vertical="center"/>
    </xf>
    <xf numFmtId="166" fontId="65" fillId="7" borderId="60" xfId="2" applyNumberFormat="1" applyFont="1" applyFill="1" applyBorder="1" applyAlignment="1">
      <alignment horizontal="center" vertical="center" wrapText="1"/>
    </xf>
    <xf numFmtId="0" fontId="61" fillId="8" borderId="55" xfId="6" applyFont="1" applyFill="1" applyBorder="1" applyAlignment="1">
      <alignment horizontal="left" vertical="center"/>
    </xf>
    <xf numFmtId="0" fontId="57" fillId="2" borderId="62" xfId="6" applyFont="1" applyFill="1" applyBorder="1" applyAlignment="1">
      <alignment horizontal="center" vertical="center"/>
    </xf>
    <xf numFmtId="0" fontId="52" fillId="2" borderId="39" xfId="2" applyFont="1" applyFill="1" applyBorder="1" applyAlignment="1">
      <alignment horizontal="center" vertical="center"/>
    </xf>
    <xf numFmtId="0" fontId="52" fillId="2" borderId="51" xfId="2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67" fontId="48" fillId="0" borderId="39" xfId="2" applyNumberFormat="1" applyFont="1" applyBorder="1" applyAlignment="1">
      <alignment horizontal="center" vertical="center"/>
    </xf>
    <xf numFmtId="167" fontId="55" fillId="0" borderId="40" xfId="2" applyNumberFormat="1" applyFont="1" applyBorder="1" applyAlignment="1">
      <alignment horizontal="center" vertical="center"/>
    </xf>
    <xf numFmtId="1" fontId="55" fillId="10" borderId="4" xfId="2" applyNumberFormat="1" applyFont="1" applyFill="1" applyBorder="1" applyAlignment="1">
      <alignment horizontal="center" vertical="center"/>
    </xf>
    <xf numFmtId="166" fontId="95" fillId="7" borderId="57" xfId="2" applyNumberFormat="1" applyFont="1" applyFill="1" applyBorder="1" applyAlignment="1">
      <alignment horizontal="center" vertical="center" wrapText="1"/>
    </xf>
    <xf numFmtId="0" fontId="55" fillId="2" borderId="44" xfId="2" applyFont="1" applyFill="1" applyBorder="1" applyAlignment="1">
      <alignment horizontal="center" vertical="center"/>
    </xf>
    <xf numFmtId="166" fontId="97" fillId="7" borderId="45" xfId="3" applyNumberFormat="1" applyFont="1" applyFill="1" applyBorder="1" applyAlignment="1">
      <alignment horizontal="center" vertical="center"/>
    </xf>
    <xf numFmtId="0" fontId="61" fillId="15" borderId="57" xfId="5" applyFont="1" applyFill="1" applyBorder="1" applyAlignment="1">
      <alignment horizontal="center" vertical="center"/>
    </xf>
    <xf numFmtId="166" fontId="61" fillId="15" borderId="57" xfId="5" applyNumberFormat="1" applyFont="1" applyFill="1" applyBorder="1" applyAlignment="1">
      <alignment horizontal="center" vertical="center"/>
    </xf>
    <xf numFmtId="0" fontId="61" fillId="8" borderId="18" xfId="5" applyFont="1" applyFill="1" applyBorder="1" applyAlignment="1">
      <alignment horizontal="left" vertical="center"/>
    </xf>
    <xf numFmtId="0" fontId="53" fillId="7" borderId="60" xfId="4" applyFont="1" applyFill="1" applyBorder="1" applyAlignment="1">
      <alignment horizontal="center" vertical="center"/>
    </xf>
    <xf numFmtId="166" fontId="53" fillId="7" borderId="60" xfId="4" applyNumberFormat="1" applyFont="1" applyFill="1" applyBorder="1" applyAlignment="1">
      <alignment horizontal="center" vertical="center"/>
    </xf>
    <xf numFmtId="0" fontId="57" fillId="2" borderId="23" xfId="4" applyFont="1" applyFill="1" applyBorder="1" applyAlignment="1">
      <alignment horizontal="center" vertical="center"/>
    </xf>
    <xf numFmtId="0" fontId="57" fillId="2" borderId="61" xfId="4" applyFont="1" applyFill="1" applyBorder="1" applyAlignment="1">
      <alignment horizontal="center" vertical="center"/>
    </xf>
    <xf numFmtId="0" fontId="57" fillId="2" borderId="61" xfId="4" applyFont="1" applyFill="1" applyBorder="1" applyAlignment="1">
      <alignment horizontal="left" vertical="center"/>
    </xf>
    <xf numFmtId="0" fontId="53" fillId="0" borderId="2" xfId="2" applyFont="1" applyBorder="1" applyAlignment="1">
      <alignment horizontal="center" vertical="center"/>
    </xf>
    <xf numFmtId="1" fontId="53" fillId="0" borderId="41" xfId="2" applyNumberFormat="1" applyFont="1" applyBorder="1" applyAlignment="1">
      <alignment horizontal="center" vertical="center"/>
    </xf>
    <xf numFmtId="0" fontId="57" fillId="2" borderId="20" xfId="6" applyFont="1" applyFill="1" applyBorder="1" applyAlignment="1">
      <alignment horizontal="center" vertical="center"/>
    </xf>
    <xf numFmtId="171" fontId="58" fillId="2" borderId="1" xfId="1" applyNumberFormat="1" applyFont="1" applyFill="1" applyBorder="1" applyAlignment="1">
      <alignment horizontal="center" vertical="center" wrapText="1"/>
    </xf>
    <xf numFmtId="171" fontId="58" fillId="2" borderId="12" xfId="1" applyNumberFormat="1" applyFont="1" applyFill="1" applyBorder="1" applyAlignment="1">
      <alignment horizontal="center" vertical="center" wrapText="1"/>
    </xf>
    <xf numFmtId="0" fontId="53" fillId="0" borderId="59" xfId="2" applyFont="1" applyBorder="1" applyAlignment="1">
      <alignment horizontal="center" vertical="center"/>
    </xf>
    <xf numFmtId="0" fontId="53" fillId="0" borderId="51" xfId="2" applyFont="1" applyBorder="1" applyAlignment="1">
      <alignment horizontal="center" vertical="center"/>
    </xf>
    <xf numFmtId="166" fontId="62" fillId="7" borderId="0" xfId="2" applyNumberFormat="1" applyFont="1" applyFill="1" applyAlignment="1">
      <alignment horizontal="center" vertical="center" wrapText="1"/>
    </xf>
    <xf numFmtId="170" fontId="53" fillId="2" borderId="45" xfId="2" applyNumberFormat="1" applyFont="1" applyFill="1" applyBorder="1" applyAlignment="1">
      <alignment horizontal="center" vertical="center"/>
    </xf>
    <xf numFmtId="166" fontId="64" fillId="7" borderId="60" xfId="2" applyNumberFormat="1" applyFont="1" applyFill="1" applyBorder="1" applyAlignment="1">
      <alignment horizontal="center" vertical="center" wrapText="1"/>
    </xf>
    <xf numFmtId="166" fontId="53" fillId="7" borderId="6" xfId="5" applyNumberFormat="1" applyFont="1" applyFill="1" applyBorder="1" applyAlignment="1">
      <alignment horizontal="center" vertical="center"/>
    </xf>
    <xf numFmtId="166" fontId="53" fillId="7" borderId="10" xfId="5" applyNumberFormat="1" applyFont="1" applyFill="1" applyBorder="1" applyAlignment="1">
      <alignment horizontal="center" vertical="center"/>
    </xf>
    <xf numFmtId="166" fontId="59" fillId="15" borderId="10" xfId="5" applyNumberFormat="1" applyFont="1" applyFill="1" applyBorder="1" applyAlignment="1">
      <alignment horizontal="center" vertical="center"/>
    </xf>
    <xf numFmtId="0" fontId="61" fillId="8" borderId="10" xfId="5" applyFont="1" applyFill="1" applyBorder="1" applyAlignment="1">
      <alignment horizontal="left" vertical="center"/>
    </xf>
    <xf numFmtId="166" fontId="53" fillId="7" borderId="20" xfId="5" applyNumberFormat="1" applyFont="1" applyFill="1" applyBorder="1" applyAlignment="1">
      <alignment horizontal="center" vertical="center"/>
    </xf>
    <xf numFmtId="0" fontId="57" fillId="2" borderId="20" xfId="5" applyFont="1" applyFill="1" applyBorder="1" applyAlignment="1">
      <alignment horizontal="left" vertical="center"/>
    </xf>
    <xf numFmtId="166" fontId="59" fillId="15" borderId="20" xfId="5" applyNumberFormat="1" applyFont="1" applyFill="1" applyBorder="1" applyAlignment="1">
      <alignment horizontal="center" vertical="center"/>
    </xf>
    <xf numFmtId="0" fontId="61" fillId="8" borderId="20" xfId="5" applyFont="1" applyFill="1" applyBorder="1" applyAlignment="1">
      <alignment horizontal="left" vertical="center"/>
    </xf>
    <xf numFmtId="0" fontId="53" fillId="2" borderId="0" xfId="2" applyFont="1" applyFill="1" applyAlignment="1">
      <alignment horizontal="left" vertical="center"/>
    </xf>
    <xf numFmtId="0" fontId="57" fillId="2" borderId="0" xfId="2" applyFont="1" applyFill="1" applyAlignment="1">
      <alignment horizontal="left" vertical="center"/>
    </xf>
    <xf numFmtId="0" fontId="58" fillId="2" borderId="0" xfId="2" applyFont="1" applyFill="1" applyAlignment="1">
      <alignment horizontal="center" vertical="center"/>
    </xf>
    <xf numFmtId="0" fontId="58" fillId="2" borderId="0" xfId="2" applyFont="1" applyFill="1" applyAlignment="1">
      <alignment horizontal="center" vertical="center" wrapText="1"/>
    </xf>
    <xf numFmtId="0" fontId="53" fillId="28" borderId="59" xfId="1" applyFont="1" applyFill="1" applyBorder="1" applyAlignment="1">
      <alignment horizontal="center" vertical="center"/>
    </xf>
    <xf numFmtId="0" fontId="53" fillId="28" borderId="57" xfId="1" applyFont="1" applyFill="1" applyBorder="1" applyAlignment="1">
      <alignment horizontal="center" vertical="center"/>
    </xf>
    <xf numFmtId="0" fontId="53" fillId="28" borderId="60" xfId="1" applyFont="1" applyFill="1" applyBorder="1" applyAlignment="1">
      <alignment horizontal="center" vertical="center"/>
    </xf>
    <xf numFmtId="0" fontId="98" fillId="2" borderId="0" xfId="2" applyFont="1" applyFill="1" applyAlignment="1">
      <alignment horizontal="center" vertical="center"/>
    </xf>
    <xf numFmtId="0" fontId="53" fillId="0" borderId="0" xfId="2" applyFont="1"/>
    <xf numFmtId="0" fontId="53" fillId="28" borderId="5" xfId="2" applyFont="1" applyFill="1" applyBorder="1" applyAlignment="1">
      <alignment horizontal="center" vertical="center"/>
    </xf>
    <xf numFmtId="0" fontId="57" fillId="32" borderId="18" xfId="6" applyFont="1" applyFill="1" applyBorder="1" applyAlignment="1">
      <alignment horizontal="left" vertical="center"/>
    </xf>
    <xf numFmtId="0" fontId="57" fillId="32" borderId="18" xfId="6" applyFont="1" applyFill="1" applyBorder="1" applyAlignment="1">
      <alignment horizontal="center" vertical="center"/>
    </xf>
    <xf numFmtId="166" fontId="63" fillId="7" borderId="23" xfId="2" applyNumberFormat="1" applyFont="1" applyFill="1" applyBorder="1" applyAlignment="1">
      <alignment horizontal="center" vertical="center"/>
    </xf>
    <xf numFmtId="0" fontId="53" fillId="22" borderId="60" xfId="6" applyFont="1" applyFill="1" applyBorder="1" applyAlignment="1">
      <alignment horizontal="center" vertical="center"/>
    </xf>
    <xf numFmtId="166" fontId="53" fillId="22" borderId="60" xfId="6" applyNumberFormat="1" applyFont="1" applyFill="1" applyBorder="1" applyAlignment="1">
      <alignment horizontal="center" vertical="center"/>
    </xf>
    <xf numFmtId="0" fontId="57" fillId="22" borderId="61" xfId="6" applyFont="1" applyFill="1" applyBorder="1" applyAlignment="1">
      <alignment horizontal="center" vertical="center"/>
    </xf>
    <xf numFmtId="0" fontId="57" fillId="32" borderId="61" xfId="6" applyFont="1" applyFill="1" applyBorder="1" applyAlignment="1">
      <alignment horizontal="left" vertical="center"/>
    </xf>
    <xf numFmtId="166" fontId="75" fillId="2" borderId="0" xfId="2" applyNumberFormat="1" applyFont="1" applyFill="1" applyAlignment="1">
      <alignment horizontal="center" vertical="center"/>
    </xf>
    <xf numFmtId="0" fontId="59" fillId="31" borderId="0" xfId="7" applyFont="1" applyFill="1" applyAlignment="1">
      <alignment horizontal="center" vertical="center"/>
    </xf>
    <xf numFmtId="166" fontId="59" fillId="31" borderId="0" xfId="7" applyNumberFormat="1" applyFont="1" applyFill="1" applyAlignment="1">
      <alignment horizontal="center" vertical="center"/>
    </xf>
    <xf numFmtId="0" fontId="61" fillId="8" borderId="0" xfId="7" applyFont="1" applyFill="1" applyAlignment="1">
      <alignment horizontal="center" vertical="center"/>
    </xf>
    <xf numFmtId="0" fontId="61" fillId="2" borderId="0" xfId="7" applyFont="1" applyFill="1" applyAlignment="1">
      <alignment horizontal="center" vertical="center"/>
    </xf>
    <xf numFmtId="0" fontId="61" fillId="8" borderId="0" xfId="7" applyFont="1" applyFill="1" applyAlignment="1">
      <alignment horizontal="left" vertical="center"/>
    </xf>
    <xf numFmtId="0" fontId="57" fillId="2" borderId="0" xfId="7" applyFont="1" applyFill="1" applyAlignment="1">
      <alignment horizontal="center" vertical="center"/>
    </xf>
    <xf numFmtId="166" fontId="62" fillId="7" borderId="54" xfId="2" applyNumberFormat="1" applyFont="1" applyFill="1" applyBorder="1" applyAlignment="1">
      <alignment horizontal="center" vertical="center"/>
    </xf>
    <xf numFmtId="166" fontId="56" fillId="7" borderId="51" xfId="2" applyNumberFormat="1" applyFont="1" applyFill="1" applyBorder="1" applyAlignment="1">
      <alignment horizontal="center" vertical="center"/>
    </xf>
    <xf numFmtId="166" fontId="56" fillId="7" borderId="0" xfId="2" applyNumberFormat="1" applyFont="1" applyFill="1" applyAlignment="1">
      <alignment horizontal="center" vertical="center"/>
    </xf>
    <xf numFmtId="0" fontId="53" fillId="2" borderId="14" xfId="2" applyFont="1" applyFill="1" applyBorder="1" applyAlignment="1">
      <alignment horizontal="center" vertical="center"/>
    </xf>
    <xf numFmtId="166" fontId="62" fillId="7" borderId="19" xfId="2" applyNumberFormat="1" applyFont="1" applyFill="1" applyBorder="1" applyAlignment="1">
      <alignment horizontal="center" vertical="center"/>
    </xf>
    <xf numFmtId="0" fontId="60" fillId="2" borderId="10" xfId="6" applyFont="1" applyFill="1" applyBorder="1" applyAlignment="1">
      <alignment horizontal="center" vertical="center"/>
    </xf>
    <xf numFmtId="166" fontId="62" fillId="7" borderId="60" xfId="2" applyNumberFormat="1" applyFont="1" applyFill="1" applyBorder="1" applyAlignment="1">
      <alignment horizontal="center" vertical="center"/>
    </xf>
    <xf numFmtId="166" fontId="64" fillId="7" borderId="35" xfId="2" applyNumberFormat="1" applyFont="1" applyFill="1" applyBorder="1" applyAlignment="1">
      <alignment horizontal="center" vertical="center"/>
    </xf>
    <xf numFmtId="166" fontId="64" fillId="7" borderId="59" xfId="2" applyNumberFormat="1" applyFont="1" applyFill="1" applyBorder="1" applyAlignment="1">
      <alignment horizontal="center" vertical="center" wrapText="1"/>
    </xf>
    <xf numFmtId="0" fontId="53" fillId="33" borderId="59" xfId="6" applyFont="1" applyFill="1" applyBorder="1" applyAlignment="1">
      <alignment horizontal="center" vertical="center"/>
    </xf>
    <xf numFmtId="166" fontId="53" fillId="33" borderId="59" xfId="6" applyNumberFormat="1" applyFont="1" applyFill="1" applyBorder="1" applyAlignment="1">
      <alignment horizontal="center" vertical="center"/>
    </xf>
    <xf numFmtId="0" fontId="57" fillId="22" borderId="6" xfId="6" applyFont="1" applyFill="1" applyBorder="1" applyAlignment="1">
      <alignment horizontal="center" vertical="center"/>
    </xf>
    <xf numFmtId="0" fontId="57" fillId="22" borderId="55" xfId="6" applyFont="1" applyFill="1" applyBorder="1" applyAlignment="1">
      <alignment horizontal="left" vertical="center"/>
    </xf>
    <xf numFmtId="0" fontId="57" fillId="22" borderId="55" xfId="6" applyFont="1" applyFill="1" applyBorder="1" applyAlignment="1">
      <alignment horizontal="center" vertical="center"/>
    </xf>
    <xf numFmtId="166" fontId="53" fillId="7" borderId="38" xfId="6" applyNumberFormat="1" applyFont="1" applyFill="1" applyBorder="1" applyAlignment="1">
      <alignment horizontal="center" vertical="center"/>
    </xf>
    <xf numFmtId="0" fontId="57" fillId="2" borderId="50" xfId="6" applyFont="1" applyFill="1" applyBorder="1" applyAlignment="1">
      <alignment horizontal="center" vertical="center"/>
    </xf>
    <xf numFmtId="0" fontId="57" fillId="8" borderId="40" xfId="6" applyFont="1" applyFill="1" applyBorder="1" applyAlignment="1">
      <alignment horizontal="left" vertical="center"/>
    </xf>
    <xf numFmtId="0" fontId="57" fillId="8" borderId="40" xfId="6" applyFont="1" applyFill="1" applyBorder="1" applyAlignment="1">
      <alignment horizontal="center" vertical="center"/>
    </xf>
    <xf numFmtId="0" fontId="53" fillId="7" borderId="1" xfId="5" applyFont="1" applyFill="1" applyBorder="1" applyAlignment="1">
      <alignment horizontal="center" vertical="center"/>
    </xf>
    <xf numFmtId="166" fontId="53" fillId="7" borderId="1" xfId="5" applyNumberFormat="1" applyFont="1" applyFill="1" applyBorder="1" applyAlignment="1">
      <alignment horizontal="center" vertical="center"/>
    </xf>
    <xf numFmtId="0" fontId="57" fillId="2" borderId="12" xfId="5" applyFont="1" applyFill="1" applyBorder="1" applyAlignment="1">
      <alignment horizontal="center" vertical="center"/>
    </xf>
    <xf numFmtId="0" fontId="57" fillId="2" borderId="12" xfId="5" applyFont="1" applyFill="1" applyBorder="1" applyAlignment="1">
      <alignment horizontal="left" vertical="center"/>
    </xf>
    <xf numFmtId="0" fontId="53" fillId="7" borderId="51" xfId="6" applyFont="1" applyFill="1" applyBorder="1" applyAlignment="1">
      <alignment horizontal="center" vertical="center"/>
    </xf>
    <xf numFmtId="166" fontId="53" fillId="7" borderId="51" xfId="6" applyNumberFormat="1" applyFont="1" applyFill="1" applyBorder="1" applyAlignment="1">
      <alignment horizontal="center" vertical="center"/>
    </xf>
    <xf numFmtId="0" fontId="57" fillId="2" borderId="52" xfId="6" applyFont="1" applyFill="1" applyBorder="1" applyAlignment="1">
      <alignment horizontal="center" vertical="center"/>
    </xf>
    <xf numFmtId="0" fontId="61" fillId="2" borderId="52" xfId="6" applyFont="1" applyFill="1" applyBorder="1" applyAlignment="1">
      <alignment horizontal="center" vertical="center"/>
    </xf>
    <xf numFmtId="0" fontId="57" fillId="2" borderId="52" xfId="6" applyFont="1" applyFill="1" applyBorder="1" applyAlignment="1">
      <alignment horizontal="left" vertical="center"/>
    </xf>
    <xf numFmtId="0" fontId="59" fillId="15" borderId="37" xfId="6" applyFont="1" applyFill="1" applyBorder="1" applyAlignment="1">
      <alignment horizontal="center" vertical="center"/>
    </xf>
    <xf numFmtId="166" fontId="59" fillId="15" borderId="37" xfId="6" applyNumberFormat="1" applyFont="1" applyFill="1" applyBorder="1" applyAlignment="1">
      <alignment horizontal="center" vertical="center"/>
    </xf>
    <xf numFmtId="0" fontId="61" fillId="2" borderId="5" xfId="6" applyFont="1" applyFill="1" applyBorder="1" applyAlignment="1">
      <alignment horizontal="center" vertical="center"/>
    </xf>
    <xf numFmtId="0" fontId="61" fillId="2" borderId="4" xfId="6" applyFont="1" applyFill="1" applyBorder="1" applyAlignment="1">
      <alignment horizontal="center" vertical="center"/>
    </xf>
    <xf numFmtId="0" fontId="61" fillId="8" borderId="4" xfId="6" applyFont="1" applyFill="1" applyBorder="1" applyAlignment="1">
      <alignment horizontal="left" vertical="center"/>
    </xf>
    <xf numFmtId="0" fontId="61" fillId="8" borderId="4" xfId="6" applyFont="1" applyFill="1" applyBorder="1" applyAlignment="1">
      <alignment horizontal="center" vertical="center"/>
    </xf>
    <xf numFmtId="0" fontId="85" fillId="7" borderId="59" xfId="6" applyFont="1" applyFill="1" applyBorder="1" applyAlignment="1">
      <alignment horizontal="center" vertical="center"/>
    </xf>
    <xf numFmtId="166" fontId="85" fillId="7" borderId="59" xfId="6" applyNumberFormat="1" applyFont="1" applyFill="1" applyBorder="1" applyAlignment="1">
      <alignment horizontal="center" vertical="center"/>
    </xf>
    <xf numFmtId="0" fontId="89" fillId="8" borderId="55" xfId="6" applyFont="1" applyFill="1" applyBorder="1" applyAlignment="1">
      <alignment horizontal="center" vertical="center"/>
    </xf>
    <xf numFmtId="0" fontId="89" fillId="2" borderId="6" xfId="6" applyFont="1" applyFill="1" applyBorder="1" applyAlignment="1">
      <alignment horizontal="center" vertical="center"/>
    </xf>
    <xf numFmtId="0" fontId="85" fillId="2" borderId="55" xfId="6" applyFont="1" applyFill="1" applyBorder="1" applyAlignment="1">
      <alignment horizontal="center" vertical="center"/>
    </xf>
    <xf numFmtId="0" fontId="85" fillId="2" borderId="55" xfId="6" applyFont="1" applyFill="1" applyBorder="1" applyAlignment="1">
      <alignment horizontal="left" vertical="center"/>
    </xf>
    <xf numFmtId="166" fontId="87" fillId="30" borderId="45" xfId="0" applyNumberFormat="1" applyFont="1" applyFill="1" applyBorder="1" applyAlignment="1">
      <alignment horizontal="center" vertical="center"/>
    </xf>
    <xf numFmtId="0" fontId="89" fillId="2" borderId="45" xfId="0" applyFont="1" applyFill="1" applyBorder="1" applyAlignment="1">
      <alignment horizontal="center" vertical="center"/>
    </xf>
    <xf numFmtId="0" fontId="89" fillId="2" borderId="62" xfId="0" applyFont="1" applyFill="1" applyBorder="1" applyAlignment="1">
      <alignment horizontal="center" vertical="center"/>
    </xf>
    <xf numFmtId="0" fontId="89" fillId="2" borderId="62" xfId="0" applyFont="1" applyFill="1" applyBorder="1" applyAlignment="1">
      <alignment horizontal="left" vertical="center"/>
    </xf>
    <xf numFmtId="166" fontId="87" fillId="30" borderId="57" xfId="0" applyNumberFormat="1" applyFont="1" applyFill="1" applyBorder="1" applyAlignment="1">
      <alignment horizontal="center" vertical="center"/>
    </xf>
    <xf numFmtId="0" fontId="89" fillId="2" borderId="57" xfId="0" applyFont="1" applyFill="1" applyBorder="1" applyAlignment="1">
      <alignment horizontal="center" vertical="center"/>
    </xf>
    <xf numFmtId="0" fontId="89" fillId="2" borderId="18" xfId="0" applyFont="1" applyFill="1" applyBorder="1" applyAlignment="1">
      <alignment horizontal="left" vertical="center"/>
    </xf>
    <xf numFmtId="164" fontId="89" fillId="2" borderId="62" xfId="0" applyNumberFormat="1" applyFont="1" applyFill="1" applyBorder="1" applyAlignment="1">
      <alignment horizontal="center" vertical="center"/>
    </xf>
    <xf numFmtId="0" fontId="99" fillId="7" borderId="45" xfId="3" applyFont="1" applyFill="1" applyBorder="1" applyAlignment="1">
      <alignment horizontal="center" vertical="center"/>
    </xf>
    <xf numFmtId="166" fontId="99" fillId="7" borderId="45" xfId="3" applyNumberFormat="1" applyFont="1" applyFill="1" applyBorder="1" applyAlignment="1">
      <alignment horizontal="center" vertical="center"/>
    </xf>
    <xf numFmtId="0" fontId="99" fillId="2" borderId="62" xfId="3" applyFont="1" applyFill="1" applyBorder="1" applyAlignment="1">
      <alignment horizontal="center" vertical="center"/>
    </xf>
    <xf numFmtId="0" fontId="85" fillId="2" borderId="62" xfId="3" applyFont="1" applyFill="1" applyBorder="1" applyAlignment="1">
      <alignment horizontal="center" vertical="center"/>
    </xf>
    <xf numFmtId="0" fontId="85" fillId="2" borderId="62" xfId="3" applyFont="1" applyFill="1" applyBorder="1" applyAlignment="1">
      <alignment horizontal="left" vertical="center"/>
    </xf>
    <xf numFmtId="164" fontId="85" fillId="2" borderId="62" xfId="3" applyNumberFormat="1" applyFont="1" applyFill="1" applyBorder="1" applyAlignment="1">
      <alignment horizontal="center" vertical="center"/>
    </xf>
    <xf numFmtId="0" fontId="87" fillId="29" borderId="35" xfId="0" applyFont="1" applyFill="1" applyBorder="1" applyAlignment="1">
      <alignment horizontal="center" vertical="center"/>
    </xf>
    <xf numFmtId="0" fontId="93" fillId="0" borderId="61" xfId="0" applyFont="1" applyBorder="1" applyAlignment="1">
      <alignment horizontal="center" vertical="center"/>
    </xf>
    <xf numFmtId="0" fontId="87" fillId="30" borderId="60" xfId="0" applyFont="1" applyFill="1" applyBorder="1" applyAlignment="1">
      <alignment horizontal="center" vertical="center"/>
    </xf>
    <xf numFmtId="166" fontId="87" fillId="30" borderId="60" xfId="0" applyNumberFormat="1" applyFont="1" applyFill="1" applyBorder="1" applyAlignment="1">
      <alignment horizontal="center" vertical="center"/>
    </xf>
    <xf numFmtId="0" fontId="89" fillId="2" borderId="61" xfId="0" applyFont="1" applyFill="1" applyBorder="1" applyAlignment="1">
      <alignment horizontal="center" vertical="center"/>
    </xf>
    <xf numFmtId="0" fontId="89" fillId="2" borderId="23" xfId="0" applyFont="1" applyFill="1" applyBorder="1" applyAlignment="1">
      <alignment horizontal="center" vertical="center"/>
    </xf>
    <xf numFmtId="0" fontId="89" fillId="2" borderId="61" xfId="0" applyFont="1" applyFill="1" applyBorder="1" applyAlignment="1">
      <alignment horizontal="left" vertical="center"/>
    </xf>
    <xf numFmtId="0" fontId="59" fillId="25" borderId="6" xfId="5" applyFont="1" applyFill="1" applyBorder="1" applyAlignment="1">
      <alignment horizontal="center" vertical="center"/>
    </xf>
    <xf numFmtId="166" fontId="59" fillId="25" borderId="54" xfId="5" applyNumberFormat="1" applyFont="1" applyFill="1" applyBorder="1" applyAlignment="1">
      <alignment horizontal="center" vertical="center"/>
    </xf>
    <xf numFmtId="0" fontId="61" fillId="23" borderId="6" xfId="5" applyFont="1" applyFill="1" applyBorder="1" applyAlignment="1">
      <alignment horizontal="center" vertical="center"/>
    </xf>
    <xf numFmtId="0" fontId="61" fillId="23" borderId="55" xfId="5" applyFont="1" applyFill="1" applyBorder="1" applyAlignment="1">
      <alignment horizontal="center" vertical="center"/>
    </xf>
    <xf numFmtId="0" fontId="61" fillId="23" borderId="55" xfId="5" applyFont="1" applyFill="1" applyBorder="1" applyAlignment="1">
      <alignment horizontal="left" vertical="center" wrapText="1"/>
    </xf>
    <xf numFmtId="0" fontId="61" fillId="24" borderId="55" xfId="5" applyFont="1" applyFill="1" applyBorder="1" applyAlignment="1">
      <alignment horizontal="center" vertical="center"/>
    </xf>
    <xf numFmtId="0" fontId="58" fillId="0" borderId="44" xfId="2" applyFont="1" applyBorder="1" applyAlignment="1">
      <alignment horizontal="center" vertical="center"/>
    </xf>
    <xf numFmtId="0" fontId="61" fillId="15" borderId="20" xfId="5" applyFont="1" applyFill="1" applyBorder="1" applyAlignment="1">
      <alignment horizontal="center" vertical="center"/>
    </xf>
    <xf numFmtId="166" fontId="61" fillId="15" borderId="21" xfId="5" applyNumberFormat="1" applyFont="1" applyFill="1" applyBorder="1" applyAlignment="1">
      <alignment horizontal="center" vertical="center"/>
    </xf>
    <xf numFmtId="0" fontId="61" fillId="8" borderId="19" xfId="5" applyFont="1" applyFill="1" applyBorder="1" applyAlignment="1">
      <alignment horizontal="left" vertical="center"/>
    </xf>
    <xf numFmtId="0" fontId="61" fillId="25" borderId="23" xfId="5" applyFont="1" applyFill="1" applyBorder="1" applyAlignment="1">
      <alignment horizontal="center" vertical="center"/>
    </xf>
    <xf numFmtId="166" fontId="61" fillId="25" borderId="35" xfId="5" applyNumberFormat="1" applyFont="1" applyFill="1" applyBorder="1" applyAlignment="1">
      <alignment horizontal="center" vertical="center"/>
    </xf>
    <xf numFmtId="0" fontId="61" fillId="24" borderId="61" xfId="5" applyFont="1" applyFill="1" applyBorder="1" applyAlignment="1">
      <alignment horizontal="center" vertical="center"/>
    </xf>
    <xf numFmtId="0" fontId="61" fillId="23" borderId="23" xfId="5" applyFont="1" applyFill="1" applyBorder="1" applyAlignment="1">
      <alignment horizontal="center" vertical="center"/>
    </xf>
    <xf numFmtId="0" fontId="61" fillId="23" borderId="61" xfId="5" applyFont="1" applyFill="1" applyBorder="1" applyAlignment="1">
      <alignment horizontal="center" vertical="center"/>
    </xf>
    <xf numFmtId="0" fontId="61" fillId="24" borderId="61" xfId="5" applyFont="1" applyFill="1" applyBorder="1" applyAlignment="1">
      <alignment horizontal="left" vertical="center"/>
    </xf>
    <xf numFmtId="0" fontId="57" fillId="7" borderId="54" xfId="5" applyFont="1" applyFill="1" applyBorder="1" applyAlignment="1">
      <alignment horizontal="center" vertical="center"/>
    </xf>
    <xf numFmtId="166" fontId="57" fillId="7" borderId="6" xfId="5" applyNumberFormat="1" applyFont="1" applyFill="1" applyBorder="1" applyAlignment="1">
      <alignment horizontal="center" vertical="center"/>
    </xf>
    <xf numFmtId="0" fontId="57" fillId="7" borderId="19" xfId="5" applyFont="1" applyFill="1" applyBorder="1" applyAlignment="1">
      <alignment horizontal="center" vertical="center"/>
    </xf>
    <xf numFmtId="166" fontId="57" fillId="7" borderId="10" xfId="5" applyNumberFormat="1" applyFont="1" applyFill="1" applyBorder="1" applyAlignment="1">
      <alignment horizontal="center" vertical="center"/>
    </xf>
    <xf numFmtId="0" fontId="57" fillId="23" borderId="19" xfId="5" applyFont="1" applyFill="1" applyBorder="1" applyAlignment="1">
      <alignment horizontal="center" vertical="center"/>
    </xf>
    <xf numFmtId="166" fontId="57" fillId="23" borderId="10" xfId="5" applyNumberFormat="1" applyFont="1" applyFill="1" applyBorder="1" applyAlignment="1">
      <alignment horizontal="center" vertical="center"/>
    </xf>
    <xf numFmtId="0" fontId="57" fillId="23" borderId="18" xfId="5" applyFont="1" applyFill="1" applyBorder="1" applyAlignment="1">
      <alignment horizontal="left" vertical="center"/>
    </xf>
    <xf numFmtId="0" fontId="61" fillId="2" borderId="57" xfId="5" applyFont="1" applyFill="1" applyBorder="1" applyAlignment="1">
      <alignment horizontal="center" vertical="center"/>
    </xf>
    <xf numFmtId="0" fontId="61" fillId="25" borderId="20" xfId="5" applyFont="1" applyFill="1" applyBorder="1" applyAlignment="1">
      <alignment horizontal="center" vertical="center"/>
    </xf>
    <xf numFmtId="166" fontId="61" fillId="25" borderId="21" xfId="5" applyNumberFormat="1" applyFont="1" applyFill="1" applyBorder="1" applyAlignment="1">
      <alignment horizontal="center" vertical="center"/>
    </xf>
    <xf numFmtId="0" fontId="61" fillId="23" borderId="14" xfId="5" applyFont="1" applyFill="1" applyBorder="1" applyAlignment="1">
      <alignment horizontal="center" vertical="center"/>
    </xf>
    <xf numFmtId="0" fontId="61" fillId="23" borderId="52" xfId="5" applyFont="1" applyFill="1" applyBorder="1" applyAlignment="1">
      <alignment horizontal="center" vertical="center"/>
    </xf>
    <xf numFmtId="0" fontId="61" fillId="23" borderId="52" xfId="5" applyFont="1" applyFill="1" applyBorder="1" applyAlignment="1">
      <alignment horizontal="left" vertical="center" wrapText="1"/>
    </xf>
    <xf numFmtId="0" fontId="61" fillId="24" borderId="52" xfId="5" applyFont="1" applyFill="1" applyBorder="1" applyAlignment="1">
      <alignment horizontal="center" vertical="center"/>
    </xf>
    <xf numFmtId="0" fontId="59" fillId="15" borderId="19" xfId="5" applyFont="1" applyFill="1" applyBorder="1" applyAlignment="1">
      <alignment horizontal="center" vertical="center"/>
    </xf>
    <xf numFmtId="0" fontId="61" fillId="2" borderId="10" xfId="5" applyFont="1" applyFill="1" applyBorder="1" applyAlignment="1">
      <alignment horizontal="left" vertical="center"/>
    </xf>
    <xf numFmtId="166" fontId="63" fillId="7" borderId="51" xfId="2" applyNumberFormat="1" applyFont="1" applyFill="1" applyBorder="1" applyAlignment="1">
      <alignment horizontal="center" vertical="center" wrapText="1"/>
    </xf>
    <xf numFmtId="0" fontId="61" fillId="2" borderId="44" xfId="5" applyFont="1" applyFill="1" applyBorder="1" applyAlignment="1">
      <alignment horizontal="left" vertical="center"/>
    </xf>
    <xf numFmtId="0" fontId="61" fillId="8" borderId="62" xfId="5" applyFont="1" applyFill="1" applyBorder="1" applyAlignment="1">
      <alignment horizontal="center" vertical="center"/>
    </xf>
    <xf numFmtId="0" fontId="60" fillId="2" borderId="57" xfId="5" applyFont="1" applyFill="1" applyBorder="1" applyAlignment="1">
      <alignment horizontal="center" vertical="center"/>
    </xf>
    <xf numFmtId="0" fontId="61" fillId="2" borderId="18" xfId="5" applyFont="1" applyFill="1" applyBorder="1" applyAlignment="1">
      <alignment horizontal="left" vertical="center" wrapText="1"/>
    </xf>
    <xf numFmtId="166" fontId="63" fillId="7" borderId="60" xfId="2" applyNumberFormat="1" applyFont="1" applyFill="1" applyBorder="1" applyAlignment="1">
      <alignment horizontal="center" vertical="center"/>
    </xf>
    <xf numFmtId="0" fontId="57" fillId="7" borderId="35" xfId="5" applyFont="1" applyFill="1" applyBorder="1" applyAlignment="1">
      <alignment horizontal="center" vertical="center"/>
    </xf>
    <xf numFmtId="166" fontId="57" fillId="7" borderId="23" xfId="5" applyNumberFormat="1" applyFont="1" applyFill="1" applyBorder="1" applyAlignment="1">
      <alignment horizontal="center" vertical="center"/>
    </xf>
    <xf numFmtId="0" fontId="59" fillId="15" borderId="54" xfId="5" applyFont="1" applyFill="1" applyBorder="1" applyAlignment="1">
      <alignment horizontal="center" vertical="center"/>
    </xf>
    <xf numFmtId="166" fontId="59" fillId="15" borderId="6" xfId="5" applyNumberFormat="1" applyFont="1" applyFill="1" applyBorder="1" applyAlignment="1">
      <alignment horizontal="center" vertical="center"/>
    </xf>
    <xf numFmtId="0" fontId="61" fillId="8" borderId="55" xfId="5" applyFont="1" applyFill="1" applyBorder="1" applyAlignment="1">
      <alignment horizontal="center" vertical="center"/>
    </xf>
    <xf numFmtId="166" fontId="62" fillId="7" borderId="51" xfId="2" applyNumberFormat="1" applyFont="1" applyFill="1" applyBorder="1" applyAlignment="1">
      <alignment horizontal="center" vertical="center"/>
    </xf>
    <xf numFmtId="0" fontId="57" fillId="2" borderId="51" xfId="2" applyFont="1" applyFill="1" applyBorder="1" applyAlignment="1">
      <alignment horizontal="center" vertical="center"/>
    </xf>
    <xf numFmtId="0" fontId="59" fillId="15" borderId="21" xfId="5" applyFont="1" applyFill="1" applyBorder="1" applyAlignment="1">
      <alignment horizontal="center" vertical="center"/>
    </xf>
    <xf numFmtId="0" fontId="61" fillId="2" borderId="51" xfId="5" applyFont="1" applyFill="1" applyBorder="1" applyAlignment="1">
      <alignment horizontal="center" vertical="center"/>
    </xf>
    <xf numFmtId="0" fontId="61" fillId="2" borderId="52" xfId="5" applyFont="1" applyFill="1" applyBorder="1" applyAlignment="1">
      <alignment horizontal="left" vertical="center"/>
    </xf>
    <xf numFmtId="0" fontId="61" fillId="8" borderId="52" xfId="5" applyFont="1" applyFill="1" applyBorder="1" applyAlignment="1">
      <alignment horizontal="center" vertical="center"/>
    </xf>
    <xf numFmtId="166" fontId="62" fillId="7" borderId="64" xfId="2" applyNumberFormat="1" applyFont="1" applyFill="1" applyBorder="1" applyAlignment="1">
      <alignment horizontal="center" vertical="center"/>
    </xf>
    <xf numFmtId="0" fontId="61" fillId="0" borderId="64" xfId="5" applyFont="1" applyBorder="1" applyAlignment="1">
      <alignment horizontal="center" vertical="center"/>
    </xf>
    <xf numFmtId="0" fontId="61" fillId="0" borderId="20" xfId="5" applyFont="1" applyBorder="1" applyAlignment="1">
      <alignment horizontal="center" vertical="center"/>
    </xf>
    <xf numFmtId="0" fontId="61" fillId="2" borderId="13" xfId="5" applyFont="1" applyFill="1" applyBorder="1" applyAlignment="1">
      <alignment horizontal="left" vertical="center"/>
    </xf>
    <xf numFmtId="0" fontId="61" fillId="0" borderId="13" xfId="5" applyFont="1" applyBorder="1" applyAlignment="1">
      <alignment horizontal="center" vertical="center"/>
    </xf>
    <xf numFmtId="0" fontId="61" fillId="0" borderId="57" xfId="5" applyFont="1" applyBorder="1" applyAlignment="1">
      <alignment horizontal="center" vertical="center"/>
    </xf>
    <xf numFmtId="0" fontId="61" fillId="0" borderId="18" xfId="5" applyFont="1" applyBorder="1" applyAlignment="1">
      <alignment horizontal="center" vertical="center"/>
    </xf>
    <xf numFmtId="0" fontId="61" fillId="0" borderId="10" xfId="5" applyFont="1" applyBorder="1" applyAlignment="1">
      <alignment horizontal="center" vertical="center"/>
    </xf>
    <xf numFmtId="0" fontId="53" fillId="7" borderId="67" xfId="5" applyFont="1" applyFill="1" applyBorder="1" applyAlignment="1">
      <alignment horizontal="center" vertical="center"/>
    </xf>
    <xf numFmtId="166" fontId="58" fillId="7" borderId="57" xfId="2" applyNumberFormat="1" applyFont="1" applyFill="1" applyBorder="1" applyAlignment="1">
      <alignment horizontal="center" vertical="center" wrapText="1"/>
    </xf>
    <xf numFmtId="0" fontId="61" fillId="2" borderId="10" xfId="5" applyFont="1" applyFill="1" applyBorder="1" applyAlignment="1">
      <alignment horizontal="left" vertical="center" wrapText="1"/>
    </xf>
    <xf numFmtId="0" fontId="57" fillId="0" borderId="18" xfId="5" applyFont="1" applyBorder="1" applyAlignment="1">
      <alignment horizontal="center" vertical="center"/>
    </xf>
    <xf numFmtId="166" fontId="62" fillId="7" borderId="45" xfId="2" applyNumberFormat="1" applyFont="1" applyFill="1" applyBorder="1" applyAlignment="1">
      <alignment horizontal="center" vertical="center"/>
    </xf>
    <xf numFmtId="166" fontId="64" fillId="7" borderId="10" xfId="2" applyNumberFormat="1" applyFont="1" applyFill="1" applyBorder="1" applyAlignment="1">
      <alignment horizontal="center" vertical="center" wrapText="1"/>
    </xf>
    <xf numFmtId="166" fontId="62" fillId="7" borderId="10" xfId="2" applyNumberFormat="1" applyFont="1" applyFill="1" applyBorder="1" applyAlignment="1">
      <alignment horizontal="center" vertical="center" wrapText="1"/>
    </xf>
    <xf numFmtId="166" fontId="62" fillId="7" borderId="44" xfId="2" applyNumberFormat="1" applyFont="1" applyFill="1" applyBorder="1" applyAlignment="1">
      <alignment horizontal="center" vertical="center"/>
    </xf>
    <xf numFmtId="0" fontId="67" fillId="7" borderId="44" xfId="2" applyFont="1" applyFill="1" applyBorder="1" applyAlignment="1">
      <alignment horizontal="center" vertical="center"/>
    </xf>
    <xf numFmtId="0" fontId="53" fillId="7" borderId="62" xfId="5" applyFont="1" applyFill="1" applyBorder="1" applyAlignment="1">
      <alignment horizontal="center" vertical="center"/>
    </xf>
    <xf numFmtId="0" fontId="57" fillId="2" borderId="57" xfId="5" applyFont="1" applyFill="1" applyBorder="1" applyAlignment="1">
      <alignment horizontal="left" vertical="center"/>
    </xf>
    <xf numFmtId="166" fontId="62" fillId="7" borderId="50" xfId="2" applyNumberFormat="1" applyFont="1" applyFill="1" applyBorder="1" applyAlignment="1">
      <alignment horizontal="center" vertical="center" wrapText="1"/>
    </xf>
    <xf numFmtId="0" fontId="57" fillId="2" borderId="39" xfId="2" applyFont="1" applyFill="1" applyBorder="1" applyAlignment="1">
      <alignment horizontal="center" vertical="center"/>
    </xf>
    <xf numFmtId="0" fontId="59" fillId="15" borderId="39" xfId="5" applyFont="1" applyFill="1" applyBorder="1" applyAlignment="1">
      <alignment horizontal="center" vertical="center"/>
    </xf>
    <xf numFmtId="166" fontId="59" fillId="15" borderId="38" xfId="5" applyNumberFormat="1" applyFont="1" applyFill="1" applyBorder="1" applyAlignment="1">
      <alignment horizontal="center" vertical="center"/>
    </xf>
    <xf numFmtId="0" fontId="61" fillId="2" borderId="38" xfId="5" applyFont="1" applyFill="1" applyBorder="1" applyAlignment="1">
      <alignment horizontal="center" vertical="center"/>
    </xf>
    <xf numFmtId="0" fontId="61" fillId="2" borderId="38" xfId="5" applyFont="1" applyFill="1" applyBorder="1" applyAlignment="1">
      <alignment horizontal="left" vertical="center"/>
    </xf>
    <xf numFmtId="0" fontId="53" fillId="7" borderId="55" xfId="5" applyFont="1" applyFill="1" applyBorder="1" applyAlignment="1">
      <alignment horizontal="center" vertical="center"/>
    </xf>
    <xf numFmtId="0" fontId="61" fillId="2" borderId="59" xfId="5" applyFont="1" applyFill="1" applyBorder="1" applyAlignment="1">
      <alignment horizontal="left" vertical="center"/>
    </xf>
    <xf numFmtId="0" fontId="59" fillId="15" borderId="18" xfId="5" applyFont="1" applyFill="1" applyBorder="1" applyAlignment="1">
      <alignment horizontal="center" vertical="center"/>
    </xf>
    <xf numFmtId="0" fontId="61" fillId="2" borderId="57" xfId="5" applyFont="1" applyFill="1" applyBorder="1" applyAlignment="1">
      <alignment horizontal="left" vertical="center"/>
    </xf>
    <xf numFmtId="0" fontId="53" fillId="7" borderId="18" xfId="5" applyFont="1" applyFill="1" applyBorder="1" applyAlignment="1">
      <alignment horizontal="center" vertical="center"/>
    </xf>
    <xf numFmtId="0" fontId="53" fillId="7" borderId="13" xfId="5" applyFont="1" applyFill="1" applyBorder="1" applyAlignment="1">
      <alignment horizontal="center" vertical="center"/>
    </xf>
    <xf numFmtId="0" fontId="57" fillId="2" borderId="64" xfId="5" applyFont="1" applyFill="1" applyBorder="1" applyAlignment="1">
      <alignment horizontal="left" vertical="center"/>
    </xf>
    <xf numFmtId="0" fontId="53" fillId="7" borderId="61" xfId="5" applyFont="1" applyFill="1" applyBorder="1" applyAlignment="1">
      <alignment horizontal="center" vertical="center"/>
    </xf>
    <xf numFmtId="0" fontId="57" fillId="2" borderId="60" xfId="5" applyFont="1" applyFill="1" applyBorder="1" applyAlignment="1">
      <alignment horizontal="left" vertical="center"/>
    </xf>
    <xf numFmtId="0" fontId="99" fillId="7" borderId="59" xfId="6" applyFont="1" applyFill="1" applyBorder="1" applyAlignment="1">
      <alignment horizontal="center" vertical="center"/>
    </xf>
    <xf numFmtId="166" fontId="99" fillId="7" borderId="59" xfId="6" applyNumberFormat="1" applyFont="1" applyFill="1" applyBorder="1" applyAlignment="1">
      <alignment horizontal="center" vertical="center"/>
    </xf>
    <xf numFmtId="0" fontId="85" fillId="2" borderId="6" xfId="6" applyFont="1" applyFill="1" applyBorder="1" applyAlignment="1">
      <alignment horizontal="center" vertical="center"/>
    </xf>
    <xf numFmtId="0" fontId="89" fillId="15" borderId="64" xfId="5" applyFont="1" applyFill="1" applyBorder="1" applyAlignment="1">
      <alignment horizontal="center" vertical="center"/>
    </xf>
    <xf numFmtId="166" fontId="89" fillId="15" borderId="64" xfId="5" applyNumberFormat="1" applyFont="1" applyFill="1" applyBorder="1" applyAlignment="1">
      <alignment horizontal="center" vertical="center"/>
    </xf>
    <xf numFmtId="0" fontId="89" fillId="2" borderId="20" xfId="5" applyFont="1" applyFill="1" applyBorder="1" applyAlignment="1">
      <alignment horizontal="center" vertical="center"/>
    </xf>
    <xf numFmtId="0" fontId="89" fillId="2" borderId="13" xfId="5" applyFont="1" applyFill="1" applyBorder="1" applyAlignment="1">
      <alignment horizontal="center" vertical="center"/>
    </xf>
    <xf numFmtId="0" fontId="89" fillId="8" borderId="13" xfId="5" applyFont="1" applyFill="1" applyBorder="1" applyAlignment="1">
      <alignment horizontal="left" vertical="center"/>
    </xf>
    <xf numFmtId="0" fontId="89" fillId="8" borderId="13" xfId="5" applyFont="1" applyFill="1" applyBorder="1" applyAlignment="1">
      <alignment horizontal="center" vertical="center"/>
    </xf>
    <xf numFmtId="0" fontId="99" fillId="7" borderId="57" xfId="6" applyFont="1" applyFill="1" applyBorder="1" applyAlignment="1">
      <alignment horizontal="center" vertical="center"/>
    </xf>
    <xf numFmtId="166" fontId="99" fillId="7" borderId="57" xfId="6" applyNumberFormat="1" applyFont="1" applyFill="1" applyBorder="1" applyAlignment="1">
      <alignment horizontal="center" vertical="center"/>
    </xf>
    <xf numFmtId="0" fontId="85" fillId="2" borderId="10" xfId="6" applyFont="1" applyFill="1" applyBorder="1" applyAlignment="1">
      <alignment horizontal="center" vertical="center"/>
    </xf>
    <xf numFmtId="0" fontId="85" fillId="2" borderId="18" xfId="6" applyFont="1" applyFill="1" applyBorder="1" applyAlignment="1">
      <alignment horizontal="center" vertical="center"/>
    </xf>
    <xf numFmtId="0" fontId="85" fillId="2" borderId="18" xfId="6" applyFont="1" applyFill="1" applyBorder="1" applyAlignment="1">
      <alignment horizontal="left" vertical="center"/>
    </xf>
    <xf numFmtId="0" fontId="89" fillId="15" borderId="60" xfId="6" applyFont="1" applyFill="1" applyBorder="1" applyAlignment="1">
      <alignment horizontal="center" vertical="center"/>
    </xf>
    <xf numFmtId="166" fontId="89" fillId="15" borderId="60" xfId="6" applyNumberFormat="1" applyFont="1" applyFill="1" applyBorder="1" applyAlignment="1">
      <alignment horizontal="center" vertical="center"/>
    </xf>
    <xf numFmtId="0" fontId="89" fillId="2" borderId="23" xfId="6" applyFont="1" applyFill="1" applyBorder="1" applyAlignment="1">
      <alignment horizontal="center" vertical="center"/>
    </xf>
    <xf numFmtId="0" fontId="89" fillId="2" borderId="61" xfId="6" applyFont="1" applyFill="1" applyBorder="1" applyAlignment="1">
      <alignment horizontal="center" vertical="center"/>
    </xf>
    <xf numFmtId="0" fontId="89" fillId="8" borderId="61" xfId="6" applyFont="1" applyFill="1" applyBorder="1" applyAlignment="1">
      <alignment horizontal="left" vertical="center"/>
    </xf>
    <xf numFmtId="0" fontId="89" fillId="8" borderId="61" xfId="6" applyFont="1" applyFill="1" applyBorder="1" applyAlignment="1">
      <alignment horizontal="center" vertical="center"/>
    </xf>
    <xf numFmtId="166" fontId="56" fillId="7" borderId="30" xfId="2" applyNumberFormat="1" applyFont="1" applyFill="1" applyBorder="1" applyAlignment="1">
      <alignment horizontal="center" vertical="center"/>
    </xf>
    <xf numFmtId="0" fontId="85" fillId="2" borderId="31" xfId="2" applyFont="1" applyFill="1" applyBorder="1" applyAlignment="1">
      <alignment horizontal="center" vertical="center"/>
    </xf>
    <xf numFmtId="166" fontId="56" fillId="7" borderId="31" xfId="2" applyNumberFormat="1" applyFont="1" applyFill="1" applyBorder="1" applyAlignment="1">
      <alignment horizontal="center" vertical="center" wrapText="1"/>
    </xf>
    <xf numFmtId="0" fontId="99" fillId="2" borderId="31" xfId="2" applyFont="1" applyFill="1" applyBorder="1" applyAlignment="1">
      <alignment horizontal="center" vertical="center" wrapText="1"/>
    </xf>
    <xf numFmtId="166" fontId="99" fillId="7" borderId="31" xfId="2" applyNumberFormat="1" applyFont="1" applyFill="1" applyBorder="1" applyAlignment="1">
      <alignment horizontal="center" vertical="center"/>
    </xf>
    <xf numFmtId="0" fontId="99" fillId="0" borderId="31" xfId="2" applyFont="1" applyBorder="1" applyAlignment="1">
      <alignment horizontal="center" vertical="center"/>
    </xf>
    <xf numFmtId="1" fontId="99" fillId="0" borderId="31" xfId="2" applyNumberFormat="1" applyFont="1" applyBorder="1" applyAlignment="1">
      <alignment horizontal="center" vertical="center"/>
    </xf>
    <xf numFmtId="0" fontId="100" fillId="15" borderId="31" xfId="6" applyFont="1" applyFill="1" applyBorder="1" applyAlignment="1">
      <alignment horizontal="center" vertical="center"/>
    </xf>
    <xf numFmtId="166" fontId="100" fillId="15" borderId="31" xfId="6" applyNumberFormat="1" applyFont="1" applyFill="1" applyBorder="1" applyAlignment="1">
      <alignment horizontal="center" vertical="center"/>
    </xf>
    <xf numFmtId="0" fontId="89" fillId="2" borderId="31" xfId="6" applyFont="1" applyFill="1" applyBorder="1" applyAlignment="1">
      <alignment horizontal="center" vertical="center"/>
    </xf>
    <xf numFmtId="0" fontId="85" fillId="2" borderId="31" xfId="6" applyFont="1" applyFill="1" applyBorder="1" applyAlignment="1">
      <alignment horizontal="left" vertical="center"/>
    </xf>
    <xf numFmtId="164" fontId="89" fillId="8" borderId="34" xfId="6" applyNumberFormat="1" applyFont="1" applyFill="1" applyBorder="1" applyAlignment="1">
      <alignment horizontal="center" vertical="center"/>
    </xf>
    <xf numFmtId="166" fontId="56" fillId="7" borderId="48" xfId="2" applyNumberFormat="1" applyFont="1" applyFill="1" applyBorder="1" applyAlignment="1">
      <alignment horizontal="center" vertical="center"/>
    </xf>
    <xf numFmtId="0" fontId="85" fillId="2" borderId="16" xfId="2" applyFont="1" applyFill="1" applyBorder="1" applyAlignment="1">
      <alignment horizontal="center" vertical="center"/>
    </xf>
    <xf numFmtId="166" fontId="63" fillId="7" borderId="16" xfId="2" applyNumberFormat="1" applyFont="1" applyFill="1" applyBorder="1" applyAlignment="1">
      <alignment horizontal="center" vertical="center" wrapText="1"/>
    </xf>
    <xf numFmtId="0" fontId="99" fillId="2" borderId="16" xfId="2" applyFont="1" applyFill="1" applyBorder="1" applyAlignment="1">
      <alignment horizontal="center" vertical="center" wrapText="1"/>
    </xf>
    <xf numFmtId="166" fontId="99" fillId="7" borderId="16" xfId="2" applyNumberFormat="1" applyFont="1" applyFill="1" applyBorder="1" applyAlignment="1">
      <alignment horizontal="center" vertical="center"/>
    </xf>
    <xf numFmtId="0" fontId="99" fillId="0" borderId="16" xfId="2" applyFont="1" applyBorder="1" applyAlignment="1">
      <alignment horizontal="center" vertical="center"/>
    </xf>
    <xf numFmtId="1" fontId="99" fillId="0" borderId="16" xfId="2" applyNumberFormat="1" applyFont="1" applyBorder="1" applyAlignment="1">
      <alignment horizontal="center" vertical="center"/>
    </xf>
    <xf numFmtId="0" fontId="85" fillId="7" borderId="16" xfId="6" applyFont="1" applyFill="1" applyBorder="1" applyAlignment="1">
      <alignment horizontal="center" vertical="center"/>
    </xf>
    <xf numFmtId="166" fontId="85" fillId="7" borderId="16" xfId="6" applyNumberFormat="1" applyFont="1" applyFill="1" applyBorder="1" applyAlignment="1">
      <alignment horizontal="center" vertical="center"/>
    </xf>
    <xf numFmtId="0" fontId="85" fillId="2" borderId="16" xfId="6" applyFont="1" applyFill="1" applyBorder="1" applyAlignment="1">
      <alignment horizontal="center" vertical="center"/>
    </xf>
    <xf numFmtId="0" fontId="85" fillId="2" borderId="16" xfId="6" applyFont="1" applyFill="1" applyBorder="1" applyAlignment="1">
      <alignment horizontal="left" vertical="center"/>
    </xf>
    <xf numFmtId="0" fontId="85" fillId="2" borderId="49" xfId="6" applyFont="1" applyFill="1" applyBorder="1" applyAlignment="1">
      <alignment horizontal="center" vertical="center"/>
    </xf>
    <xf numFmtId="0" fontId="99" fillId="2" borderId="16" xfId="2" applyFont="1" applyFill="1" applyBorder="1" applyAlignment="1">
      <alignment horizontal="center" vertical="center"/>
    </xf>
    <xf numFmtId="166" fontId="63" fillId="7" borderId="16" xfId="2" applyNumberFormat="1" applyFont="1" applyFill="1" applyBorder="1" applyAlignment="1">
      <alignment horizontal="center" vertical="center"/>
    </xf>
    <xf numFmtId="0" fontId="100" fillId="15" borderId="16" xfId="6" applyFont="1" applyFill="1" applyBorder="1" applyAlignment="1">
      <alignment horizontal="center" vertical="center"/>
    </xf>
    <xf numFmtId="166" fontId="100" fillId="15" borderId="16" xfId="6" applyNumberFormat="1" applyFont="1" applyFill="1" applyBorder="1" applyAlignment="1">
      <alignment horizontal="center" vertical="center"/>
    </xf>
    <xf numFmtId="0" fontId="89" fillId="2" borderId="16" xfId="6" applyFont="1" applyFill="1" applyBorder="1" applyAlignment="1">
      <alignment horizontal="center" vertical="center"/>
    </xf>
    <xf numFmtId="164" fontId="89" fillId="8" borderId="49" xfId="6" applyNumberFormat="1" applyFont="1" applyFill="1" applyBorder="1" applyAlignment="1">
      <alignment horizontal="center" vertical="center"/>
    </xf>
    <xf numFmtId="166" fontId="62" fillId="7" borderId="48" xfId="2" applyNumberFormat="1" applyFont="1" applyFill="1" applyBorder="1" applyAlignment="1">
      <alignment horizontal="center" vertical="center" wrapText="1"/>
    </xf>
    <xf numFmtId="166" fontId="62" fillId="7" borderId="16" xfId="2" applyNumberFormat="1" applyFont="1" applyFill="1" applyBorder="1" applyAlignment="1">
      <alignment horizontal="center" vertical="center" wrapText="1"/>
    </xf>
    <xf numFmtId="0" fontId="89" fillId="8" borderId="16" xfId="6" applyFont="1" applyFill="1" applyBorder="1" applyAlignment="1">
      <alignment horizontal="left" vertical="center"/>
    </xf>
    <xf numFmtId="0" fontId="89" fillId="8" borderId="49" xfId="6" applyFont="1" applyFill="1" applyBorder="1" applyAlignment="1">
      <alignment horizontal="center" vertical="center"/>
    </xf>
    <xf numFmtId="166" fontId="56" fillId="7" borderId="56" xfId="2" applyNumberFormat="1" applyFont="1" applyFill="1" applyBorder="1" applyAlignment="1">
      <alignment horizontal="center" vertical="center"/>
    </xf>
    <xf numFmtId="0" fontId="85" fillId="2" borderId="65" xfId="2" applyFont="1" applyFill="1" applyBorder="1" applyAlignment="1">
      <alignment horizontal="center" vertical="center"/>
    </xf>
    <xf numFmtId="166" fontId="63" fillId="7" borderId="65" xfId="2" applyNumberFormat="1" applyFont="1" applyFill="1" applyBorder="1" applyAlignment="1">
      <alignment horizontal="center" vertical="center" wrapText="1"/>
    </xf>
    <xf numFmtId="0" fontId="99" fillId="2" borderId="65" xfId="2" applyFont="1" applyFill="1" applyBorder="1" applyAlignment="1">
      <alignment horizontal="center" vertical="center" wrapText="1"/>
    </xf>
    <xf numFmtId="166" fontId="99" fillId="7" borderId="65" xfId="2" applyNumberFormat="1" applyFont="1" applyFill="1" applyBorder="1" applyAlignment="1">
      <alignment horizontal="center" vertical="center"/>
    </xf>
    <xf numFmtId="0" fontId="99" fillId="0" borderId="65" xfId="2" applyFont="1" applyBorder="1" applyAlignment="1">
      <alignment horizontal="center" vertical="center"/>
    </xf>
    <xf numFmtId="1" fontId="99" fillId="0" borderId="65" xfId="2" applyNumberFormat="1" applyFont="1" applyBorder="1" applyAlignment="1">
      <alignment horizontal="center" vertical="center"/>
    </xf>
    <xf numFmtId="0" fontId="99" fillId="7" borderId="16" xfId="3" applyFont="1" applyFill="1" applyBorder="1" applyAlignment="1">
      <alignment horizontal="center" vertical="center"/>
    </xf>
    <xf numFmtId="166" fontId="99" fillId="7" borderId="16" xfId="3" applyNumberFormat="1" applyFont="1" applyFill="1" applyBorder="1" applyAlignment="1">
      <alignment horizontal="center" vertical="center"/>
    </xf>
    <xf numFmtId="0" fontId="99" fillId="2" borderId="16" xfId="3" applyFont="1" applyFill="1" applyBorder="1" applyAlignment="1">
      <alignment horizontal="center" vertical="center"/>
    </xf>
    <xf numFmtId="0" fontId="85" fillId="2" borderId="16" xfId="3" applyFont="1" applyFill="1" applyBorder="1" applyAlignment="1">
      <alignment horizontal="center" vertical="center"/>
    </xf>
    <xf numFmtId="0" fontId="85" fillId="2" borderId="16" xfId="3" applyFont="1" applyFill="1" applyBorder="1" applyAlignment="1">
      <alignment horizontal="left" vertical="center"/>
    </xf>
    <xf numFmtId="164" fontId="85" fillId="2" borderId="49" xfId="3" applyNumberFormat="1" applyFont="1" applyFill="1" applyBorder="1" applyAlignment="1">
      <alignment horizontal="center" vertical="center"/>
    </xf>
    <xf numFmtId="166" fontId="56" fillId="7" borderId="16" xfId="2" applyNumberFormat="1" applyFont="1" applyFill="1" applyBorder="1" applyAlignment="1">
      <alignment horizontal="center" vertical="center"/>
    </xf>
    <xf numFmtId="0" fontId="99" fillId="7" borderId="16" xfId="6" applyFont="1" applyFill="1" applyBorder="1" applyAlignment="1">
      <alignment horizontal="center" vertical="center"/>
    </xf>
    <xf numFmtId="166" fontId="99" fillId="7" borderId="16" xfId="6" applyNumberFormat="1" applyFont="1" applyFill="1" applyBorder="1" applyAlignment="1">
      <alignment horizontal="center" vertical="center"/>
    </xf>
    <xf numFmtId="0" fontId="89" fillId="8" borderId="16" xfId="6" applyFont="1" applyFill="1" applyBorder="1" applyAlignment="1">
      <alignment horizontal="center" vertical="center"/>
    </xf>
    <xf numFmtId="166" fontId="56" fillId="7" borderId="16" xfId="2" applyNumberFormat="1" applyFont="1" applyFill="1" applyBorder="1" applyAlignment="1">
      <alignment horizontal="center" vertical="center" wrapText="1"/>
    </xf>
    <xf numFmtId="166" fontId="56" fillId="7" borderId="24" xfId="2" applyNumberFormat="1" applyFont="1" applyFill="1" applyBorder="1" applyAlignment="1">
      <alignment horizontal="center" vertical="center" wrapText="1"/>
    </xf>
    <xf numFmtId="0" fontId="85" fillId="2" borderId="25" xfId="2" applyFont="1" applyFill="1" applyBorder="1" applyAlignment="1">
      <alignment horizontal="center" vertical="center"/>
    </xf>
    <xf numFmtId="166" fontId="62" fillId="7" borderId="25" xfId="2" applyNumberFormat="1" applyFont="1" applyFill="1" applyBorder="1" applyAlignment="1">
      <alignment horizontal="center" vertical="center" wrapText="1"/>
    </xf>
    <xf numFmtId="0" fontId="99" fillId="0" borderId="25" xfId="2" applyFont="1" applyBorder="1" applyAlignment="1">
      <alignment horizontal="center" vertical="center"/>
    </xf>
    <xf numFmtId="1" fontId="99" fillId="0" borderId="25" xfId="2" applyNumberFormat="1" applyFont="1" applyBorder="1" applyAlignment="1">
      <alignment horizontal="center" vertical="center"/>
    </xf>
    <xf numFmtId="0" fontId="100" fillId="15" borderId="25" xfId="6" applyFont="1" applyFill="1" applyBorder="1" applyAlignment="1">
      <alignment horizontal="center" vertical="center"/>
    </xf>
    <xf numFmtId="166" fontId="100" fillId="15" borderId="25" xfId="6" applyNumberFormat="1" applyFont="1" applyFill="1" applyBorder="1" applyAlignment="1">
      <alignment horizontal="center" vertical="center"/>
    </xf>
    <xf numFmtId="0" fontId="89" fillId="8" borderId="25" xfId="6" applyFont="1" applyFill="1" applyBorder="1" applyAlignment="1">
      <alignment horizontal="center" vertical="center"/>
    </xf>
    <xf numFmtId="0" fontId="89" fillId="8" borderId="25" xfId="6" applyFont="1" applyFill="1" applyBorder="1" applyAlignment="1">
      <alignment horizontal="left" vertical="center"/>
    </xf>
    <xf numFmtId="0" fontId="85" fillId="2" borderId="36" xfId="6" applyFont="1" applyFill="1" applyBorder="1" applyAlignment="1">
      <alignment horizontal="center" vertical="center"/>
    </xf>
    <xf numFmtId="0" fontId="99" fillId="2" borderId="6" xfId="2" applyFont="1" applyFill="1" applyBorder="1" applyAlignment="1">
      <alignment horizontal="center" vertical="center"/>
    </xf>
    <xf numFmtId="0" fontId="85" fillId="2" borderId="6" xfId="2" applyFont="1" applyFill="1" applyBorder="1" applyAlignment="1">
      <alignment horizontal="center" vertical="center"/>
    </xf>
    <xf numFmtId="0" fontId="99" fillId="0" borderId="54" xfId="2" applyFont="1" applyBorder="1" applyAlignment="1">
      <alignment horizontal="center" vertical="center"/>
    </xf>
    <xf numFmtId="1" fontId="99" fillId="0" borderId="6" xfId="2" applyNumberFormat="1" applyFont="1" applyBorder="1" applyAlignment="1">
      <alignment horizontal="center" vertical="center"/>
    </xf>
    <xf numFmtId="0" fontId="100" fillId="15" borderId="32" xfId="6" applyFont="1" applyFill="1" applyBorder="1" applyAlignment="1">
      <alignment horizontal="center" vertical="center"/>
    </xf>
    <xf numFmtId="166" fontId="100" fillId="15" borderId="6" xfId="6" applyNumberFormat="1" applyFont="1" applyFill="1" applyBorder="1" applyAlignment="1">
      <alignment horizontal="center" vertical="center"/>
    </xf>
    <xf numFmtId="0" fontId="89" fillId="8" borderId="54" xfId="6" applyFont="1" applyFill="1" applyBorder="1" applyAlignment="1">
      <alignment horizontal="left" vertical="center"/>
    </xf>
    <xf numFmtId="0" fontId="89" fillId="8" borderId="6" xfId="6" applyFont="1" applyFill="1" applyBorder="1" applyAlignment="1">
      <alignment horizontal="center" vertical="center"/>
    </xf>
    <xf numFmtId="0" fontId="99" fillId="2" borderId="10" xfId="2" applyFont="1" applyFill="1" applyBorder="1" applyAlignment="1">
      <alignment horizontal="center" vertical="center"/>
    </xf>
    <xf numFmtId="0" fontId="85" fillId="2" borderId="10" xfId="2" applyFont="1" applyFill="1" applyBorder="1" applyAlignment="1">
      <alignment horizontal="center" vertical="center"/>
    </xf>
    <xf numFmtId="0" fontId="99" fillId="0" borderId="19" xfId="2" applyFont="1" applyBorder="1" applyAlignment="1">
      <alignment horizontal="center" vertical="center"/>
    </xf>
    <xf numFmtId="1" fontId="99" fillId="0" borderId="10" xfId="2" applyNumberFormat="1" applyFont="1" applyBorder="1" applyAlignment="1">
      <alignment horizontal="center" vertical="center"/>
    </xf>
    <xf numFmtId="0" fontId="100" fillId="15" borderId="17" xfId="6" applyFont="1" applyFill="1" applyBorder="1" applyAlignment="1">
      <alignment horizontal="center" vertical="center"/>
    </xf>
    <xf numFmtId="166" fontId="100" fillId="15" borderId="10" xfId="6" applyNumberFormat="1" applyFont="1" applyFill="1" applyBorder="1" applyAlignment="1">
      <alignment horizontal="center" vertical="center"/>
    </xf>
    <xf numFmtId="0" fontId="89" fillId="2" borderId="10" xfId="6" applyFont="1" applyFill="1" applyBorder="1" applyAlignment="1">
      <alignment horizontal="center" vertical="center"/>
    </xf>
    <xf numFmtId="0" fontId="89" fillId="8" borderId="19" xfId="6" applyFont="1" applyFill="1" applyBorder="1" applyAlignment="1">
      <alignment horizontal="left" vertical="center"/>
    </xf>
    <xf numFmtId="0" fontId="89" fillId="8" borderId="10" xfId="6" applyFont="1" applyFill="1" applyBorder="1" applyAlignment="1">
      <alignment horizontal="center" vertical="center"/>
    </xf>
    <xf numFmtId="0" fontId="85" fillId="2" borderId="44" xfId="2" applyFont="1" applyFill="1" applyBorder="1" applyAlignment="1">
      <alignment horizontal="center" vertical="center"/>
    </xf>
    <xf numFmtId="166" fontId="99" fillId="7" borderId="67" xfId="2" applyNumberFormat="1" applyFont="1" applyFill="1" applyBorder="1" applyAlignment="1">
      <alignment horizontal="center" vertical="center"/>
    </xf>
    <xf numFmtId="0" fontId="99" fillId="2" borderId="44" xfId="2" applyFont="1" applyFill="1" applyBorder="1" applyAlignment="1">
      <alignment horizontal="center" vertical="center"/>
    </xf>
    <xf numFmtId="0" fontId="99" fillId="0" borderId="67" xfId="2" applyFont="1" applyBorder="1" applyAlignment="1">
      <alignment horizontal="center" vertical="center"/>
    </xf>
    <xf numFmtId="1" fontId="99" fillId="0" borderId="44" xfId="2" applyNumberFormat="1" applyFont="1" applyBorder="1" applyAlignment="1">
      <alignment horizontal="center" vertical="center"/>
    </xf>
    <xf numFmtId="0" fontId="99" fillId="7" borderId="17" xfId="6" applyFont="1" applyFill="1" applyBorder="1" applyAlignment="1">
      <alignment horizontal="center" vertical="center"/>
    </xf>
    <xf numFmtId="166" fontId="99" fillId="7" borderId="10" xfId="6" applyNumberFormat="1" applyFont="1" applyFill="1" applyBorder="1" applyAlignment="1">
      <alignment horizontal="center" vertical="center"/>
    </xf>
    <xf numFmtId="0" fontId="85" fillId="2" borderId="19" xfId="6" applyFont="1" applyFill="1" applyBorder="1" applyAlignment="1">
      <alignment horizontal="left" vertical="center"/>
    </xf>
    <xf numFmtId="0" fontId="85" fillId="2" borderId="20" xfId="2" applyFont="1" applyFill="1" applyBorder="1" applyAlignment="1">
      <alignment horizontal="center" vertical="center"/>
    </xf>
    <xf numFmtId="166" fontId="99" fillId="7" borderId="21" xfId="2" applyNumberFormat="1" applyFont="1" applyFill="1" applyBorder="1" applyAlignment="1">
      <alignment horizontal="center" vertical="center"/>
    </xf>
    <xf numFmtId="0" fontId="99" fillId="2" borderId="20" xfId="2" applyFont="1" applyFill="1" applyBorder="1" applyAlignment="1">
      <alignment horizontal="center" vertical="center"/>
    </xf>
    <xf numFmtId="0" fontId="99" fillId="0" borderId="21" xfId="2" applyFont="1" applyBorder="1" applyAlignment="1">
      <alignment horizontal="center" vertical="center"/>
    </xf>
    <xf numFmtId="1" fontId="99" fillId="0" borderId="20" xfId="2" applyNumberFormat="1" applyFont="1" applyBorder="1" applyAlignment="1">
      <alignment horizontal="center" vertical="center"/>
    </xf>
    <xf numFmtId="0" fontId="85" fillId="7" borderId="17" xfId="6" applyFont="1" applyFill="1" applyBorder="1" applyAlignment="1">
      <alignment horizontal="center" vertical="center"/>
    </xf>
    <xf numFmtId="166" fontId="85" fillId="7" borderId="10" xfId="6" applyNumberFormat="1" applyFont="1" applyFill="1" applyBorder="1" applyAlignment="1">
      <alignment horizontal="center" vertical="center"/>
    </xf>
    <xf numFmtId="166" fontId="99" fillId="7" borderId="19" xfId="2" applyNumberFormat="1" applyFont="1" applyFill="1" applyBorder="1" applyAlignment="1">
      <alignment horizontal="center" vertical="center"/>
    </xf>
    <xf numFmtId="0" fontId="100" fillId="15" borderId="9" xfId="6" applyFont="1" applyFill="1" applyBorder="1" applyAlignment="1">
      <alignment horizontal="center" vertical="center"/>
    </xf>
    <xf numFmtId="166" fontId="100" fillId="15" borderId="20" xfId="6" applyNumberFormat="1" applyFont="1" applyFill="1" applyBorder="1" applyAlignment="1">
      <alignment horizontal="center" vertical="center"/>
    </xf>
    <xf numFmtId="0" fontId="89" fillId="8" borderId="20" xfId="6" applyFont="1" applyFill="1" applyBorder="1" applyAlignment="1">
      <alignment horizontal="center" vertical="center"/>
    </xf>
    <xf numFmtId="0" fontId="89" fillId="8" borderId="21" xfId="6" applyFont="1" applyFill="1" applyBorder="1" applyAlignment="1">
      <alignment horizontal="left" vertical="center"/>
    </xf>
    <xf numFmtId="0" fontId="85" fillId="2" borderId="20" xfId="6" applyFont="1" applyFill="1" applyBorder="1" applyAlignment="1">
      <alignment horizontal="center" vertical="center"/>
    </xf>
    <xf numFmtId="166" fontId="63" fillId="7" borderId="21" xfId="2" applyNumberFormat="1" applyFont="1" applyFill="1" applyBorder="1" applyAlignment="1">
      <alignment horizontal="center" vertical="center" wrapText="1"/>
    </xf>
    <xf numFmtId="0" fontId="99" fillId="7" borderId="10" xfId="6" applyFont="1" applyFill="1" applyBorder="1" applyAlignment="1">
      <alignment horizontal="center" vertical="center"/>
    </xf>
    <xf numFmtId="0" fontId="99" fillId="2" borderId="10" xfId="6" applyFont="1" applyFill="1" applyBorder="1" applyAlignment="1">
      <alignment horizontal="center" vertical="center"/>
    </xf>
    <xf numFmtId="0" fontId="99" fillId="2" borderId="19" xfId="6" applyFont="1" applyFill="1" applyBorder="1" applyAlignment="1">
      <alignment horizontal="left" vertical="center"/>
    </xf>
    <xf numFmtId="0" fontId="99" fillId="2" borderId="10" xfId="2" applyFont="1" applyFill="1" applyBorder="1" applyAlignment="1">
      <alignment horizontal="center" vertical="center" wrapText="1"/>
    </xf>
    <xf numFmtId="0" fontId="99" fillId="0" borderId="10" xfId="2" applyFont="1" applyBorder="1" applyAlignment="1">
      <alignment horizontal="center" vertical="center"/>
    </xf>
    <xf numFmtId="0" fontId="89" fillId="15" borderId="9" xfId="6" applyFont="1" applyFill="1" applyBorder="1" applyAlignment="1">
      <alignment horizontal="center" vertical="center"/>
    </xf>
    <xf numFmtId="166" fontId="89" fillId="15" borderId="20" xfId="6" applyNumberFormat="1" applyFont="1" applyFill="1" applyBorder="1" applyAlignment="1">
      <alignment horizontal="center" vertical="center"/>
    </xf>
    <xf numFmtId="0" fontId="89" fillId="2" borderId="20" xfId="6" applyFont="1" applyFill="1" applyBorder="1" applyAlignment="1">
      <alignment horizontal="center" vertical="center"/>
    </xf>
    <xf numFmtId="0" fontId="85" fillId="2" borderId="23" xfId="2" applyFont="1" applyFill="1" applyBorder="1" applyAlignment="1">
      <alignment horizontal="center" vertical="center"/>
    </xf>
    <xf numFmtId="0" fontId="99" fillId="2" borderId="23" xfId="2" applyFont="1" applyFill="1" applyBorder="1" applyAlignment="1">
      <alignment horizontal="center" vertical="center"/>
    </xf>
    <xf numFmtId="0" fontId="101" fillId="7" borderId="35" xfId="2" applyFont="1" applyFill="1" applyBorder="1" applyAlignment="1">
      <alignment horizontal="center" vertical="center"/>
    </xf>
    <xf numFmtId="0" fontId="99" fillId="2" borderId="35" xfId="2" applyFont="1" applyFill="1" applyBorder="1" applyAlignment="1">
      <alignment horizontal="center" vertical="center"/>
    </xf>
    <xf numFmtId="1" fontId="99" fillId="2" borderId="23" xfId="2" applyNumberFormat="1" applyFont="1" applyFill="1" applyBorder="1" applyAlignment="1">
      <alignment horizontal="center" vertical="center"/>
    </xf>
    <xf numFmtId="0" fontId="85" fillId="7" borderId="26" xfId="6" applyFont="1" applyFill="1" applyBorder="1" applyAlignment="1">
      <alignment horizontal="center" vertical="center"/>
    </xf>
    <xf numFmtId="166" fontId="85" fillId="7" borderId="23" xfId="6" applyNumberFormat="1" applyFont="1" applyFill="1" applyBorder="1" applyAlignment="1">
      <alignment horizontal="center" vertical="center"/>
    </xf>
    <xf numFmtId="0" fontId="85" fillId="2" borderId="23" xfId="6" applyFont="1" applyFill="1" applyBorder="1" applyAlignment="1">
      <alignment horizontal="center" vertical="center"/>
    </xf>
    <xf numFmtId="0" fontId="85" fillId="2" borderId="35" xfId="6" applyFont="1" applyFill="1" applyBorder="1" applyAlignment="1">
      <alignment horizontal="left" vertical="center"/>
    </xf>
    <xf numFmtId="166" fontId="62" fillId="7" borderId="59" xfId="2" applyNumberFormat="1" applyFont="1" applyFill="1" applyBorder="1" applyAlignment="1">
      <alignment horizontal="center" vertical="center" wrapText="1"/>
    </xf>
    <xf numFmtId="0" fontId="100" fillId="15" borderId="59" xfId="6" applyFont="1" applyFill="1" applyBorder="1" applyAlignment="1">
      <alignment horizontal="center" vertical="center"/>
    </xf>
    <xf numFmtId="166" fontId="100" fillId="15" borderId="59" xfId="6" applyNumberFormat="1" applyFont="1" applyFill="1" applyBorder="1" applyAlignment="1">
      <alignment horizontal="center" vertical="center"/>
    </xf>
    <xf numFmtId="0" fontId="89" fillId="2" borderId="55" xfId="6" applyFont="1" applyFill="1" applyBorder="1" applyAlignment="1">
      <alignment horizontal="center" vertical="center"/>
    </xf>
    <xf numFmtId="0" fontId="89" fillId="8" borderId="55" xfId="6" applyFont="1" applyFill="1" applyBorder="1" applyAlignment="1">
      <alignment horizontal="left" vertical="center"/>
    </xf>
    <xf numFmtId="0" fontId="99" fillId="2" borderId="50" xfId="2" applyFont="1" applyFill="1" applyBorder="1" applyAlignment="1">
      <alignment horizontal="center" vertical="center"/>
    </xf>
    <xf numFmtId="166" fontId="62" fillId="7" borderId="39" xfId="2" applyNumberFormat="1" applyFont="1" applyFill="1" applyBorder="1" applyAlignment="1">
      <alignment horizontal="center" vertical="center" wrapText="1"/>
    </xf>
    <xf numFmtId="166" fontId="99" fillId="7" borderId="39" xfId="2" applyNumberFormat="1" applyFont="1" applyFill="1" applyBorder="1" applyAlignment="1">
      <alignment horizontal="center" vertical="center"/>
    </xf>
    <xf numFmtId="0" fontId="99" fillId="0" borderId="39" xfId="2" applyFont="1" applyBorder="1" applyAlignment="1">
      <alignment horizontal="center" vertical="center"/>
    </xf>
    <xf numFmtId="1" fontId="99" fillId="0" borderId="50" xfId="2" applyNumberFormat="1" applyFont="1" applyBorder="1" applyAlignment="1">
      <alignment horizontal="center" vertical="center"/>
    </xf>
    <xf numFmtId="0" fontId="99" fillId="7" borderId="38" xfId="6" applyFont="1" applyFill="1" applyBorder="1" applyAlignment="1">
      <alignment horizontal="center" vertical="center"/>
    </xf>
    <xf numFmtId="0" fontId="99" fillId="2" borderId="50" xfId="6" applyFont="1" applyFill="1" applyBorder="1" applyAlignment="1">
      <alignment horizontal="center" vertical="center"/>
    </xf>
    <xf numFmtId="0" fontId="85" fillId="2" borderId="40" xfId="6" applyFont="1" applyFill="1" applyBorder="1" applyAlignment="1">
      <alignment horizontal="center" vertical="center"/>
    </xf>
    <xf numFmtId="0" fontId="99" fillId="2" borderId="40" xfId="6" applyFont="1" applyFill="1" applyBorder="1" applyAlignment="1">
      <alignment horizontal="left" vertical="center"/>
    </xf>
    <xf numFmtId="0" fontId="99" fillId="2" borderId="40" xfId="6" applyFont="1" applyFill="1" applyBorder="1" applyAlignment="1">
      <alignment horizontal="center" vertical="center"/>
    </xf>
    <xf numFmtId="166" fontId="99" fillId="7" borderId="54" xfId="2" applyNumberFormat="1" applyFont="1" applyFill="1" applyBorder="1" applyAlignment="1">
      <alignment horizontal="center" vertical="center"/>
    </xf>
    <xf numFmtId="0" fontId="99" fillId="2" borderId="59" xfId="2" applyFont="1" applyFill="1" applyBorder="1" applyAlignment="1">
      <alignment horizontal="center" vertical="center"/>
    </xf>
    <xf numFmtId="1" fontId="99" fillId="2" borderId="6" xfId="2" applyNumberFormat="1" applyFont="1" applyFill="1" applyBorder="1" applyAlignment="1">
      <alignment horizontal="center" vertical="center"/>
    </xf>
    <xf numFmtId="0" fontId="99" fillId="2" borderId="54" xfId="2" applyFont="1" applyFill="1" applyBorder="1" applyAlignment="1">
      <alignment horizontal="center" vertical="center"/>
    </xf>
    <xf numFmtId="0" fontId="99" fillId="7" borderId="6" xfId="5" applyFont="1" applyFill="1" applyBorder="1" applyAlignment="1">
      <alignment horizontal="center" vertical="center"/>
    </xf>
    <xf numFmtId="166" fontId="99" fillId="7" borderId="54" xfId="5" applyNumberFormat="1" applyFont="1" applyFill="1" applyBorder="1" applyAlignment="1">
      <alignment horizontal="center" vertical="center"/>
    </xf>
    <xf numFmtId="0" fontId="85" fillId="2" borderId="55" xfId="5" applyFont="1" applyFill="1" applyBorder="1" applyAlignment="1">
      <alignment horizontal="center" vertical="center"/>
    </xf>
    <xf numFmtId="0" fontId="85" fillId="2" borderId="6" xfId="5" applyFont="1" applyFill="1" applyBorder="1" applyAlignment="1">
      <alignment horizontal="center" vertical="center"/>
    </xf>
    <xf numFmtId="0" fontId="85" fillId="2" borderId="6" xfId="5" applyFont="1" applyFill="1" applyBorder="1" applyAlignment="1">
      <alignment horizontal="left" vertical="center"/>
    </xf>
    <xf numFmtId="0" fontId="99" fillId="2" borderId="67" xfId="2" applyFont="1" applyFill="1" applyBorder="1" applyAlignment="1">
      <alignment horizontal="center" vertical="center"/>
    </xf>
    <xf numFmtId="1" fontId="99" fillId="2" borderId="44" xfId="2" applyNumberFormat="1" applyFont="1" applyFill="1" applyBorder="1" applyAlignment="1">
      <alignment horizontal="center" vertical="center"/>
    </xf>
    <xf numFmtId="0" fontId="99" fillId="2" borderId="0" xfId="2" applyFont="1" applyFill="1" applyAlignment="1">
      <alignment horizontal="center" vertical="center"/>
    </xf>
    <xf numFmtId="0" fontId="99" fillId="7" borderId="44" xfId="5" applyFont="1" applyFill="1" applyBorder="1" applyAlignment="1">
      <alignment horizontal="center" vertical="center"/>
    </xf>
    <xf numFmtId="166" fontId="99" fillId="7" borderId="67" xfId="5" applyNumberFormat="1" applyFont="1" applyFill="1" applyBorder="1" applyAlignment="1">
      <alignment horizontal="center" vertical="center"/>
    </xf>
    <xf numFmtId="0" fontId="85" fillId="2" borderId="44" xfId="5" applyFont="1" applyFill="1" applyBorder="1" applyAlignment="1">
      <alignment horizontal="center" vertical="center"/>
    </xf>
    <xf numFmtId="0" fontId="85" fillId="2" borderId="62" xfId="5" applyFont="1" applyFill="1" applyBorder="1" applyAlignment="1">
      <alignment horizontal="center" vertical="center"/>
    </xf>
    <xf numFmtId="0" fontId="85" fillId="2" borderId="44" xfId="5" applyFont="1" applyFill="1" applyBorder="1" applyAlignment="1">
      <alignment horizontal="left" vertical="center"/>
    </xf>
    <xf numFmtId="0" fontId="101" fillId="7" borderId="19" xfId="2" applyFont="1" applyFill="1" applyBorder="1" applyAlignment="1">
      <alignment horizontal="center" vertical="center"/>
    </xf>
    <xf numFmtId="0" fontId="99" fillId="2" borderId="19" xfId="2" applyFont="1" applyFill="1" applyBorder="1" applyAlignment="1">
      <alignment horizontal="center" vertical="center"/>
    </xf>
    <xf numFmtId="1" fontId="99" fillId="2" borderId="10" xfId="2" applyNumberFormat="1" applyFont="1" applyFill="1" applyBorder="1" applyAlignment="1">
      <alignment horizontal="center" vertical="center"/>
    </xf>
    <xf numFmtId="0" fontId="99" fillId="7" borderId="10" xfId="5" applyFont="1" applyFill="1" applyBorder="1" applyAlignment="1">
      <alignment horizontal="center" vertical="center"/>
    </xf>
    <xf numFmtId="166" fontId="99" fillId="7" borderId="19" xfId="5" applyNumberFormat="1" applyFont="1" applyFill="1" applyBorder="1" applyAlignment="1">
      <alignment horizontal="center" vertical="center"/>
    </xf>
    <xf numFmtId="0" fontId="85" fillId="2" borderId="10" xfId="5" applyFont="1" applyFill="1" applyBorder="1" applyAlignment="1">
      <alignment horizontal="center" vertical="center"/>
    </xf>
    <xf numFmtId="0" fontId="85" fillId="2" borderId="18" xfId="5" applyFont="1" applyFill="1" applyBorder="1" applyAlignment="1">
      <alignment horizontal="center" vertical="center"/>
    </xf>
    <xf numFmtId="0" fontId="85" fillId="2" borderId="10" xfId="5" applyFont="1" applyFill="1" applyBorder="1" applyAlignment="1">
      <alignment horizontal="left" vertical="center"/>
    </xf>
    <xf numFmtId="0" fontId="85" fillId="2" borderId="14" xfId="2" applyFont="1" applyFill="1" applyBorder="1" applyAlignment="1">
      <alignment horizontal="center" vertical="center"/>
    </xf>
    <xf numFmtId="0" fontId="85" fillId="7" borderId="19" xfId="2" applyFont="1" applyFill="1" applyBorder="1" applyAlignment="1">
      <alignment horizontal="center" vertical="center"/>
    </xf>
    <xf numFmtId="0" fontId="99" fillId="7" borderId="44" xfId="2" applyFont="1" applyFill="1" applyBorder="1" applyAlignment="1">
      <alignment horizontal="center" vertical="center"/>
    </xf>
    <xf numFmtId="0" fontId="85" fillId="2" borderId="44" xfId="2" applyFont="1" applyFill="1" applyBorder="1" applyAlignment="1">
      <alignment horizontal="left" vertical="center"/>
    </xf>
    <xf numFmtId="164" fontId="85" fillId="2" borderId="62" xfId="2" applyNumberFormat="1" applyFont="1" applyFill="1" applyBorder="1" applyAlignment="1">
      <alignment horizontal="center" vertical="center"/>
    </xf>
    <xf numFmtId="0" fontId="85" fillId="7" borderId="21" xfId="2" applyFont="1" applyFill="1" applyBorder="1" applyAlignment="1">
      <alignment horizontal="center" vertical="center"/>
    </xf>
    <xf numFmtId="0" fontId="101" fillId="7" borderId="21" xfId="2" applyFont="1" applyFill="1" applyBorder="1" applyAlignment="1">
      <alignment horizontal="center" vertical="center"/>
    </xf>
    <xf numFmtId="0" fontId="100" fillId="15" borderId="10" xfId="6" applyFont="1" applyFill="1" applyBorder="1" applyAlignment="1">
      <alignment horizontal="center" vertical="center"/>
    </xf>
    <xf numFmtId="166" fontId="100" fillId="15" borderId="19" xfId="6" applyNumberFormat="1" applyFont="1" applyFill="1" applyBorder="1" applyAlignment="1">
      <alignment horizontal="center" vertical="center"/>
    </xf>
    <xf numFmtId="0" fontId="99" fillId="2" borderId="18" xfId="6" applyFont="1" applyFill="1" applyBorder="1" applyAlignment="1">
      <alignment horizontal="center" vertical="center"/>
    </xf>
    <xf numFmtId="0" fontId="89" fillId="8" borderId="10" xfId="6" applyFont="1" applyFill="1" applyBorder="1" applyAlignment="1">
      <alignment horizontal="left" vertical="center"/>
    </xf>
    <xf numFmtId="0" fontId="89" fillId="8" borderId="18" xfId="6" applyFont="1" applyFill="1" applyBorder="1" applyAlignment="1">
      <alignment horizontal="center" vertical="center"/>
    </xf>
    <xf numFmtId="166" fontId="99" fillId="7" borderId="35" xfId="2" applyNumberFormat="1" applyFont="1" applyFill="1" applyBorder="1" applyAlignment="1">
      <alignment horizontal="center" vertical="center"/>
    </xf>
    <xf numFmtId="0" fontId="100" fillId="15" borderId="23" xfId="5" applyFont="1" applyFill="1" applyBorder="1" applyAlignment="1">
      <alignment horizontal="center" vertical="center"/>
    </xf>
    <xf numFmtId="166" fontId="100" fillId="15" borderId="35" xfId="5" applyNumberFormat="1" applyFont="1" applyFill="1" applyBorder="1" applyAlignment="1">
      <alignment horizontal="center" vertical="center"/>
    </xf>
    <xf numFmtId="0" fontId="89" fillId="2" borderId="23" xfId="5" applyFont="1" applyFill="1" applyBorder="1" applyAlignment="1">
      <alignment horizontal="center" vertical="center"/>
    </xf>
    <xf numFmtId="0" fontId="89" fillId="8" borderId="23" xfId="5" applyFont="1" applyFill="1" applyBorder="1" applyAlignment="1">
      <alignment horizontal="left" vertical="center"/>
    </xf>
    <xf numFmtId="0" fontId="89" fillId="8" borderId="61" xfId="5" applyFont="1" applyFill="1" applyBorder="1" applyAlignment="1">
      <alignment horizontal="center" vertical="center"/>
    </xf>
    <xf numFmtId="0" fontId="61" fillId="2" borderId="6" xfId="5" applyFont="1" applyFill="1" applyBorder="1" applyAlignment="1">
      <alignment horizontal="left" vertical="center"/>
    </xf>
    <xf numFmtId="166" fontId="81" fillId="7" borderId="57" xfId="2" applyNumberFormat="1" applyFont="1" applyFill="1" applyBorder="1" applyAlignment="1">
      <alignment horizontal="center" vertical="center" wrapText="1"/>
    </xf>
    <xf numFmtId="0" fontId="59" fillId="15" borderId="14" xfId="5" applyFont="1" applyFill="1" applyBorder="1" applyAlignment="1">
      <alignment horizontal="center" vertical="center"/>
    </xf>
    <xf numFmtId="166" fontId="59" fillId="15" borderId="14" xfId="5" applyNumberFormat="1" applyFont="1" applyFill="1" applyBorder="1" applyAlignment="1">
      <alignment horizontal="center" vertical="center"/>
    </xf>
    <xf numFmtId="0" fontId="61" fillId="8" borderId="21" xfId="5" applyFont="1" applyFill="1" applyBorder="1" applyAlignment="1">
      <alignment horizontal="center" vertical="center"/>
    </xf>
    <xf numFmtId="0" fontId="61" fillId="2" borderId="14" xfId="5" applyFont="1" applyFill="1" applyBorder="1" applyAlignment="1">
      <alignment horizontal="left" vertical="center"/>
    </xf>
    <xf numFmtId="0" fontId="61" fillId="34" borderId="23" xfId="5" applyFont="1" applyFill="1" applyBorder="1" applyAlignment="1">
      <alignment horizontal="center" vertical="center"/>
    </xf>
    <xf numFmtId="166" fontId="61" fillId="34" borderId="35" xfId="5" applyNumberFormat="1" applyFont="1" applyFill="1" applyBorder="1" applyAlignment="1">
      <alignment horizontal="center" vertical="center"/>
    </xf>
    <xf numFmtId="0" fontId="61" fillId="35" borderId="61" xfId="5" applyFont="1" applyFill="1" applyBorder="1" applyAlignment="1">
      <alignment horizontal="center" vertical="center"/>
    </xf>
    <xf numFmtId="0" fontId="61" fillId="36" borderId="23" xfId="5" applyFont="1" applyFill="1" applyBorder="1" applyAlignment="1">
      <alignment horizontal="center" vertical="center"/>
    </xf>
    <xf numFmtId="0" fontId="61" fillId="36" borderId="61" xfId="5" applyFont="1" applyFill="1" applyBorder="1" applyAlignment="1">
      <alignment horizontal="center" vertical="center"/>
    </xf>
    <xf numFmtId="0" fontId="61" fillId="35" borderId="61" xfId="5" applyFont="1" applyFill="1" applyBorder="1" applyAlignment="1">
      <alignment horizontal="left" vertical="center"/>
    </xf>
    <xf numFmtId="0" fontId="61" fillId="2" borderId="54" xfId="5" applyFont="1" applyFill="1" applyBorder="1" applyAlignment="1">
      <alignment horizontal="center" vertical="center"/>
    </xf>
    <xf numFmtId="166" fontId="62" fillId="7" borderId="2" xfId="2" applyNumberFormat="1" applyFont="1" applyFill="1" applyBorder="1" applyAlignment="1">
      <alignment horizontal="center" vertical="center" wrapText="1"/>
    </xf>
    <xf numFmtId="0" fontId="53" fillId="2" borderId="41" xfId="2" applyFont="1" applyFill="1" applyBorder="1" applyAlignment="1">
      <alignment horizontal="center" vertical="center" wrapText="1"/>
    </xf>
    <xf numFmtId="0" fontId="57" fillId="7" borderId="10" xfId="5" applyFont="1" applyFill="1" applyBorder="1" applyAlignment="1">
      <alignment horizontal="center" vertical="center"/>
    </xf>
    <xf numFmtId="166" fontId="57" fillId="7" borderId="19" xfId="5" applyNumberFormat="1" applyFont="1" applyFill="1" applyBorder="1" applyAlignment="1">
      <alignment horizontal="center" vertical="center"/>
    </xf>
    <xf numFmtId="0" fontId="61" fillId="2" borderId="67" xfId="5" applyFont="1" applyFill="1" applyBorder="1" applyAlignment="1">
      <alignment horizontal="left" vertical="center"/>
    </xf>
    <xf numFmtId="166" fontId="64" fillId="7" borderId="51" xfId="2" applyNumberFormat="1" applyFont="1" applyFill="1" applyBorder="1" applyAlignment="1">
      <alignment horizontal="center" vertical="center" wrapText="1"/>
    </xf>
    <xf numFmtId="0" fontId="57" fillId="2" borderId="67" xfId="5" applyFont="1" applyFill="1" applyBorder="1" applyAlignment="1">
      <alignment horizontal="left" vertical="center"/>
    </xf>
    <xf numFmtId="0" fontId="57" fillId="7" borderId="23" xfId="5" applyFont="1" applyFill="1" applyBorder="1" applyAlignment="1">
      <alignment horizontal="center" vertical="center"/>
    </xf>
    <xf numFmtId="166" fontId="57" fillId="7" borderId="35" xfId="5" applyNumberFormat="1" applyFont="1" applyFill="1" applyBorder="1" applyAlignment="1">
      <alignment horizontal="center" vertical="center"/>
    </xf>
    <xf numFmtId="0" fontId="57" fillId="2" borderId="35" xfId="5" applyFont="1" applyFill="1" applyBorder="1" applyAlignment="1">
      <alignment horizontal="left" vertical="center"/>
    </xf>
    <xf numFmtId="0" fontId="57" fillId="2" borderId="54" xfId="5" applyFont="1" applyFill="1" applyBorder="1" applyAlignment="1">
      <alignment horizontal="left" vertical="center"/>
    </xf>
    <xf numFmtId="0" fontId="66" fillId="7" borderId="19" xfId="2" applyFont="1" applyFill="1" applyBorder="1" applyAlignment="1">
      <alignment horizontal="center" vertical="center"/>
    </xf>
    <xf numFmtId="49" fontId="66" fillId="7" borderId="67" xfId="2" applyNumberFormat="1" applyFont="1" applyFill="1" applyBorder="1" applyAlignment="1">
      <alignment horizontal="center" vertical="center"/>
    </xf>
    <xf numFmtId="166" fontId="59" fillId="15" borderId="18" xfId="5" applyNumberFormat="1" applyFont="1" applyFill="1" applyBorder="1" applyAlignment="1">
      <alignment horizontal="center" vertical="center"/>
    </xf>
    <xf numFmtId="166" fontId="66" fillId="7" borderId="10" xfId="2" applyNumberFormat="1" applyFont="1" applyFill="1" applyBorder="1" applyAlignment="1">
      <alignment horizontal="center" vertical="center" wrapText="1"/>
    </xf>
    <xf numFmtId="0" fontId="52" fillId="37" borderId="59" xfId="1" applyFont="1" applyFill="1" applyBorder="1" applyAlignment="1">
      <alignment horizontal="center" vertical="center"/>
    </xf>
    <xf numFmtId="0" fontId="52" fillId="37" borderId="57" xfId="1" applyFont="1" applyFill="1" applyBorder="1" applyAlignment="1">
      <alignment horizontal="center" vertical="center"/>
    </xf>
    <xf numFmtId="0" fontId="52" fillId="37" borderId="60" xfId="1" applyFont="1" applyFill="1" applyBorder="1" applyAlignment="1">
      <alignment horizontal="center" vertical="center"/>
    </xf>
    <xf numFmtId="0" fontId="52" fillId="37" borderId="5" xfId="2" applyFont="1" applyFill="1" applyBorder="1" applyAlignment="1">
      <alignment horizontal="center" vertical="center"/>
    </xf>
    <xf numFmtId="167" fontId="58" fillId="0" borderId="39" xfId="2" applyNumberFormat="1" applyFont="1" applyBorder="1" applyAlignment="1">
      <alignment horizontal="center" vertical="center"/>
    </xf>
    <xf numFmtId="167" fontId="57" fillId="0" borderId="40" xfId="2" applyNumberFormat="1" applyFont="1" applyBorder="1" applyAlignment="1">
      <alignment horizontal="center" vertical="center"/>
    </xf>
    <xf numFmtId="1" fontId="57" fillId="10" borderId="4" xfId="2" applyNumberFormat="1" applyFont="1" applyFill="1" applyBorder="1" applyAlignment="1">
      <alignment horizontal="center" vertical="center"/>
    </xf>
    <xf numFmtId="0" fontId="57" fillId="7" borderId="5" xfId="2" applyFont="1" applyFill="1" applyBorder="1" applyAlignment="1">
      <alignment horizontal="center" vertical="center"/>
    </xf>
    <xf numFmtId="0" fontId="65" fillId="2" borderId="10" xfId="2" applyFont="1" applyFill="1" applyBorder="1" applyAlignment="1">
      <alignment horizontal="center" vertical="center"/>
    </xf>
    <xf numFmtId="0" fontId="57" fillId="2" borderId="19" xfId="2" applyFont="1" applyFill="1" applyBorder="1" applyAlignment="1">
      <alignment horizontal="left" vertical="center"/>
    </xf>
    <xf numFmtId="166" fontId="63" fillId="7" borderId="67" xfId="2" applyNumberFormat="1" applyFont="1" applyFill="1" applyBorder="1" applyAlignment="1">
      <alignment horizontal="center" vertical="center" wrapText="1"/>
    </xf>
    <xf numFmtId="0" fontId="59" fillId="34" borderId="10" xfId="5" applyFont="1" applyFill="1" applyBorder="1" applyAlignment="1">
      <alignment horizontal="center" vertical="center"/>
    </xf>
    <xf numFmtId="166" fontId="59" fillId="34" borderId="19" xfId="5" applyNumberFormat="1" applyFont="1" applyFill="1" applyBorder="1" applyAlignment="1">
      <alignment horizontal="center" vertical="center"/>
    </xf>
    <xf numFmtId="0" fontId="61" fillId="36" borderId="19" xfId="5" applyFont="1" applyFill="1" applyBorder="1" applyAlignment="1">
      <alignment horizontal="center" vertical="center"/>
    </xf>
    <xf numFmtId="0" fontId="61" fillId="36" borderId="10" xfId="5" applyFont="1" applyFill="1" applyBorder="1" applyAlignment="1">
      <alignment horizontal="center" vertical="center"/>
    </xf>
    <xf numFmtId="0" fontId="61" fillId="36" borderId="19" xfId="5" applyFont="1" applyFill="1" applyBorder="1" applyAlignment="1">
      <alignment horizontal="left" vertical="center"/>
    </xf>
    <xf numFmtId="0" fontId="61" fillId="35" borderId="10" xfId="5" applyFont="1" applyFill="1" applyBorder="1" applyAlignment="1">
      <alignment horizontal="center" vertical="center"/>
    </xf>
    <xf numFmtId="0" fontId="61" fillId="2" borderId="39" xfId="5" applyFont="1" applyFill="1" applyBorder="1" applyAlignment="1">
      <alignment horizontal="left" vertical="center"/>
    </xf>
    <xf numFmtId="0" fontId="57" fillId="7" borderId="6" xfId="5" applyFont="1" applyFill="1" applyBorder="1" applyAlignment="1">
      <alignment horizontal="center" vertical="center"/>
    </xf>
    <xf numFmtId="166" fontId="57" fillId="7" borderId="54" xfId="5" applyNumberFormat="1" applyFont="1" applyFill="1" applyBorder="1" applyAlignment="1">
      <alignment horizontal="center" vertical="center"/>
    </xf>
    <xf numFmtId="0" fontId="53" fillId="2" borderId="44" xfId="5" applyFont="1" applyFill="1" applyBorder="1" applyAlignment="1">
      <alignment horizontal="center" vertical="center"/>
    </xf>
    <xf numFmtId="0" fontId="53" fillId="2" borderId="67" xfId="5" applyFont="1" applyFill="1" applyBorder="1" applyAlignment="1">
      <alignment horizontal="left" vertical="center"/>
    </xf>
    <xf numFmtId="166" fontId="57" fillId="2" borderId="0" xfId="5" applyNumberFormat="1" applyFont="1" applyFill="1" applyAlignment="1">
      <alignment horizontal="center" vertical="center"/>
    </xf>
    <xf numFmtId="166" fontId="66" fillId="7" borderId="51" xfId="2" applyNumberFormat="1" applyFont="1" applyFill="1" applyBorder="1" applyAlignment="1">
      <alignment horizontal="center" vertical="center" wrapText="1"/>
    </xf>
    <xf numFmtId="0" fontId="57" fillId="7" borderId="37" xfId="2" applyFont="1" applyFill="1" applyBorder="1" applyAlignment="1">
      <alignment horizontal="center" vertical="center"/>
    </xf>
    <xf numFmtId="0" fontId="53" fillId="37" borderId="59" xfId="1" applyFont="1" applyFill="1" applyBorder="1" applyAlignment="1">
      <alignment horizontal="center" vertical="center"/>
    </xf>
    <xf numFmtId="0" fontId="53" fillId="37" borderId="57" xfId="1" applyFont="1" applyFill="1" applyBorder="1" applyAlignment="1">
      <alignment horizontal="center" vertical="center"/>
    </xf>
    <xf numFmtId="0" fontId="53" fillId="37" borderId="60" xfId="1" applyFont="1" applyFill="1" applyBorder="1" applyAlignment="1">
      <alignment horizontal="center" vertical="center"/>
    </xf>
    <xf numFmtId="0" fontId="53" fillId="37" borderId="5" xfId="2" applyFont="1" applyFill="1" applyBorder="1" applyAlignment="1">
      <alignment horizontal="center" vertical="center"/>
    </xf>
    <xf numFmtId="0" fontId="53" fillId="36" borderId="10" xfId="5" applyFont="1" applyFill="1" applyBorder="1" applyAlignment="1">
      <alignment horizontal="center" vertical="center"/>
    </xf>
    <xf numFmtId="166" fontId="53" fillId="36" borderId="19" xfId="5" applyNumberFormat="1" applyFont="1" applyFill="1" applyBorder="1" applyAlignment="1">
      <alignment horizontal="center" vertical="center"/>
    </xf>
    <xf numFmtId="0" fontId="57" fillId="36" borderId="10" xfId="5" applyFont="1" applyFill="1" applyBorder="1" applyAlignment="1">
      <alignment horizontal="center" vertical="center"/>
    </xf>
    <xf numFmtId="0" fontId="57" fillId="36" borderId="19" xfId="5" applyFont="1" applyFill="1" applyBorder="1" applyAlignment="1">
      <alignment horizontal="left" vertical="center"/>
    </xf>
    <xf numFmtId="166" fontId="56" fillId="7" borderId="39" xfId="2" applyNumberFormat="1" applyFont="1" applyFill="1" applyBorder="1" applyAlignment="1">
      <alignment horizontal="center" vertical="center" wrapText="1"/>
    </xf>
    <xf numFmtId="0" fontId="53" fillId="2" borderId="50" xfId="2" applyFont="1" applyFill="1" applyBorder="1" applyAlignment="1">
      <alignment horizontal="center" vertical="center" wrapText="1"/>
    </xf>
    <xf numFmtId="0" fontId="53" fillId="36" borderId="50" xfId="5" applyFont="1" applyFill="1" applyBorder="1" applyAlignment="1">
      <alignment horizontal="center" vertical="center"/>
    </xf>
    <xf numFmtId="166" fontId="53" fillId="36" borderId="39" xfId="5" applyNumberFormat="1" applyFont="1" applyFill="1" applyBorder="1" applyAlignment="1">
      <alignment horizontal="center" vertical="center"/>
    </xf>
    <xf numFmtId="0" fontId="61" fillId="36" borderId="39" xfId="5" applyFont="1" applyFill="1" applyBorder="1" applyAlignment="1">
      <alignment horizontal="center" vertical="center"/>
    </xf>
    <xf numFmtId="0" fontId="57" fillId="36" borderId="50" xfId="5" applyFont="1" applyFill="1" applyBorder="1" applyAlignment="1">
      <alignment horizontal="center" vertical="center"/>
    </xf>
    <xf numFmtId="0" fontId="57" fillId="36" borderId="39" xfId="5" applyFont="1" applyFill="1" applyBorder="1" applyAlignment="1">
      <alignment horizontal="left" vertical="center"/>
    </xf>
    <xf numFmtId="0" fontId="59" fillId="7" borderId="44" xfId="5" applyFont="1" applyFill="1" applyBorder="1" applyAlignment="1">
      <alignment horizontal="center" vertical="center"/>
    </xf>
    <xf numFmtId="166" fontId="59" fillId="7" borderId="67" xfId="5" applyNumberFormat="1" applyFont="1" applyFill="1" applyBorder="1" applyAlignment="1">
      <alignment horizontal="center" vertical="center"/>
    </xf>
    <xf numFmtId="0" fontId="61" fillId="0" borderId="67" xfId="5" applyFont="1" applyBorder="1" applyAlignment="1">
      <alignment horizontal="center" vertical="center"/>
    </xf>
    <xf numFmtId="0" fontId="61" fillId="0" borderId="44" xfId="5" applyFont="1" applyBorder="1" applyAlignment="1">
      <alignment horizontal="center" vertical="center"/>
    </xf>
    <xf numFmtId="170" fontId="53" fillId="2" borderId="39" xfId="2" applyNumberFormat="1" applyFont="1" applyFill="1" applyBorder="1" applyAlignment="1">
      <alignment horizontal="center" vertical="center"/>
    </xf>
    <xf numFmtId="166" fontId="101" fillId="7" borderId="19" xfId="2" applyNumberFormat="1" applyFont="1" applyFill="1" applyBorder="1" applyAlignment="1">
      <alignment horizontal="center" vertical="center"/>
    </xf>
    <xf numFmtId="0" fontId="99" fillId="22" borderId="57" xfId="6" applyFont="1" applyFill="1" applyBorder="1" applyAlignment="1">
      <alignment horizontal="center" vertical="center"/>
    </xf>
    <xf numFmtId="166" fontId="99" fillId="22" borderId="57" xfId="6" applyNumberFormat="1" applyFont="1" applyFill="1" applyBorder="1" applyAlignment="1">
      <alignment horizontal="center" vertical="center"/>
    </xf>
    <xf numFmtId="0" fontId="85" fillId="22" borderId="10" xfId="6" applyFont="1" applyFill="1" applyBorder="1" applyAlignment="1">
      <alignment horizontal="center" vertical="center"/>
    </xf>
    <xf numFmtId="0" fontId="85" fillId="22" borderId="18" xfId="6" applyFont="1" applyFill="1" applyBorder="1" applyAlignment="1">
      <alignment horizontal="center" vertical="center"/>
    </xf>
    <xf numFmtId="0" fontId="85" fillId="32" borderId="18" xfId="6" applyFont="1" applyFill="1" applyBorder="1" applyAlignment="1">
      <alignment horizontal="left" vertical="center"/>
    </xf>
    <xf numFmtId="166" fontId="96" fillId="7" borderId="57" xfId="2" applyNumberFormat="1" applyFont="1" applyFill="1" applyBorder="1" applyAlignment="1">
      <alignment horizontal="center" vertical="center" wrapText="1"/>
    </xf>
    <xf numFmtId="0" fontId="102" fillId="2" borderId="44" xfId="2" applyFont="1" applyFill="1" applyBorder="1" applyAlignment="1">
      <alignment horizontal="center" vertical="center"/>
    </xf>
    <xf numFmtId="0" fontId="97" fillId="0" borderId="44" xfId="2" applyFont="1" applyBorder="1" applyAlignment="1">
      <alignment horizontal="center" vertical="center"/>
    </xf>
    <xf numFmtId="0" fontId="99" fillId="7" borderId="64" xfId="5" applyFont="1" applyFill="1" applyBorder="1" applyAlignment="1">
      <alignment horizontal="center" vertical="center"/>
    </xf>
    <xf numFmtId="166" fontId="99" fillId="7" borderId="64" xfId="5" applyNumberFormat="1" applyFont="1" applyFill="1" applyBorder="1" applyAlignment="1">
      <alignment horizontal="center" vertical="center"/>
    </xf>
    <xf numFmtId="0" fontId="85" fillId="2" borderId="20" xfId="5" applyFont="1" applyFill="1" applyBorder="1" applyAlignment="1">
      <alignment horizontal="center" vertical="center"/>
    </xf>
    <xf numFmtId="0" fontId="85" fillId="2" borderId="13" xfId="5" applyFont="1" applyFill="1" applyBorder="1" applyAlignment="1">
      <alignment horizontal="center" vertical="center"/>
    </xf>
    <xf numFmtId="0" fontId="85" fillId="2" borderId="13" xfId="5" applyFont="1" applyFill="1" applyBorder="1" applyAlignment="1">
      <alignment horizontal="left" vertical="center"/>
    </xf>
    <xf numFmtId="0" fontId="89" fillId="15" borderId="57" xfId="5" applyFont="1" applyFill="1" applyBorder="1" applyAlignment="1">
      <alignment horizontal="center" vertical="center"/>
    </xf>
    <xf numFmtId="166" fontId="89" fillId="15" borderId="57" xfId="5" applyNumberFormat="1" applyFont="1" applyFill="1" applyBorder="1" applyAlignment="1">
      <alignment horizontal="center" vertical="center"/>
    </xf>
    <xf numFmtId="0" fontId="89" fillId="2" borderId="10" xfId="5" applyFont="1" applyFill="1" applyBorder="1" applyAlignment="1">
      <alignment horizontal="center" vertical="center"/>
    </xf>
    <xf numFmtId="0" fontId="89" fillId="2" borderId="18" xfId="5" applyFont="1" applyFill="1" applyBorder="1" applyAlignment="1">
      <alignment horizontal="center" vertical="center"/>
    </xf>
    <xf numFmtId="0" fontId="89" fillId="8" borderId="18" xfId="5" applyFont="1" applyFill="1" applyBorder="1" applyAlignment="1">
      <alignment horizontal="left" vertical="center"/>
    </xf>
    <xf numFmtId="0" fontId="89" fillId="8" borderId="18" xfId="5" applyFont="1" applyFill="1" applyBorder="1" applyAlignment="1">
      <alignment horizontal="center" vertical="center"/>
    </xf>
    <xf numFmtId="0" fontId="100" fillId="38" borderId="38" xfId="5" applyFont="1" applyFill="1" applyBorder="1" applyAlignment="1">
      <alignment horizontal="center" vertical="center"/>
    </xf>
    <xf numFmtId="166" fontId="100" fillId="38" borderId="38" xfId="5" applyNumberFormat="1" applyFont="1" applyFill="1" applyBorder="1" applyAlignment="1">
      <alignment horizontal="center" vertical="center"/>
    </xf>
    <xf numFmtId="0" fontId="89" fillId="32" borderId="50" xfId="5" applyFont="1" applyFill="1" applyBorder="1" applyAlignment="1">
      <alignment horizontal="center" vertical="center"/>
    </xf>
    <xf numFmtId="0" fontId="89" fillId="32" borderId="40" xfId="5" applyFont="1" applyFill="1" applyBorder="1" applyAlignment="1">
      <alignment horizontal="center" vertical="center"/>
    </xf>
    <xf numFmtId="0" fontId="89" fillId="32" borderId="40" xfId="5" applyFont="1" applyFill="1" applyBorder="1" applyAlignment="1">
      <alignment horizontal="left" vertical="center"/>
    </xf>
    <xf numFmtId="0" fontId="85" fillId="2" borderId="33" xfId="6" applyFont="1" applyFill="1" applyBorder="1" applyAlignment="1">
      <alignment horizontal="left" vertical="center"/>
    </xf>
    <xf numFmtId="0" fontId="85" fillId="2" borderId="34" xfId="6" applyFont="1" applyFill="1" applyBorder="1" applyAlignment="1">
      <alignment horizontal="center" vertical="center"/>
    </xf>
    <xf numFmtId="0" fontId="100" fillId="15" borderId="45" xfId="6" applyFont="1" applyFill="1" applyBorder="1" applyAlignment="1">
      <alignment horizontal="center" vertical="center"/>
    </xf>
    <xf numFmtId="166" fontId="100" fillId="15" borderId="45" xfId="6" applyNumberFormat="1" applyFont="1" applyFill="1" applyBorder="1" applyAlignment="1">
      <alignment horizontal="center" vertical="center"/>
    </xf>
    <xf numFmtId="0" fontId="89" fillId="2" borderId="44" xfId="6" applyFont="1" applyFill="1" applyBorder="1" applyAlignment="1">
      <alignment horizontal="center" vertical="center"/>
    </xf>
    <xf numFmtId="0" fontId="89" fillId="2" borderId="62" xfId="6" applyFont="1" applyFill="1" applyBorder="1" applyAlignment="1">
      <alignment horizontal="center" vertical="center"/>
    </xf>
    <xf numFmtId="0" fontId="89" fillId="8" borderId="66" xfId="6" applyFont="1" applyFill="1" applyBorder="1" applyAlignment="1">
      <alignment horizontal="left" vertical="center"/>
    </xf>
    <xf numFmtId="0" fontId="89" fillId="8" borderId="47" xfId="6" applyFont="1" applyFill="1" applyBorder="1" applyAlignment="1">
      <alignment horizontal="center" vertical="center"/>
    </xf>
    <xf numFmtId="0" fontId="100" fillId="15" borderId="57" xfId="6" applyFont="1" applyFill="1" applyBorder="1" applyAlignment="1">
      <alignment horizontal="center" vertical="center"/>
    </xf>
    <xf numFmtId="166" fontId="100" fillId="15" borderId="57" xfId="6" applyNumberFormat="1" applyFont="1" applyFill="1" applyBorder="1" applyAlignment="1">
      <alignment horizontal="center" vertical="center"/>
    </xf>
    <xf numFmtId="0" fontId="89" fillId="8" borderId="15" xfId="6" applyFont="1" applyFill="1" applyBorder="1" applyAlignment="1">
      <alignment horizontal="left" vertical="center"/>
    </xf>
    <xf numFmtId="0" fontId="85" fillId="7" borderId="57" xfId="6" applyFont="1" applyFill="1" applyBorder="1" applyAlignment="1">
      <alignment horizontal="center" vertical="center"/>
    </xf>
    <xf numFmtId="166" fontId="85" fillId="7" borderId="57" xfId="6" applyNumberFormat="1" applyFont="1" applyFill="1" applyBorder="1" applyAlignment="1">
      <alignment horizontal="center" vertical="center"/>
    </xf>
    <xf numFmtId="0" fontId="85" fillId="2" borderId="15" xfId="6" applyFont="1" applyFill="1" applyBorder="1" applyAlignment="1">
      <alignment horizontal="left" vertical="center"/>
    </xf>
    <xf numFmtId="0" fontId="99" fillId="7" borderId="64" xfId="6" applyFont="1" applyFill="1" applyBorder="1" applyAlignment="1">
      <alignment horizontal="center" vertical="center"/>
    </xf>
    <xf numFmtId="166" fontId="99" fillId="7" borderId="64" xfId="6" applyNumberFormat="1" applyFont="1" applyFill="1" applyBorder="1" applyAlignment="1">
      <alignment horizontal="center" vertical="center"/>
    </xf>
    <xf numFmtId="0" fontId="89" fillId="2" borderId="13" xfId="6" applyFont="1" applyFill="1" applyBorder="1" applyAlignment="1">
      <alignment horizontal="center" vertical="center"/>
    </xf>
    <xf numFmtId="0" fontId="89" fillId="8" borderId="7" xfId="6" applyFont="1" applyFill="1" applyBorder="1" applyAlignment="1">
      <alignment horizontal="left" vertical="center"/>
    </xf>
    <xf numFmtId="0" fontId="85" fillId="2" borderId="53" xfId="6" applyFont="1" applyFill="1" applyBorder="1" applyAlignment="1">
      <alignment horizontal="center" vertical="center"/>
    </xf>
    <xf numFmtId="0" fontId="99" fillId="7" borderId="57" xfId="3" applyFont="1" applyFill="1" applyBorder="1" applyAlignment="1">
      <alignment horizontal="center" vertical="center"/>
    </xf>
    <xf numFmtId="166" fontId="99" fillId="7" borderId="57" xfId="3" applyNumberFormat="1" applyFont="1" applyFill="1" applyBorder="1" applyAlignment="1">
      <alignment horizontal="center" vertical="center"/>
    </xf>
    <xf numFmtId="0" fontId="99" fillId="2" borderId="10" xfId="3" applyFont="1" applyFill="1" applyBorder="1" applyAlignment="1">
      <alignment horizontal="center" vertical="center"/>
    </xf>
    <xf numFmtId="0" fontId="85" fillId="2" borderId="18" xfId="3" applyFont="1" applyFill="1" applyBorder="1" applyAlignment="1">
      <alignment horizontal="center" vertical="center"/>
    </xf>
    <xf numFmtId="0" fontId="85" fillId="2" borderId="15" xfId="3" applyFont="1" applyFill="1" applyBorder="1" applyAlignment="1">
      <alignment horizontal="left" vertical="center"/>
    </xf>
    <xf numFmtId="0" fontId="89" fillId="2" borderId="18" xfId="6" applyFont="1" applyFill="1" applyBorder="1" applyAlignment="1">
      <alignment horizontal="center" vertical="center"/>
    </xf>
    <xf numFmtId="0" fontId="85" fillId="7" borderId="60" xfId="6" applyFont="1" applyFill="1" applyBorder="1" applyAlignment="1">
      <alignment horizontal="center" vertical="center"/>
    </xf>
    <xf numFmtId="166" fontId="85" fillId="7" borderId="60" xfId="6" applyNumberFormat="1" applyFont="1" applyFill="1" applyBorder="1" applyAlignment="1">
      <alignment horizontal="center" vertical="center"/>
    </xf>
    <xf numFmtId="0" fontId="85" fillId="2" borderId="61" xfId="6" applyFont="1" applyFill="1" applyBorder="1" applyAlignment="1">
      <alignment horizontal="center" vertical="center"/>
    </xf>
    <xf numFmtId="0" fontId="85" fillId="2" borderId="27" xfId="6" applyFont="1" applyFill="1" applyBorder="1" applyAlignment="1">
      <alignment horizontal="left" vertical="center"/>
    </xf>
    <xf numFmtId="166" fontId="103" fillId="7" borderId="54" xfId="2" applyNumberFormat="1" applyFont="1" applyFill="1" applyBorder="1" applyAlignment="1">
      <alignment horizontal="center" vertical="center"/>
    </xf>
    <xf numFmtId="0" fontId="100" fillId="15" borderId="1" xfId="6" applyFont="1" applyFill="1" applyBorder="1" applyAlignment="1">
      <alignment horizontal="center" vertical="center"/>
    </xf>
    <xf numFmtId="166" fontId="100" fillId="15" borderId="1" xfId="6" applyNumberFormat="1" applyFont="1" applyFill="1" applyBorder="1" applyAlignment="1">
      <alignment horizontal="center" vertical="center"/>
    </xf>
    <xf numFmtId="0" fontId="89" fillId="8" borderId="41" xfId="6" applyFont="1" applyFill="1" applyBorder="1" applyAlignment="1">
      <alignment horizontal="center" vertical="center"/>
    </xf>
    <xf numFmtId="0" fontId="89" fillId="8" borderId="12" xfId="6" applyFont="1" applyFill="1" applyBorder="1" applyAlignment="1">
      <alignment horizontal="center" vertical="center"/>
    </xf>
    <xf numFmtId="0" fontId="89" fillId="8" borderId="12" xfId="6" applyFont="1" applyFill="1" applyBorder="1" applyAlignment="1">
      <alignment horizontal="left" vertical="center"/>
    </xf>
    <xf numFmtId="0" fontId="85" fillId="2" borderId="12" xfId="6" applyFont="1" applyFill="1" applyBorder="1" applyAlignment="1">
      <alignment horizontal="center" vertical="center"/>
    </xf>
    <xf numFmtId="0" fontId="100" fillId="15" borderId="64" xfId="6" applyFont="1" applyFill="1" applyBorder="1" applyAlignment="1">
      <alignment horizontal="center" vertical="center"/>
    </xf>
    <xf numFmtId="166" fontId="100" fillId="15" borderId="64" xfId="6" applyNumberFormat="1" applyFont="1" applyFill="1" applyBorder="1" applyAlignment="1">
      <alignment horizontal="center" vertical="center"/>
    </xf>
    <xf numFmtId="0" fontId="89" fillId="8" borderId="13" xfId="6" applyFont="1" applyFill="1" applyBorder="1" applyAlignment="1">
      <alignment horizontal="center" vertical="center"/>
    </xf>
    <xf numFmtId="0" fontId="89" fillId="8" borderId="13" xfId="6" applyFont="1" applyFill="1" applyBorder="1" applyAlignment="1">
      <alignment horizontal="left" vertical="center"/>
    </xf>
    <xf numFmtId="0" fontId="85" fillId="2" borderId="13" xfId="6" applyFont="1" applyFill="1" applyBorder="1" applyAlignment="1">
      <alignment horizontal="center" vertical="center"/>
    </xf>
    <xf numFmtId="0" fontId="99" fillId="2" borderId="18" xfId="6" applyFont="1" applyFill="1" applyBorder="1" applyAlignment="1">
      <alignment horizontal="left" vertical="center"/>
    </xf>
    <xf numFmtId="0" fontId="89" fillId="8" borderId="18" xfId="6" applyFont="1" applyFill="1" applyBorder="1" applyAlignment="1">
      <alignment horizontal="left" vertical="center"/>
    </xf>
    <xf numFmtId="0" fontId="89" fillId="15" borderId="64" xfId="6" applyFont="1" applyFill="1" applyBorder="1" applyAlignment="1">
      <alignment horizontal="center" vertical="center"/>
    </xf>
    <xf numFmtId="166" fontId="89" fillId="15" borderId="64" xfId="6" applyNumberFormat="1" applyFont="1" applyFill="1" applyBorder="1" applyAlignment="1">
      <alignment horizontal="center" vertical="center"/>
    </xf>
    <xf numFmtId="166" fontId="104" fillId="7" borderId="57" xfId="2" applyNumberFormat="1" applyFont="1" applyFill="1" applyBorder="1" applyAlignment="1">
      <alignment horizontal="center" vertical="center" wrapText="1"/>
    </xf>
    <xf numFmtId="166" fontId="104" fillId="7" borderId="19" xfId="2" applyNumberFormat="1" applyFont="1" applyFill="1" applyBorder="1" applyAlignment="1">
      <alignment horizontal="center" vertical="center" wrapText="1"/>
    </xf>
    <xf numFmtId="164" fontId="89" fillId="8" borderId="18" xfId="6" applyNumberFormat="1" applyFont="1" applyFill="1" applyBorder="1" applyAlignment="1">
      <alignment horizontal="center" vertical="center"/>
    </xf>
    <xf numFmtId="0" fontId="99" fillId="7" borderId="45" xfId="6" applyFont="1" applyFill="1" applyBorder="1" applyAlignment="1">
      <alignment horizontal="center" vertical="center"/>
    </xf>
    <xf numFmtId="0" fontId="99" fillId="2" borderId="44" xfId="6" applyFont="1" applyFill="1" applyBorder="1" applyAlignment="1">
      <alignment horizontal="center" vertical="center"/>
    </xf>
    <xf numFmtId="0" fontId="85" fillId="2" borderId="62" xfId="6" applyFont="1" applyFill="1" applyBorder="1" applyAlignment="1">
      <alignment horizontal="center" vertical="center"/>
    </xf>
    <xf numFmtId="0" fontId="99" fillId="2" borderId="62" xfId="6" applyFont="1" applyFill="1" applyBorder="1" applyAlignment="1">
      <alignment horizontal="left" vertical="center"/>
    </xf>
    <xf numFmtId="0" fontId="99" fillId="2" borderId="62" xfId="6" applyFont="1" applyFill="1" applyBorder="1" applyAlignment="1">
      <alignment horizontal="center" vertical="center"/>
    </xf>
    <xf numFmtId="0" fontId="62" fillId="7" borderId="19" xfId="2" applyFont="1" applyFill="1" applyBorder="1" applyAlignment="1">
      <alignment horizontal="center" vertical="center" wrapText="1"/>
    </xf>
    <xf numFmtId="0" fontId="99" fillId="7" borderId="19" xfId="2" applyFont="1" applyFill="1" applyBorder="1" applyAlignment="1">
      <alignment horizontal="center" vertical="center"/>
    </xf>
    <xf numFmtId="166" fontId="104" fillId="7" borderId="45" xfId="2" applyNumberFormat="1" applyFont="1" applyFill="1" applyBorder="1" applyAlignment="1">
      <alignment horizontal="center" vertical="center" wrapText="1"/>
    </xf>
    <xf numFmtId="166" fontId="62" fillId="7" borderId="67" xfId="2" applyNumberFormat="1" applyFont="1" applyFill="1" applyBorder="1" applyAlignment="1">
      <alignment horizontal="center" vertical="center"/>
    </xf>
    <xf numFmtId="0" fontId="99" fillId="32" borderId="57" xfId="6" applyFont="1" applyFill="1" applyBorder="1" applyAlignment="1">
      <alignment horizontal="center" vertical="center"/>
    </xf>
    <xf numFmtId="166" fontId="99" fillId="32" borderId="57" xfId="6" applyNumberFormat="1" applyFont="1" applyFill="1" applyBorder="1" applyAlignment="1">
      <alignment horizontal="center" vertical="center"/>
    </xf>
    <xf numFmtId="0" fontId="85" fillId="32" borderId="10" xfId="6" applyFont="1" applyFill="1" applyBorder="1" applyAlignment="1">
      <alignment horizontal="center" vertical="center"/>
    </xf>
    <xf numFmtId="0" fontId="85" fillId="32" borderId="18" xfId="6" applyFont="1" applyFill="1" applyBorder="1" applyAlignment="1">
      <alignment horizontal="center" vertical="center"/>
    </xf>
    <xf numFmtId="0" fontId="48" fillId="7" borderId="35" xfId="2" applyFont="1" applyFill="1" applyBorder="1" applyAlignment="1">
      <alignment horizontal="center" vertical="center" wrapText="1"/>
    </xf>
    <xf numFmtId="0" fontId="99" fillId="0" borderId="23" xfId="2" applyFont="1" applyBorder="1" applyAlignment="1">
      <alignment horizontal="center" vertical="center"/>
    </xf>
    <xf numFmtId="0" fontId="99" fillId="7" borderId="35" xfId="2" applyFont="1" applyFill="1" applyBorder="1" applyAlignment="1">
      <alignment horizontal="center" vertical="center"/>
    </xf>
    <xf numFmtId="0" fontId="99" fillId="0" borderId="35" xfId="2" applyFont="1" applyBorder="1" applyAlignment="1">
      <alignment horizontal="center" vertical="center"/>
    </xf>
    <xf numFmtId="0" fontId="99" fillId="7" borderId="60" xfId="6" applyFont="1" applyFill="1" applyBorder="1" applyAlignment="1">
      <alignment horizontal="center" vertical="center"/>
    </xf>
    <xf numFmtId="166" fontId="99" fillId="7" borderId="60" xfId="6" applyNumberFormat="1" applyFont="1" applyFill="1" applyBorder="1" applyAlignment="1">
      <alignment horizontal="center" vertical="center"/>
    </xf>
    <xf numFmtId="0" fontId="85" fillId="2" borderId="61" xfId="6" applyFont="1" applyFill="1" applyBorder="1" applyAlignment="1">
      <alignment horizontal="left" vertical="center"/>
    </xf>
    <xf numFmtId="0" fontId="100" fillId="15" borderId="37" xfId="6" applyFont="1" applyFill="1" applyBorder="1" applyAlignment="1">
      <alignment horizontal="center" vertical="center"/>
    </xf>
    <xf numFmtId="166" fontId="100" fillId="15" borderId="37" xfId="6" applyNumberFormat="1" applyFont="1" applyFill="1" applyBorder="1" applyAlignment="1">
      <alignment horizontal="center" vertical="center"/>
    </xf>
    <xf numFmtId="0" fontId="89" fillId="2" borderId="5" xfId="6" applyFont="1" applyFill="1" applyBorder="1" applyAlignment="1">
      <alignment horizontal="center" vertical="center"/>
    </xf>
    <xf numFmtId="0" fontId="89" fillId="2" borderId="4" xfId="6" applyFont="1" applyFill="1" applyBorder="1" applyAlignment="1">
      <alignment horizontal="center" vertical="center"/>
    </xf>
    <xf numFmtId="0" fontId="89" fillId="8" borderId="4" xfId="6" applyFont="1" applyFill="1" applyBorder="1" applyAlignment="1">
      <alignment horizontal="left" vertical="center"/>
    </xf>
    <xf numFmtId="0" fontId="89" fillId="8" borderId="4" xfId="6" applyFont="1" applyFill="1" applyBorder="1" applyAlignment="1">
      <alignment horizontal="center" vertical="center"/>
    </xf>
    <xf numFmtId="0" fontId="99" fillId="7" borderId="38" xfId="5" applyFont="1" applyFill="1" applyBorder="1" applyAlignment="1">
      <alignment horizontal="center" vertical="center"/>
    </xf>
    <xf numFmtId="166" fontId="99" fillId="7" borderId="14" xfId="5" applyNumberFormat="1" applyFont="1" applyFill="1" applyBorder="1" applyAlignment="1">
      <alignment horizontal="center" vertical="center"/>
    </xf>
    <xf numFmtId="0" fontId="89" fillId="2" borderId="14" xfId="5" applyFont="1" applyFill="1" applyBorder="1" applyAlignment="1">
      <alignment horizontal="center" vertical="center"/>
    </xf>
    <xf numFmtId="0" fontId="85" fillId="2" borderId="14" xfId="5" applyFont="1" applyFill="1" applyBorder="1" applyAlignment="1">
      <alignment horizontal="center" vertical="center"/>
    </xf>
    <xf numFmtId="0" fontId="85" fillId="2" borderId="14" xfId="5" applyFont="1" applyFill="1" applyBorder="1" applyAlignment="1">
      <alignment horizontal="left" vertical="center"/>
    </xf>
    <xf numFmtId="0" fontId="99" fillId="7" borderId="37" xfId="5" applyFont="1" applyFill="1" applyBorder="1" applyAlignment="1">
      <alignment horizontal="center" vertical="center"/>
    </xf>
    <xf numFmtId="166" fontId="99" fillId="7" borderId="41" xfId="5" applyNumberFormat="1" applyFont="1" applyFill="1" applyBorder="1" applyAlignment="1">
      <alignment horizontal="center" vertical="center"/>
    </xf>
    <xf numFmtId="0" fontId="85" fillId="2" borderId="41" xfId="5" applyFont="1" applyFill="1" applyBorder="1" applyAlignment="1">
      <alignment horizontal="center" vertical="center"/>
    </xf>
    <xf numFmtId="0" fontId="89" fillId="2" borderId="41" xfId="5" applyFont="1" applyFill="1" applyBorder="1" applyAlignment="1">
      <alignment horizontal="center" vertical="center"/>
    </xf>
    <xf numFmtId="0" fontId="85" fillId="2" borderId="41" xfId="5" applyFont="1" applyFill="1" applyBorder="1" applyAlignment="1">
      <alignment horizontal="left" vertical="center"/>
    </xf>
    <xf numFmtId="0" fontId="99" fillId="7" borderId="5" xfId="5" applyFont="1" applyFill="1" applyBorder="1" applyAlignment="1">
      <alignment horizontal="center" vertical="center"/>
    </xf>
    <xf numFmtId="166" fontId="99" fillId="7" borderId="5" xfId="5" applyNumberFormat="1" applyFont="1" applyFill="1" applyBorder="1" applyAlignment="1">
      <alignment horizontal="center" vertical="center"/>
    </xf>
    <xf numFmtId="0" fontId="85" fillId="2" borderId="5" xfId="5" applyFont="1" applyFill="1" applyBorder="1" applyAlignment="1">
      <alignment horizontal="center" vertical="center"/>
    </xf>
    <xf numFmtId="0" fontId="85" fillId="2" borderId="5" xfId="5" applyFont="1" applyFill="1" applyBorder="1" applyAlignment="1">
      <alignment horizontal="left" vertical="center"/>
    </xf>
    <xf numFmtId="0" fontId="100" fillId="15" borderId="37" xfId="5" applyFont="1" applyFill="1" applyBorder="1" applyAlignment="1">
      <alignment horizontal="center" vertical="center"/>
    </xf>
    <xf numFmtId="166" fontId="100" fillId="15" borderId="5" xfId="5" applyNumberFormat="1" applyFont="1" applyFill="1" applyBorder="1" applyAlignment="1">
      <alignment horizontal="center" vertical="center"/>
    </xf>
    <xf numFmtId="0" fontId="89" fillId="8" borderId="4" xfId="5" applyFont="1" applyFill="1" applyBorder="1" applyAlignment="1">
      <alignment horizontal="center" vertical="center"/>
    </xf>
    <xf numFmtId="0" fontId="89" fillId="2" borderId="5" xfId="5" applyFont="1" applyFill="1" applyBorder="1" applyAlignment="1">
      <alignment horizontal="center" vertical="center"/>
    </xf>
    <xf numFmtId="0" fontId="89" fillId="2" borderId="3" xfId="5" applyFont="1" applyFill="1" applyBorder="1" applyAlignment="1">
      <alignment horizontal="center" vertical="center"/>
    </xf>
    <xf numFmtId="0" fontId="89" fillId="8" borderId="5" xfId="5" applyFont="1" applyFill="1" applyBorder="1" applyAlignment="1">
      <alignment horizontal="left" vertical="center"/>
    </xf>
    <xf numFmtId="0" fontId="52" fillId="37" borderId="6" xfId="2" applyFont="1" applyFill="1" applyBorder="1" applyAlignment="1">
      <alignment horizontal="center" vertical="center"/>
    </xf>
    <xf numFmtId="0" fontId="52" fillId="37" borderId="10" xfId="2" applyFont="1" applyFill="1" applyBorder="1" applyAlignment="1">
      <alignment horizontal="center" vertical="center"/>
    </xf>
    <xf numFmtId="0" fontId="52" fillId="37" borderId="23" xfId="2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0" fontId="85" fillId="7" borderId="6" xfId="6" applyFont="1" applyFill="1" applyBorder="1" applyAlignment="1">
      <alignment horizontal="center" vertical="center"/>
    </xf>
    <xf numFmtId="0" fontId="89" fillId="2" borderId="59" xfId="6" applyFont="1" applyFill="1" applyBorder="1" applyAlignment="1">
      <alignment horizontal="center" vertical="center"/>
    </xf>
    <xf numFmtId="0" fontId="87" fillId="2" borderId="13" xfId="0" applyFont="1" applyFill="1" applyBorder="1" applyAlignment="1">
      <alignment horizontal="center" vertical="center"/>
    </xf>
    <xf numFmtId="0" fontId="87" fillId="30" borderId="10" xfId="0" applyFont="1" applyFill="1" applyBorder="1" applyAlignment="1">
      <alignment horizontal="center" vertical="center"/>
    </xf>
    <xf numFmtId="0" fontId="87" fillId="2" borderId="18" xfId="0" applyFont="1" applyFill="1" applyBorder="1" applyAlignment="1">
      <alignment horizontal="center" vertical="center"/>
    </xf>
    <xf numFmtId="0" fontId="91" fillId="7" borderId="44" xfId="5" applyFont="1" applyFill="1" applyBorder="1" applyAlignment="1">
      <alignment horizontal="center" vertical="center"/>
    </xf>
    <xf numFmtId="166" fontId="91" fillId="7" borderId="45" xfId="5" applyNumberFormat="1" applyFont="1" applyFill="1" applyBorder="1" applyAlignment="1">
      <alignment horizontal="center" vertical="center"/>
    </xf>
    <xf numFmtId="0" fontId="89" fillId="2" borderId="45" xfId="5" applyFont="1" applyFill="1" applyBorder="1" applyAlignment="1">
      <alignment horizontal="center" vertical="center"/>
    </xf>
    <xf numFmtId="0" fontId="89" fillId="2" borderId="62" xfId="5" applyFont="1" applyFill="1" applyBorder="1" applyAlignment="1">
      <alignment horizontal="left" vertical="center"/>
    </xf>
    <xf numFmtId="170" fontId="87" fillId="29" borderId="44" xfId="0" applyNumberFormat="1" applyFont="1" applyFill="1" applyBorder="1" applyAlignment="1">
      <alignment horizontal="center" vertical="center"/>
    </xf>
    <xf numFmtId="0" fontId="89" fillId="2" borderId="57" xfId="6" applyFont="1" applyFill="1" applyBorder="1" applyAlignment="1">
      <alignment horizontal="center" vertical="center"/>
    </xf>
    <xf numFmtId="0" fontId="93" fillId="2" borderId="13" xfId="0" applyFont="1" applyFill="1" applyBorder="1" applyAlignment="1">
      <alignment horizontal="center" vertical="center"/>
    </xf>
    <xf numFmtId="0" fontId="87" fillId="30" borderId="44" xfId="0" applyFont="1" applyFill="1" applyBorder="1" applyAlignment="1">
      <alignment horizontal="center" vertical="center"/>
    </xf>
    <xf numFmtId="166" fontId="88" fillId="30" borderId="23" xfId="0" applyNumberFormat="1" applyFont="1" applyFill="1" applyBorder="1" applyAlignment="1">
      <alignment horizontal="center" vertical="center" wrapText="1"/>
    </xf>
    <xf numFmtId="0" fontId="93" fillId="2" borderId="61" xfId="0" applyFont="1" applyFill="1" applyBorder="1" applyAlignment="1">
      <alignment horizontal="center" vertical="center"/>
    </xf>
    <xf numFmtId="0" fontId="99" fillId="32" borderId="23" xfId="6" applyFont="1" applyFill="1" applyBorder="1" applyAlignment="1">
      <alignment horizontal="center" vertical="center"/>
    </xf>
    <xf numFmtId="166" fontId="99" fillId="32" borderId="60" xfId="6" applyNumberFormat="1" applyFont="1" applyFill="1" applyBorder="1" applyAlignment="1">
      <alignment horizontal="center" vertical="center"/>
    </xf>
    <xf numFmtId="0" fontId="85" fillId="32" borderId="60" xfId="6" applyFont="1" applyFill="1" applyBorder="1" applyAlignment="1">
      <alignment horizontal="center" vertical="center"/>
    </xf>
    <xf numFmtId="0" fontId="85" fillId="32" borderId="23" xfId="6" applyFont="1" applyFill="1" applyBorder="1" applyAlignment="1">
      <alignment horizontal="center" vertical="center"/>
    </xf>
    <xf numFmtId="0" fontId="85" fillId="32" borderId="61" xfId="6" applyFont="1" applyFill="1" applyBorder="1" applyAlignment="1">
      <alignment horizontal="left" vertical="center"/>
    </xf>
    <xf numFmtId="0" fontId="85" fillId="32" borderId="61" xfId="6" applyFont="1" applyFill="1" applyBorder="1" applyAlignment="1">
      <alignment horizontal="center" vertical="center"/>
    </xf>
    <xf numFmtId="166" fontId="59" fillId="15" borderId="0" xfId="5" applyNumberFormat="1" applyFont="1" applyFill="1" applyAlignment="1">
      <alignment horizontal="center" vertical="center"/>
    </xf>
    <xf numFmtId="0" fontId="61" fillId="2" borderId="52" xfId="5" applyFont="1" applyFill="1" applyBorder="1" applyAlignment="1">
      <alignment horizontal="center" vertical="center"/>
    </xf>
    <xf numFmtId="0" fontId="57" fillId="0" borderId="57" xfId="5" applyFont="1" applyBorder="1" applyAlignment="1">
      <alignment horizontal="center" vertical="center"/>
    </xf>
    <xf numFmtId="0" fontId="61" fillId="0" borderId="23" xfId="5" applyFont="1" applyBorder="1" applyAlignment="1">
      <alignment horizontal="center" vertical="center"/>
    </xf>
    <xf numFmtId="0" fontId="57" fillId="0" borderId="35" xfId="5" applyFont="1" applyBorder="1" applyAlignment="1">
      <alignment horizontal="center" vertical="center"/>
    </xf>
    <xf numFmtId="0" fontId="57" fillId="0" borderId="61" xfId="5" applyFont="1" applyBorder="1" applyAlignment="1">
      <alignment horizontal="center" vertical="center"/>
    </xf>
    <xf numFmtId="0" fontId="59" fillId="15" borderId="67" xfId="5" applyFont="1" applyFill="1" applyBorder="1" applyAlignment="1">
      <alignment horizontal="center" vertical="center"/>
    </xf>
    <xf numFmtId="166" fontId="59" fillId="15" borderId="45" xfId="5" applyNumberFormat="1" applyFont="1" applyFill="1" applyBorder="1" applyAlignment="1">
      <alignment horizontal="center" vertical="center"/>
    </xf>
    <xf numFmtId="0" fontId="1" fillId="2" borderId="0" xfId="4" applyFill="1"/>
    <xf numFmtId="0" fontId="3" fillId="3" borderId="37" xfId="4" applyFont="1" applyFill="1" applyBorder="1" applyAlignment="1">
      <alignment horizontal="center" vertical="center"/>
    </xf>
    <xf numFmtId="0" fontId="2" fillId="2" borderId="3" xfId="4" applyFont="1" applyFill="1" applyBorder="1" applyAlignment="1">
      <alignment vertical="center"/>
    </xf>
    <xf numFmtId="0" fontId="41" fillId="10" borderId="37" xfId="4" applyFont="1" applyFill="1" applyBorder="1" applyAlignment="1">
      <alignment horizontal="center" vertical="center"/>
    </xf>
    <xf numFmtId="14" fontId="41" fillId="10" borderId="4" xfId="4" applyNumberFormat="1" applyFont="1" applyFill="1" applyBorder="1" applyAlignment="1">
      <alignment horizontal="center" vertical="center"/>
    </xf>
    <xf numFmtId="14" fontId="23" fillId="10" borderId="4" xfId="4" applyNumberFormat="1" applyFont="1" applyFill="1" applyBorder="1" applyAlignment="1">
      <alignment horizontal="center" vertical="center"/>
    </xf>
    <xf numFmtId="0" fontId="3" fillId="3" borderId="5" xfId="4" applyFont="1" applyFill="1" applyBorder="1" applyAlignment="1">
      <alignment horizontal="center" vertical="center"/>
    </xf>
    <xf numFmtId="0" fontId="3" fillId="2" borderId="59" xfId="4" applyFont="1" applyFill="1" applyBorder="1" applyAlignment="1">
      <alignment horizontal="center" vertical="center"/>
    </xf>
    <xf numFmtId="165" fontId="3" fillId="2" borderId="6" xfId="4" applyNumberFormat="1" applyFont="1" applyFill="1" applyBorder="1" applyAlignment="1">
      <alignment horizontal="center" vertical="center"/>
    </xf>
    <xf numFmtId="165" fontId="3" fillId="2" borderId="34" xfId="4" applyNumberFormat="1" applyFont="1" applyFill="1" applyBorder="1" applyAlignment="1">
      <alignment horizontal="center" vertical="center"/>
    </xf>
    <xf numFmtId="0" fontId="3" fillId="2" borderId="20" xfId="4" applyFont="1" applyFill="1" applyBorder="1" applyAlignment="1">
      <alignment horizontal="center" vertical="center"/>
    </xf>
    <xf numFmtId="165" fontId="3" fillId="2" borderId="20" xfId="4" applyNumberFormat="1" applyFont="1" applyFill="1" applyBorder="1" applyAlignment="1">
      <alignment horizontal="center" vertical="center"/>
    </xf>
    <xf numFmtId="0" fontId="3" fillId="2" borderId="57" xfId="4" applyFont="1" applyFill="1" applyBorder="1" applyAlignment="1">
      <alignment horizontal="center" vertical="center"/>
    </xf>
    <xf numFmtId="165" fontId="3" fillId="2" borderId="49" xfId="4" applyNumberFormat="1" applyFont="1" applyFill="1" applyBorder="1" applyAlignment="1">
      <alignment horizontal="center" vertical="center"/>
    </xf>
    <xf numFmtId="165" fontId="3" fillId="2" borderId="10" xfId="4" applyNumberFormat="1" applyFont="1" applyFill="1" applyBorder="1" applyAlignment="1">
      <alignment horizontal="center" vertical="center"/>
    </xf>
    <xf numFmtId="0" fontId="3" fillId="2" borderId="64" xfId="4" applyFont="1" applyFill="1" applyBorder="1" applyAlignment="1">
      <alignment horizontal="center" vertical="center"/>
    </xf>
    <xf numFmtId="0" fontId="3" fillId="2" borderId="22" xfId="4" applyFont="1" applyFill="1" applyBorder="1" applyAlignment="1">
      <alignment horizontal="center" vertical="center"/>
    </xf>
    <xf numFmtId="165" fontId="3" fillId="2" borderId="53" xfId="4" applyNumberFormat="1" applyFont="1" applyFill="1" applyBorder="1" applyAlignment="1">
      <alignment horizontal="center" vertical="center"/>
    </xf>
    <xf numFmtId="0" fontId="3" fillId="2" borderId="38" xfId="4" applyFont="1" applyFill="1" applyBorder="1" applyAlignment="1">
      <alignment horizontal="center" vertical="center"/>
    </xf>
    <xf numFmtId="165" fontId="3" fillId="2" borderId="50" xfId="4" applyNumberFormat="1" applyFont="1" applyFill="1" applyBorder="1" applyAlignment="1">
      <alignment horizontal="center" vertical="center"/>
    </xf>
    <xf numFmtId="0" fontId="3" fillId="2" borderId="60" xfId="4" applyFont="1" applyFill="1" applyBorder="1" applyAlignment="1">
      <alignment horizontal="center" vertical="center"/>
    </xf>
    <xf numFmtId="165" fontId="3" fillId="2" borderId="36" xfId="4" applyNumberFormat="1" applyFont="1" applyFill="1" applyBorder="1" applyAlignment="1">
      <alignment horizontal="center" vertical="center"/>
    </xf>
    <xf numFmtId="0" fontId="2" fillId="2" borderId="39" xfId="4" applyFont="1" applyFill="1" applyBorder="1" applyAlignment="1">
      <alignment vertical="center"/>
    </xf>
    <xf numFmtId="166" fontId="122" fillId="7" borderId="45" xfId="2" applyNumberFormat="1" applyFont="1" applyFill="1" applyBorder="1" applyAlignment="1">
      <alignment horizontal="center" vertical="center"/>
    </xf>
    <xf numFmtId="0" fontId="124" fillId="0" borderId="44" xfId="2" applyFont="1" applyBorder="1" applyAlignment="1">
      <alignment horizontal="center" vertical="center"/>
    </xf>
    <xf numFmtId="0" fontId="59" fillId="39" borderId="6" xfId="5" applyFont="1" applyFill="1" applyBorder="1" applyAlignment="1">
      <alignment horizontal="center" vertical="center"/>
    </xf>
    <xf numFmtId="166" fontId="59" fillId="39" borderId="54" xfId="5" applyNumberFormat="1" applyFont="1" applyFill="1" applyBorder="1" applyAlignment="1">
      <alignment horizontal="center" vertical="center"/>
    </xf>
    <xf numFmtId="0" fontId="61" fillId="40" borderId="6" xfId="5" applyFont="1" applyFill="1" applyBorder="1" applyAlignment="1">
      <alignment horizontal="center" vertical="center"/>
    </xf>
    <xf numFmtId="0" fontId="61" fillId="40" borderId="55" xfId="5" applyFont="1" applyFill="1" applyBorder="1" applyAlignment="1">
      <alignment horizontal="center" vertical="center"/>
    </xf>
    <xf numFmtId="0" fontId="61" fillId="40" borderId="55" xfId="5" applyFont="1" applyFill="1" applyBorder="1" applyAlignment="1">
      <alignment horizontal="left" vertical="center" wrapText="1"/>
    </xf>
    <xf numFmtId="0" fontId="61" fillId="41" borderId="55" xfId="5" applyFont="1" applyFill="1" applyBorder="1" applyAlignment="1">
      <alignment horizontal="center" vertical="center"/>
    </xf>
    <xf numFmtId="0" fontId="125" fillId="8" borderId="13" xfId="5" applyFont="1" applyFill="1" applyBorder="1" applyAlignment="1">
      <alignment horizontal="left" vertical="center"/>
    </xf>
    <xf numFmtId="166" fontId="124" fillId="7" borderId="64" xfId="2" applyNumberFormat="1" applyFont="1" applyFill="1" applyBorder="1" applyAlignment="1">
      <alignment horizontal="center" vertical="center" wrapText="1"/>
    </xf>
    <xf numFmtId="166" fontId="122" fillId="7" borderId="51" xfId="2" applyNumberFormat="1" applyFont="1" applyFill="1" applyBorder="1" applyAlignment="1">
      <alignment horizontal="center" vertical="center" wrapText="1"/>
    </xf>
    <xf numFmtId="166" fontId="126" fillId="7" borderId="10" xfId="2" applyNumberFormat="1" applyFont="1" applyFill="1" applyBorder="1" applyAlignment="1">
      <alignment horizontal="center" vertical="center" wrapText="1"/>
    </xf>
    <xf numFmtId="0" fontId="60" fillId="2" borderId="44" xfId="5" applyFont="1" applyFill="1" applyBorder="1" applyAlignment="1">
      <alignment horizontal="center" vertical="center"/>
    </xf>
    <xf numFmtId="0" fontId="60" fillId="2" borderId="67" xfId="5" applyFont="1" applyFill="1" applyBorder="1" applyAlignment="1">
      <alignment horizontal="center" vertical="center"/>
    </xf>
    <xf numFmtId="166" fontId="127" fillId="7" borderId="57" xfId="2" applyNumberFormat="1" applyFont="1" applyFill="1" applyBorder="1" applyAlignment="1">
      <alignment horizontal="center" vertical="center" wrapText="1"/>
    </xf>
    <xf numFmtId="166" fontId="122" fillId="7" borderId="35" xfId="2" applyNumberFormat="1" applyFont="1" applyFill="1" applyBorder="1" applyAlignment="1">
      <alignment horizontal="center" vertical="center" wrapText="1"/>
    </xf>
    <xf numFmtId="0" fontId="123" fillId="40" borderId="19" xfId="5" applyFont="1" applyFill="1" applyBorder="1" applyAlignment="1">
      <alignment horizontal="center" vertical="center"/>
    </xf>
    <xf numFmtId="166" fontId="53" fillId="40" borderId="10" xfId="5" applyNumberFormat="1" applyFont="1" applyFill="1" applyBorder="1" applyAlignment="1">
      <alignment horizontal="center" vertical="center"/>
    </xf>
    <xf numFmtId="0" fontId="57" fillId="40" borderId="57" xfId="5" applyFont="1" applyFill="1" applyBorder="1" applyAlignment="1">
      <alignment horizontal="center" vertical="center"/>
    </xf>
    <xf numFmtId="0" fontId="57" fillId="40" borderId="10" xfId="5" applyFont="1" applyFill="1" applyBorder="1" applyAlignment="1">
      <alignment horizontal="center" vertical="center"/>
    </xf>
    <xf numFmtId="0" fontId="128" fillId="40" borderId="18" xfId="5" applyFont="1" applyFill="1" applyBorder="1" applyAlignment="1">
      <alignment horizontal="left" vertical="center"/>
    </xf>
    <xf numFmtId="0" fontId="57" fillId="40" borderId="18" xfId="5" applyFont="1" applyFill="1" applyBorder="1" applyAlignment="1">
      <alignment horizontal="center" vertical="center"/>
    </xf>
    <xf numFmtId="0" fontId="128" fillId="40" borderId="19" xfId="5" applyFont="1" applyFill="1" applyBorder="1" applyAlignment="1">
      <alignment horizontal="center" vertical="center"/>
    </xf>
    <xf numFmtId="166" fontId="57" fillId="40" borderId="10" xfId="5" applyNumberFormat="1" applyFont="1" applyFill="1" applyBorder="1" applyAlignment="1">
      <alignment horizontal="center" vertical="center"/>
    </xf>
    <xf numFmtId="0" fontId="61" fillId="40" borderId="57" xfId="5" applyFont="1" applyFill="1" applyBorder="1" applyAlignment="1">
      <alignment horizontal="center" vertical="center"/>
    </xf>
    <xf numFmtId="0" fontId="61" fillId="2" borderId="52" xfId="5" applyFont="1" applyFill="1" applyBorder="1" applyAlignment="1">
      <alignment horizontal="left" vertical="center" wrapText="1"/>
    </xf>
    <xf numFmtId="0" fontId="61" fillId="2" borderId="44" xfId="5" applyFont="1" applyFill="1" applyBorder="1" applyAlignment="1">
      <alignment horizontal="left" vertical="center" wrapText="1"/>
    </xf>
    <xf numFmtId="0" fontId="53" fillId="2" borderId="10" xfId="5" applyFont="1" applyFill="1" applyBorder="1" applyAlignment="1">
      <alignment horizontal="left" vertical="center"/>
    </xf>
    <xf numFmtId="0" fontId="129" fillId="0" borderId="0" xfId="0" applyFont="1" applyAlignment="1"/>
    <xf numFmtId="0" fontId="131" fillId="0" borderId="0" xfId="1" applyFont="1"/>
    <xf numFmtId="0" fontId="129" fillId="2" borderId="39" xfId="2" applyFont="1" applyFill="1" applyBorder="1" applyAlignment="1">
      <alignment horizontal="center" vertical="center"/>
    </xf>
    <xf numFmtId="0" fontId="132" fillId="2" borderId="51" xfId="1" applyFont="1" applyFill="1" applyBorder="1" applyAlignment="1">
      <alignment horizontal="center" vertical="center" wrapText="1"/>
    </xf>
    <xf numFmtId="0" fontId="132" fillId="2" borderId="52" xfId="1" applyFont="1" applyFill="1" applyBorder="1" applyAlignment="1">
      <alignment horizontal="center" vertical="center" wrapText="1"/>
    </xf>
    <xf numFmtId="0" fontId="129" fillId="2" borderId="51" xfId="2" applyFont="1" applyFill="1" applyBorder="1" applyAlignment="1">
      <alignment horizontal="center" vertical="center"/>
    </xf>
    <xf numFmtId="0" fontId="129" fillId="2" borderId="0" xfId="2" applyFont="1" applyFill="1" applyAlignment="1">
      <alignment horizontal="center" vertical="center"/>
    </xf>
    <xf numFmtId="167" fontId="134" fillId="0" borderId="39" xfId="2" applyNumberFormat="1" applyFont="1" applyBorder="1" applyAlignment="1">
      <alignment horizontal="center" vertical="center"/>
    </xf>
    <xf numFmtId="167" fontId="135" fillId="0" borderId="40" xfId="2" applyNumberFormat="1" applyFont="1" applyBorder="1" applyAlignment="1">
      <alignment horizontal="center" vertical="center"/>
    </xf>
    <xf numFmtId="0" fontId="136" fillId="2" borderId="0" xfId="2" applyFont="1" applyFill="1" applyAlignment="1">
      <alignment horizontal="center" vertical="center" wrapText="1"/>
    </xf>
    <xf numFmtId="0" fontId="136" fillId="7" borderId="37" xfId="2" applyFont="1" applyFill="1" applyBorder="1" applyAlignment="1">
      <alignment horizontal="center" vertical="center"/>
    </xf>
    <xf numFmtId="0" fontId="136" fillId="7" borderId="4" xfId="2" applyFont="1" applyFill="1" applyBorder="1" applyAlignment="1">
      <alignment horizontal="center" vertical="center"/>
    </xf>
    <xf numFmtId="0" fontId="123" fillId="7" borderId="37" xfId="2" applyFont="1" applyFill="1" applyBorder="1" applyAlignment="1">
      <alignment horizontal="center" vertical="center"/>
    </xf>
    <xf numFmtId="0" fontId="123" fillId="7" borderId="4" xfId="2" applyFont="1" applyFill="1" applyBorder="1" applyAlignment="1">
      <alignment horizontal="center" vertical="center"/>
    </xf>
    <xf numFmtId="1" fontId="135" fillId="10" borderId="4" xfId="2" applyNumberFormat="1" applyFont="1" applyFill="1" applyBorder="1" applyAlignment="1">
      <alignment horizontal="center" vertical="center"/>
    </xf>
    <xf numFmtId="0" fontId="137" fillId="0" borderId="0" xfId="1" applyFont="1"/>
    <xf numFmtId="0" fontId="136" fillId="0" borderId="0" xfId="0" applyFont="1" applyAlignment="1"/>
    <xf numFmtId="0" fontId="136" fillId="7" borderId="5" xfId="2" applyFont="1" applyFill="1" applyBorder="1" applyAlignment="1">
      <alignment horizontal="center" vertical="center"/>
    </xf>
    <xf numFmtId="0" fontId="138" fillId="7" borderId="5" xfId="2" applyFont="1" applyFill="1" applyBorder="1" applyAlignment="1">
      <alignment horizontal="center" vertical="center"/>
    </xf>
    <xf numFmtId="0" fontId="131" fillId="0" borderId="0" xfId="0" applyFont="1" applyAlignment="1"/>
    <xf numFmtId="170" fontId="123" fillId="2" borderId="6" xfId="2" applyNumberFormat="1" applyFont="1" applyFill="1" applyBorder="1" applyAlignment="1">
      <alignment horizontal="center" vertical="center"/>
    </xf>
    <xf numFmtId="170" fontId="123" fillId="2" borderId="0" xfId="2" applyNumberFormat="1" applyFont="1" applyFill="1" applyAlignment="1">
      <alignment horizontal="center" vertical="center"/>
    </xf>
    <xf numFmtId="166" fontId="126" fillId="7" borderId="59" xfId="2" applyNumberFormat="1" applyFont="1" applyFill="1" applyBorder="1" applyAlignment="1">
      <alignment horizontal="center" vertical="center"/>
    </xf>
    <xf numFmtId="0" fontId="128" fillId="2" borderId="6" xfId="2" applyFont="1" applyFill="1" applyBorder="1" applyAlignment="1">
      <alignment horizontal="center" vertical="center"/>
    </xf>
    <xf numFmtId="166" fontId="126" fillId="7" borderId="54" xfId="2" applyNumberFormat="1" applyFont="1" applyFill="1" applyBorder="1" applyAlignment="1">
      <alignment horizontal="center" vertical="center"/>
    </xf>
    <xf numFmtId="0" fontId="123" fillId="0" borderId="6" xfId="2" applyFont="1" applyBorder="1" applyAlignment="1">
      <alignment horizontal="center" vertical="center"/>
    </xf>
    <xf numFmtId="0" fontId="123" fillId="7" borderId="59" xfId="2" applyFont="1" applyFill="1" applyBorder="1" applyAlignment="1">
      <alignment horizontal="center" vertical="center"/>
    </xf>
    <xf numFmtId="0" fontId="123" fillId="0" borderId="54" xfId="2" applyFont="1" applyBorder="1" applyAlignment="1">
      <alignment horizontal="center" vertical="center"/>
    </xf>
    <xf numFmtId="1" fontId="123" fillId="0" borderId="6" xfId="2" applyNumberFormat="1" applyFont="1" applyBorder="1" applyAlignment="1">
      <alignment horizontal="center" vertical="center"/>
    </xf>
    <xf numFmtId="0" fontId="123" fillId="7" borderId="6" xfId="5" applyFont="1" applyFill="1" applyBorder="1" applyAlignment="1">
      <alignment horizontal="center" vertical="center"/>
    </xf>
    <xf numFmtId="166" fontId="123" fillId="7" borderId="19" xfId="5" applyNumberFormat="1" applyFont="1" applyFill="1" applyBorder="1" applyAlignment="1">
      <alignment horizontal="center" vertical="center"/>
    </xf>
    <xf numFmtId="0" fontId="128" fillId="2" borderId="55" xfId="5" applyFont="1" applyFill="1" applyBorder="1" applyAlignment="1">
      <alignment horizontal="center" vertical="center"/>
    </xf>
    <xf numFmtId="0" fontId="128" fillId="2" borderId="19" xfId="5" applyFont="1" applyFill="1" applyBorder="1" applyAlignment="1">
      <alignment horizontal="center" vertical="center"/>
    </xf>
    <xf numFmtId="0" fontId="128" fillId="2" borderId="6" xfId="5" applyFont="1" applyFill="1" applyBorder="1" applyAlignment="1">
      <alignment horizontal="center" vertical="center"/>
    </xf>
    <xf numFmtId="0" fontId="128" fillId="4" borderId="19" xfId="5" applyFont="1" applyFill="1" applyBorder="1" applyAlignment="1">
      <alignment horizontal="left" vertical="center"/>
    </xf>
    <xf numFmtId="170" fontId="123" fillId="2" borderId="20" xfId="2" applyNumberFormat="1" applyFont="1" applyFill="1" applyBorder="1" applyAlignment="1">
      <alignment horizontal="center" vertical="center"/>
    </xf>
    <xf numFmtId="166" fontId="139" fillId="7" borderId="57" xfId="2" applyNumberFormat="1" applyFont="1" applyFill="1" applyBorder="1" applyAlignment="1">
      <alignment horizontal="center" vertical="center" wrapText="1"/>
    </xf>
    <xf numFmtId="0" fontId="128" fillId="2" borderId="44" xfId="2" applyFont="1" applyFill="1" applyBorder="1" applyAlignment="1">
      <alignment horizontal="center" vertical="center"/>
    </xf>
    <xf numFmtId="0" fontId="123" fillId="0" borderId="44" xfId="2" applyFont="1" applyBorder="1" applyAlignment="1">
      <alignment horizontal="center" vertical="center"/>
    </xf>
    <xf numFmtId="0" fontId="123" fillId="0" borderId="19" xfId="2" applyFont="1" applyBorder="1" applyAlignment="1">
      <alignment horizontal="center" vertical="center"/>
    </xf>
    <xf numFmtId="1" fontId="123" fillId="0" borderId="10" xfId="2" applyNumberFormat="1" applyFont="1" applyBorder="1" applyAlignment="1">
      <alignment horizontal="center" vertical="center"/>
    </xf>
    <xf numFmtId="0" fontId="140" fillId="15" borderId="14" xfId="5" applyFont="1" applyFill="1" applyBorder="1" applyAlignment="1">
      <alignment horizontal="center" vertical="center"/>
    </xf>
    <xf numFmtId="166" fontId="140" fillId="15" borderId="14" xfId="5" applyNumberFormat="1" applyFont="1" applyFill="1" applyBorder="1" applyAlignment="1">
      <alignment horizontal="center" vertical="center"/>
    </xf>
    <xf numFmtId="0" fontId="125" fillId="8" borderId="21" xfId="5" applyFont="1" applyFill="1" applyBorder="1" applyAlignment="1">
      <alignment horizontal="center" vertical="center"/>
    </xf>
    <xf numFmtId="0" fontId="125" fillId="2" borderId="14" xfId="5" applyFont="1" applyFill="1" applyBorder="1" applyAlignment="1">
      <alignment horizontal="center" vertical="center"/>
    </xf>
    <xf numFmtId="0" fontId="125" fillId="2" borderId="21" xfId="5" applyFont="1" applyFill="1" applyBorder="1" applyAlignment="1">
      <alignment horizontal="center" vertical="center"/>
    </xf>
    <xf numFmtId="0" fontId="125" fillId="4" borderId="14" xfId="5" applyFont="1" applyFill="1" applyBorder="1" applyAlignment="1">
      <alignment horizontal="left" vertical="center"/>
    </xf>
    <xf numFmtId="0" fontId="125" fillId="8" borderId="13" xfId="5" applyFont="1" applyFill="1" applyBorder="1" applyAlignment="1">
      <alignment horizontal="center" vertical="center"/>
    </xf>
    <xf numFmtId="166" fontId="126" fillId="7" borderId="57" xfId="2" applyNumberFormat="1" applyFont="1" applyFill="1" applyBorder="1" applyAlignment="1">
      <alignment horizontal="center" vertical="center"/>
    </xf>
    <xf numFmtId="0" fontId="128" fillId="2" borderId="10" xfId="2" applyFont="1" applyFill="1" applyBorder="1" applyAlignment="1">
      <alignment horizontal="center" vertical="center"/>
    </xf>
    <xf numFmtId="166" fontId="126" fillId="7" borderId="19" xfId="2" applyNumberFormat="1" applyFont="1" applyFill="1" applyBorder="1" applyAlignment="1">
      <alignment horizontal="center" vertical="center"/>
    </xf>
    <xf numFmtId="0" fontId="123" fillId="2" borderId="10" xfId="2" applyFont="1" applyFill="1" applyBorder="1" applyAlignment="1">
      <alignment horizontal="center" vertical="center"/>
    </xf>
    <xf numFmtId="166" fontId="123" fillId="7" borderId="57" xfId="2" applyNumberFormat="1" applyFont="1" applyFill="1" applyBorder="1" applyAlignment="1">
      <alignment horizontal="center" vertical="center"/>
    </xf>
    <xf numFmtId="0" fontId="123" fillId="0" borderId="10" xfId="2" applyFont="1" applyBorder="1" applyAlignment="1">
      <alignment horizontal="center" vertical="center"/>
    </xf>
    <xf numFmtId="0" fontId="125" fillId="15" borderId="20" xfId="5" applyFont="1" applyFill="1" applyBorder="1" applyAlignment="1">
      <alignment horizontal="center" vertical="center"/>
    </xf>
    <xf numFmtId="166" fontId="125" fillId="15" borderId="21" xfId="5" applyNumberFormat="1" applyFont="1" applyFill="1" applyBorder="1" applyAlignment="1">
      <alignment horizontal="center" vertical="center"/>
    </xf>
    <xf numFmtId="0" fontId="125" fillId="8" borderId="20" xfId="5" applyFont="1" applyFill="1" applyBorder="1" applyAlignment="1">
      <alignment horizontal="center" vertical="center"/>
    </xf>
    <xf numFmtId="0" fontId="125" fillId="2" borderId="20" xfId="5" applyFont="1" applyFill="1" applyBorder="1" applyAlignment="1">
      <alignment horizontal="center" vertical="center"/>
    </xf>
    <xf numFmtId="0" fontId="125" fillId="2" borderId="13" xfId="5" applyFont="1" applyFill="1" applyBorder="1" applyAlignment="1">
      <alignment horizontal="center" vertical="center"/>
    </xf>
    <xf numFmtId="0" fontId="125" fillId="42" borderId="13" xfId="5" applyFont="1" applyFill="1" applyBorder="1" applyAlignment="1">
      <alignment horizontal="left" vertical="center"/>
    </xf>
    <xf numFmtId="0" fontId="128" fillId="2" borderId="20" xfId="2" applyFont="1" applyFill="1" applyBorder="1" applyAlignment="1">
      <alignment horizontal="center" vertical="center"/>
    </xf>
    <xf numFmtId="166" fontId="126" fillId="7" borderId="21" xfId="2" applyNumberFormat="1" applyFont="1" applyFill="1" applyBorder="1" applyAlignment="1">
      <alignment horizontal="center" vertical="center"/>
    </xf>
    <xf numFmtId="0" fontId="123" fillId="2" borderId="20" xfId="2" applyFont="1" applyFill="1" applyBorder="1" applyAlignment="1">
      <alignment horizontal="center" vertical="center"/>
    </xf>
    <xf numFmtId="0" fontId="123" fillId="0" borderId="20" xfId="2" applyFont="1" applyBorder="1" applyAlignment="1">
      <alignment horizontal="center" vertical="center"/>
    </xf>
    <xf numFmtId="0" fontId="123" fillId="7" borderId="20" xfId="5" applyFont="1" applyFill="1" applyBorder="1" applyAlignment="1">
      <alignment horizontal="center" vertical="center"/>
    </xf>
    <xf numFmtId="166" fontId="123" fillId="7" borderId="21" xfId="5" applyNumberFormat="1" applyFont="1" applyFill="1" applyBorder="1" applyAlignment="1">
      <alignment horizontal="center" vertical="center"/>
    </xf>
    <xf numFmtId="0" fontId="128" fillId="2" borderId="57" xfId="5" applyFont="1" applyFill="1" applyBorder="1" applyAlignment="1">
      <alignment horizontal="center" vertical="center"/>
    </xf>
    <xf numFmtId="0" fontId="128" fillId="2" borderId="18" xfId="5" applyFont="1" applyFill="1" applyBorder="1" applyAlignment="1">
      <alignment horizontal="center" vertical="center"/>
    </xf>
    <xf numFmtId="0" fontId="128" fillId="2" borderId="20" xfId="5" applyFont="1" applyFill="1" applyBorder="1" applyAlignment="1">
      <alignment horizontal="center" vertical="center"/>
    </xf>
    <xf numFmtId="0" fontId="128" fillId="2" borderId="13" xfId="5" applyFont="1" applyFill="1" applyBorder="1" applyAlignment="1">
      <alignment horizontal="center" vertical="center"/>
    </xf>
    <xf numFmtId="0" fontId="128" fillId="4" borderId="13" xfId="5" applyFont="1" applyFill="1" applyBorder="1" applyAlignment="1">
      <alignment horizontal="left" vertical="center"/>
    </xf>
    <xf numFmtId="0" fontId="140" fillId="15" borderId="10" xfId="5" applyFont="1" applyFill="1" applyBorder="1" applyAlignment="1">
      <alignment horizontal="center" vertical="center"/>
    </xf>
    <xf numFmtId="166" fontId="140" fillId="15" borderId="19" xfId="5" applyNumberFormat="1" applyFont="1" applyFill="1" applyBorder="1" applyAlignment="1">
      <alignment horizontal="center" vertical="center"/>
    </xf>
    <xf numFmtId="0" fontId="125" fillId="8" borderId="18" xfId="5" applyFont="1" applyFill="1" applyBorder="1" applyAlignment="1">
      <alignment horizontal="center" vertical="center"/>
    </xf>
    <xf numFmtId="0" fontId="125" fillId="2" borderId="19" xfId="5" applyFont="1" applyFill="1" applyBorder="1" applyAlignment="1">
      <alignment horizontal="center" vertical="center"/>
    </xf>
    <xf numFmtId="0" fontId="125" fillId="2" borderId="10" xfId="5" applyFont="1" applyFill="1" applyBorder="1" applyAlignment="1">
      <alignment horizontal="center" vertical="center"/>
    </xf>
    <xf numFmtId="0" fontId="125" fillId="42" borderId="19" xfId="5" applyFont="1" applyFill="1" applyBorder="1" applyAlignment="1">
      <alignment horizontal="left" vertical="center"/>
    </xf>
    <xf numFmtId="0" fontId="125" fillId="8" borderId="10" xfId="5" applyFont="1" applyFill="1" applyBorder="1" applyAlignment="1">
      <alignment horizontal="center" vertical="center"/>
    </xf>
    <xf numFmtId="170" fontId="123" fillId="2" borderId="23" xfId="2" applyNumberFormat="1" applyFont="1" applyFill="1" applyBorder="1" applyAlignment="1">
      <alignment horizontal="center" vertical="center"/>
    </xf>
    <xf numFmtId="166" fontId="126" fillId="7" borderId="60" xfId="2" applyNumberFormat="1" applyFont="1" applyFill="1" applyBorder="1" applyAlignment="1">
      <alignment horizontal="center" vertical="center"/>
    </xf>
    <xf numFmtId="0" fontId="128" fillId="2" borderId="23" xfId="2" applyFont="1" applyFill="1" applyBorder="1" applyAlignment="1">
      <alignment horizontal="center" vertical="center"/>
    </xf>
    <xf numFmtId="166" fontId="126" fillId="7" borderId="35" xfId="2" applyNumberFormat="1" applyFont="1" applyFill="1" applyBorder="1" applyAlignment="1">
      <alignment horizontal="center" vertical="center"/>
    </xf>
    <xf numFmtId="0" fontId="123" fillId="2" borderId="23" xfId="2" applyFont="1" applyFill="1" applyBorder="1" applyAlignment="1">
      <alignment horizontal="center" vertical="center"/>
    </xf>
    <xf numFmtId="166" fontId="123" fillId="7" borderId="60" xfId="2" applyNumberFormat="1" applyFont="1" applyFill="1" applyBorder="1" applyAlignment="1">
      <alignment horizontal="center" vertical="center"/>
    </xf>
    <xf numFmtId="0" fontId="123" fillId="0" borderId="23" xfId="2" applyFont="1" applyBorder="1" applyAlignment="1">
      <alignment horizontal="center" vertical="center"/>
    </xf>
    <xf numFmtId="0" fontId="123" fillId="0" borderId="35" xfId="2" applyFont="1" applyBorder="1" applyAlignment="1">
      <alignment horizontal="center" vertical="center"/>
    </xf>
    <xf numFmtId="1" fontId="123" fillId="0" borderId="23" xfId="2" applyNumberFormat="1" applyFont="1" applyBorder="1" applyAlignment="1">
      <alignment horizontal="center" vertical="center"/>
    </xf>
    <xf numFmtId="0" fontId="125" fillId="15" borderId="23" xfId="5" applyFont="1" applyFill="1" applyBorder="1" applyAlignment="1">
      <alignment horizontal="center" vertical="center"/>
    </xf>
    <xf numFmtId="166" fontId="125" fillId="15" borderId="35" xfId="5" applyNumberFormat="1" applyFont="1" applyFill="1" applyBorder="1" applyAlignment="1">
      <alignment horizontal="center" vertical="center"/>
    </xf>
    <xf numFmtId="0" fontId="125" fillId="8" borderId="61" xfId="5" applyFont="1" applyFill="1" applyBorder="1" applyAlignment="1">
      <alignment horizontal="center" vertical="center"/>
    </xf>
    <xf numFmtId="0" fontId="125" fillId="2" borderId="23" xfId="5" applyFont="1" applyFill="1" applyBorder="1" applyAlignment="1">
      <alignment horizontal="center" vertical="center"/>
    </xf>
    <xf numFmtId="0" fontId="125" fillId="2" borderId="61" xfId="5" applyFont="1" applyFill="1" applyBorder="1" applyAlignment="1">
      <alignment horizontal="center" vertical="center"/>
    </xf>
    <xf numFmtId="0" fontId="125" fillId="42" borderId="61" xfId="5" applyFont="1" applyFill="1" applyBorder="1" applyAlignment="1">
      <alignment horizontal="left" vertical="center"/>
    </xf>
    <xf numFmtId="0" fontId="129" fillId="2" borderId="0" xfId="0" applyFont="1" applyFill="1" applyAlignment="1"/>
    <xf numFmtId="166" fontId="141" fillId="2" borderId="0" xfId="2" applyNumberFormat="1" applyFont="1" applyFill="1" applyAlignment="1">
      <alignment horizontal="center" vertical="center"/>
    </xf>
    <xf numFmtId="0" fontId="128" fillId="2" borderId="0" xfId="2" applyFont="1" applyFill="1" applyAlignment="1">
      <alignment horizontal="center" vertical="center"/>
    </xf>
    <xf numFmtId="0" fontId="123" fillId="2" borderId="0" xfId="2" applyFont="1" applyFill="1" applyAlignment="1">
      <alignment horizontal="center" vertical="center"/>
    </xf>
    <xf numFmtId="166" fontId="123" fillId="2" borderId="0" xfId="2" applyNumberFormat="1" applyFont="1" applyFill="1" applyAlignment="1">
      <alignment horizontal="center" vertical="center"/>
    </xf>
    <xf numFmtId="1" fontId="123" fillId="2" borderId="0" xfId="2" applyNumberFormat="1" applyFont="1" applyFill="1" applyAlignment="1">
      <alignment horizontal="center" vertical="center"/>
    </xf>
    <xf numFmtId="0" fontId="125" fillId="31" borderId="0" xfId="5" applyFont="1" applyFill="1" applyAlignment="1">
      <alignment horizontal="center" vertical="center"/>
    </xf>
    <xf numFmtId="166" fontId="125" fillId="31" borderId="0" xfId="5" applyNumberFormat="1" applyFont="1" applyFill="1" applyAlignment="1">
      <alignment horizontal="center" vertical="center"/>
    </xf>
    <xf numFmtId="0" fontId="125" fillId="8" borderId="0" xfId="5" applyFont="1" applyFill="1" applyAlignment="1">
      <alignment horizontal="center" vertical="center"/>
    </xf>
    <xf numFmtId="0" fontId="125" fillId="2" borderId="0" xfId="5" applyFont="1" applyFill="1" applyAlignment="1">
      <alignment horizontal="center" vertical="center"/>
    </xf>
    <xf numFmtId="0" fontId="125" fillId="8" borderId="0" xfId="5" applyFont="1" applyFill="1" applyAlignment="1">
      <alignment horizontal="left" vertical="center"/>
    </xf>
    <xf numFmtId="0" fontId="131" fillId="2" borderId="0" xfId="1" applyFont="1" applyFill="1"/>
    <xf numFmtId="165" fontId="132" fillId="2" borderId="0" xfId="1" applyNumberFormat="1" applyFont="1" applyFill="1" applyAlignment="1">
      <alignment horizontal="center" vertical="center"/>
    </xf>
    <xf numFmtId="0" fontId="124" fillId="2" borderId="0" xfId="1" applyFont="1" applyFill="1" applyAlignment="1">
      <alignment horizontal="center" vertical="center"/>
    </xf>
    <xf numFmtId="166" fontId="126" fillId="7" borderId="54" xfId="2" applyNumberFormat="1" applyFont="1" applyFill="1" applyBorder="1" applyAlignment="1">
      <alignment horizontal="center" vertical="center" wrapText="1"/>
    </xf>
    <xf numFmtId="0" fontId="123" fillId="2" borderId="6" xfId="2" applyFont="1" applyFill="1" applyBorder="1" applyAlignment="1">
      <alignment horizontal="center" vertical="center" wrapText="1"/>
    </xf>
    <xf numFmtId="166" fontId="123" fillId="7" borderId="54" xfId="2" applyNumberFormat="1" applyFont="1" applyFill="1" applyBorder="1" applyAlignment="1">
      <alignment horizontal="center" vertical="center"/>
    </xf>
    <xf numFmtId="0" fontId="140" fillId="15" borderId="6" xfId="5" applyFont="1" applyFill="1" applyBorder="1" applyAlignment="1">
      <alignment horizontal="center" vertical="center"/>
    </xf>
    <xf numFmtId="166" fontId="140" fillId="15" borderId="54" xfId="5" applyNumberFormat="1" applyFont="1" applyFill="1" applyBorder="1" applyAlignment="1">
      <alignment horizontal="center" vertical="center"/>
    </xf>
    <xf numFmtId="0" fontId="125" fillId="2" borderId="54" xfId="5" applyFont="1" applyFill="1" applyBorder="1" applyAlignment="1">
      <alignment horizontal="center" vertical="center"/>
    </xf>
    <xf numFmtId="0" fontId="125" fillId="8" borderId="6" xfId="5" applyFont="1" applyFill="1" applyBorder="1" applyAlignment="1">
      <alignment horizontal="center" vertical="center"/>
    </xf>
    <xf numFmtId="0" fontId="125" fillId="4" borderId="54" xfId="5" applyFont="1" applyFill="1" applyBorder="1" applyAlignment="1">
      <alignment horizontal="left" vertical="center"/>
    </xf>
    <xf numFmtId="170" fontId="123" fillId="2" borderId="10" xfId="2" applyNumberFormat="1" applyFont="1" applyFill="1" applyBorder="1" applyAlignment="1">
      <alignment horizontal="center" vertical="center"/>
    </xf>
    <xf numFmtId="166" fontId="122" fillId="7" borderId="19" xfId="2" applyNumberFormat="1" applyFont="1" applyFill="1" applyBorder="1" applyAlignment="1">
      <alignment horizontal="center" vertical="center"/>
    </xf>
    <xf numFmtId="166" fontId="123" fillId="7" borderId="19" xfId="2" applyNumberFormat="1" applyFont="1" applyFill="1" applyBorder="1" applyAlignment="1">
      <alignment horizontal="center" vertical="center"/>
    </xf>
    <xf numFmtId="0" fontId="142" fillId="2" borderId="19" xfId="5" applyFont="1" applyFill="1" applyBorder="1" applyAlignment="1">
      <alignment horizontal="center" vertical="center"/>
    </xf>
    <xf numFmtId="0" fontId="142" fillId="2" borderId="10" xfId="5" applyFont="1" applyFill="1" applyBorder="1" applyAlignment="1">
      <alignment horizontal="center" vertical="center"/>
    </xf>
    <xf numFmtId="0" fontId="142" fillId="4" borderId="19" xfId="5" applyFont="1" applyFill="1" applyBorder="1" applyAlignment="1">
      <alignment horizontal="left" vertical="center"/>
    </xf>
    <xf numFmtId="0" fontId="142" fillId="8" borderId="10" xfId="5" applyFont="1" applyFill="1" applyBorder="1" applyAlignment="1">
      <alignment horizontal="center" vertical="center"/>
    </xf>
    <xf numFmtId="166" fontId="126" fillId="7" borderId="19" xfId="2" applyNumberFormat="1" applyFont="1" applyFill="1" applyBorder="1" applyAlignment="1">
      <alignment horizontal="center" vertical="center" wrapText="1"/>
    </xf>
    <xf numFmtId="0" fontId="123" fillId="2" borderId="10" xfId="2" applyFont="1" applyFill="1" applyBorder="1" applyAlignment="1">
      <alignment horizontal="center" vertical="center" wrapText="1"/>
    </xf>
    <xf numFmtId="0" fontId="125" fillId="4" borderId="19" xfId="5" applyFont="1" applyFill="1" applyBorder="1" applyAlignment="1">
      <alignment horizontal="left" vertical="center"/>
    </xf>
    <xf numFmtId="166" fontId="126" fillId="7" borderId="57" xfId="2" applyNumberFormat="1" applyFont="1" applyFill="1" applyBorder="1" applyAlignment="1">
      <alignment horizontal="center" vertical="center" wrapText="1"/>
    </xf>
    <xf numFmtId="0" fontId="123" fillId="7" borderId="10" xfId="5" applyFont="1" applyFill="1" applyBorder="1" applyAlignment="1">
      <alignment horizontal="center" vertical="center"/>
    </xf>
    <xf numFmtId="0" fontId="128" fillId="2" borderId="10" xfId="5" applyFont="1" applyFill="1" applyBorder="1" applyAlignment="1">
      <alignment horizontal="center" vertical="center"/>
    </xf>
    <xf numFmtId="0" fontId="123" fillId="7" borderId="10" xfId="2" applyFont="1" applyFill="1" applyBorder="1" applyAlignment="1">
      <alignment horizontal="center" vertical="center"/>
    </xf>
    <xf numFmtId="0" fontId="123" fillId="2" borderId="19" xfId="2" applyFont="1" applyFill="1" applyBorder="1" applyAlignment="1">
      <alignment horizontal="center" vertical="center"/>
    </xf>
    <xf numFmtId="0" fontId="128" fillId="4" borderId="19" xfId="2" applyFont="1" applyFill="1" applyBorder="1" applyAlignment="1">
      <alignment horizontal="left" vertical="center"/>
    </xf>
    <xf numFmtId="164" fontId="128" fillId="2" borderId="10" xfId="2" applyNumberFormat="1" applyFont="1" applyFill="1" applyBorder="1" applyAlignment="1">
      <alignment horizontal="center" vertical="center"/>
    </xf>
    <xf numFmtId="166" fontId="126" fillId="7" borderId="64" xfId="2" applyNumberFormat="1" applyFont="1" applyFill="1" applyBorder="1" applyAlignment="1">
      <alignment horizontal="center" vertical="center"/>
    </xf>
    <xf numFmtId="166" fontId="123" fillId="7" borderId="21" xfId="2" applyNumberFormat="1" applyFont="1" applyFill="1" applyBorder="1" applyAlignment="1">
      <alignment horizontal="center" vertical="center"/>
    </xf>
    <xf numFmtId="166" fontId="126" fillId="7" borderId="60" xfId="2" applyNumberFormat="1" applyFont="1" applyFill="1" applyBorder="1" applyAlignment="1">
      <alignment horizontal="center" vertical="center" wrapText="1"/>
    </xf>
    <xf numFmtId="166" fontId="127" fillId="7" borderId="35" xfId="2" applyNumberFormat="1" applyFont="1" applyFill="1" applyBorder="1" applyAlignment="1">
      <alignment horizontal="center" vertical="center" wrapText="1"/>
    </xf>
    <xf numFmtId="166" fontId="143" fillId="7" borderId="35" xfId="2" applyNumberFormat="1" applyFont="1" applyFill="1" applyBorder="1" applyAlignment="1">
      <alignment horizontal="center" vertical="center" wrapText="1"/>
    </xf>
    <xf numFmtId="0" fontId="140" fillId="15" borderId="50" xfId="5" applyFont="1" applyFill="1" applyBorder="1" applyAlignment="1">
      <alignment horizontal="center" vertical="center"/>
    </xf>
    <xf numFmtId="166" fontId="140" fillId="15" borderId="39" xfId="5" applyNumberFormat="1" applyFont="1" applyFill="1" applyBorder="1" applyAlignment="1">
      <alignment horizontal="center" vertical="center"/>
    </xf>
    <xf numFmtId="0" fontId="125" fillId="2" borderId="39" xfId="5" applyFont="1" applyFill="1" applyBorder="1" applyAlignment="1">
      <alignment horizontal="center" vertical="center"/>
    </xf>
    <xf numFmtId="0" fontId="125" fillId="2" borderId="50" xfId="5" applyFont="1" applyFill="1" applyBorder="1" applyAlignment="1">
      <alignment horizontal="center" vertical="center"/>
    </xf>
    <xf numFmtId="0" fontId="125" fillId="4" borderId="39" xfId="5" applyFont="1" applyFill="1" applyBorder="1" applyAlignment="1">
      <alignment horizontal="left" vertical="center"/>
    </xf>
    <xf numFmtId="0" fontId="125" fillId="8" borderId="50" xfId="5" applyFont="1" applyFill="1" applyBorder="1" applyAlignment="1">
      <alignment horizontal="center" vertical="center"/>
    </xf>
    <xf numFmtId="0" fontId="123" fillId="2" borderId="0" xfId="5" applyFont="1" applyFill="1" applyAlignment="1">
      <alignment horizontal="center" vertical="center"/>
    </xf>
    <xf numFmtId="166" fontId="123" fillId="2" borderId="0" xfId="5" applyNumberFormat="1" applyFont="1" applyFill="1" applyAlignment="1">
      <alignment horizontal="center" vertical="center"/>
    </xf>
    <xf numFmtId="0" fontId="128" fillId="2" borderId="0" xfId="5" applyFont="1" applyFill="1" applyAlignment="1">
      <alignment horizontal="center" vertical="center"/>
    </xf>
    <xf numFmtId="166" fontId="127" fillId="7" borderId="59" xfId="2" applyNumberFormat="1" applyFont="1" applyFill="1" applyBorder="1" applyAlignment="1">
      <alignment horizontal="center" vertical="center"/>
    </xf>
    <xf numFmtId="166" fontId="127" fillId="7" borderId="54" xfId="2" applyNumberFormat="1" applyFont="1" applyFill="1" applyBorder="1" applyAlignment="1">
      <alignment horizontal="center" vertical="center" wrapText="1"/>
    </xf>
    <xf numFmtId="166" fontId="123" fillId="7" borderId="54" xfId="5" applyNumberFormat="1" applyFont="1" applyFill="1" applyBorder="1" applyAlignment="1">
      <alignment horizontal="center" vertical="center"/>
    </xf>
    <xf numFmtId="0" fontId="128" fillId="2" borderId="54" xfId="5" applyFont="1" applyFill="1" applyBorder="1" applyAlignment="1">
      <alignment horizontal="center" vertical="center"/>
    </xf>
    <xf numFmtId="0" fontId="128" fillId="4" borderId="54" xfId="5" applyFont="1" applyFill="1" applyBorder="1" applyAlignment="1">
      <alignment horizontal="left" vertical="center"/>
    </xf>
    <xf numFmtId="170" fontId="123" fillId="2" borderId="44" xfId="2" applyNumberFormat="1" applyFont="1" applyFill="1" applyBorder="1" applyAlignment="1">
      <alignment horizontal="center" vertical="center"/>
    </xf>
    <xf numFmtId="166" fontId="127" fillId="7" borderId="57" xfId="2" applyNumberFormat="1" applyFont="1" applyFill="1" applyBorder="1" applyAlignment="1">
      <alignment horizontal="center" vertical="center"/>
    </xf>
    <xf numFmtId="166" fontId="127" fillId="7" borderId="19" xfId="2" applyNumberFormat="1" applyFont="1" applyFill="1" applyBorder="1" applyAlignment="1">
      <alignment horizontal="center" vertical="center" wrapText="1"/>
    </xf>
    <xf numFmtId="166" fontId="143" fillId="7" borderId="19" xfId="2" applyNumberFormat="1" applyFont="1" applyFill="1" applyBorder="1" applyAlignment="1">
      <alignment horizontal="center" vertical="center" wrapText="1"/>
    </xf>
    <xf numFmtId="170" fontId="123" fillId="2" borderId="2" xfId="2" applyNumberFormat="1" applyFont="1" applyFill="1" applyBorder="1" applyAlignment="1">
      <alignment horizontal="center" vertical="center"/>
    </xf>
    <xf numFmtId="166" fontId="127" fillId="7" borderId="45" xfId="2" applyNumberFormat="1" applyFont="1" applyFill="1" applyBorder="1" applyAlignment="1">
      <alignment horizontal="center" vertical="center" wrapText="1"/>
    </xf>
    <xf numFmtId="166" fontId="127" fillId="7" borderId="67" xfId="2" applyNumberFormat="1" applyFont="1" applyFill="1" applyBorder="1" applyAlignment="1">
      <alignment horizontal="center" vertical="center" wrapText="1"/>
    </xf>
    <xf numFmtId="166" fontId="123" fillId="7" borderId="67" xfId="2" applyNumberFormat="1" applyFont="1" applyFill="1" applyBorder="1" applyAlignment="1">
      <alignment horizontal="center" vertical="center"/>
    </xf>
    <xf numFmtId="0" fontId="123" fillId="2" borderId="44" xfId="2" applyFont="1" applyFill="1" applyBorder="1" applyAlignment="1">
      <alignment horizontal="center" vertical="center"/>
    </xf>
    <xf numFmtId="0" fontId="123" fillId="0" borderId="67" xfId="2" applyFont="1" applyBorder="1" applyAlignment="1">
      <alignment horizontal="center" vertical="center"/>
    </xf>
    <xf numFmtId="1" fontId="123" fillId="0" borderId="44" xfId="2" applyNumberFormat="1" applyFont="1" applyBorder="1" applyAlignment="1">
      <alignment horizontal="center" vertical="center"/>
    </xf>
    <xf numFmtId="0" fontId="140" fillId="15" borderId="44" xfId="5" applyFont="1" applyFill="1" applyBorder="1" applyAlignment="1">
      <alignment horizontal="center" vertical="center"/>
    </xf>
    <xf numFmtId="166" fontId="140" fillId="15" borderId="67" xfId="5" applyNumberFormat="1" applyFont="1" applyFill="1" applyBorder="1" applyAlignment="1">
      <alignment horizontal="center" vertical="center"/>
    </xf>
    <xf numFmtId="0" fontId="125" fillId="8" borderId="62" xfId="5" applyFont="1" applyFill="1" applyBorder="1" applyAlignment="1">
      <alignment horizontal="center" vertical="center"/>
    </xf>
    <xf numFmtId="0" fontId="125" fillId="2" borderId="67" xfId="5" applyFont="1" applyFill="1" applyBorder="1" applyAlignment="1">
      <alignment horizontal="center" vertical="center"/>
    </xf>
    <xf numFmtId="0" fontId="125" fillId="2" borderId="44" xfId="5" applyFont="1" applyFill="1" applyBorder="1" applyAlignment="1">
      <alignment horizontal="center" vertical="center"/>
    </xf>
    <xf numFmtId="0" fontId="128" fillId="4" borderId="67" xfId="5" applyFont="1" applyFill="1" applyBorder="1" applyAlignment="1">
      <alignment horizontal="left" vertical="center"/>
    </xf>
    <xf numFmtId="166" fontId="127" fillId="7" borderId="51" xfId="2" applyNumberFormat="1" applyFont="1" applyFill="1" applyBorder="1" applyAlignment="1">
      <alignment horizontal="center" vertical="center" wrapText="1"/>
    </xf>
    <xf numFmtId="0" fontId="128" fillId="2" borderId="14" xfId="2" applyFont="1" applyFill="1" applyBorder="1" applyAlignment="1">
      <alignment horizontal="center" vertical="center"/>
    </xf>
    <xf numFmtId="0" fontId="123" fillId="2" borderId="14" xfId="2" applyFont="1" applyFill="1" applyBorder="1" applyAlignment="1">
      <alignment horizontal="center" vertical="center"/>
    </xf>
    <xf numFmtId="0" fontId="123" fillId="0" borderId="0" xfId="2" applyFont="1" applyAlignment="1">
      <alignment horizontal="center" vertical="center"/>
    </xf>
    <xf numFmtId="1" fontId="123" fillId="0" borderId="14" xfId="2" applyNumberFormat="1" applyFont="1" applyBorder="1" applyAlignment="1">
      <alignment horizontal="center" vertical="center"/>
    </xf>
    <xf numFmtId="0" fontId="128" fillId="7" borderId="10" xfId="5" applyFont="1" applyFill="1" applyBorder="1" applyAlignment="1">
      <alignment horizontal="center" vertical="center"/>
    </xf>
    <xf numFmtId="166" fontId="128" fillId="7" borderId="19" xfId="5" applyNumberFormat="1" applyFont="1" applyFill="1" applyBorder="1" applyAlignment="1">
      <alignment horizontal="center" vertical="center"/>
    </xf>
    <xf numFmtId="166" fontId="127" fillId="7" borderId="64" xfId="2" applyNumberFormat="1" applyFont="1" applyFill="1" applyBorder="1" applyAlignment="1">
      <alignment horizontal="center" vertical="center" wrapText="1"/>
    </xf>
    <xf numFmtId="166" fontId="127" fillId="7" borderId="21" xfId="2" applyNumberFormat="1" applyFont="1" applyFill="1" applyBorder="1" applyAlignment="1">
      <alignment horizontal="center" vertical="center" wrapText="1"/>
    </xf>
    <xf numFmtId="0" fontId="123" fillId="0" borderId="21" xfId="2" applyFont="1" applyBorder="1" applyAlignment="1">
      <alignment horizontal="center" vertical="center"/>
    </xf>
    <xf numFmtId="1" fontId="123" fillId="0" borderId="20" xfId="2" applyNumberFormat="1" applyFont="1" applyBorder="1" applyAlignment="1">
      <alignment horizontal="center" vertical="center"/>
    </xf>
    <xf numFmtId="0" fontId="128" fillId="8" borderId="10" xfId="5" applyFont="1" applyFill="1" applyBorder="1" applyAlignment="1">
      <alignment horizontal="center" vertical="center"/>
    </xf>
    <xf numFmtId="166" fontId="143" fillId="7" borderId="57" xfId="2" applyNumberFormat="1" applyFont="1" applyFill="1" applyBorder="1" applyAlignment="1">
      <alignment horizontal="center" vertical="center" wrapText="1"/>
    </xf>
    <xf numFmtId="0" fontId="128" fillId="4" borderId="19" xfId="5" applyFont="1" applyFill="1" applyBorder="1" applyAlignment="1">
      <alignment horizontal="left" vertical="center" wrapText="1"/>
    </xf>
    <xf numFmtId="164" fontId="125" fillId="8" borderId="10" xfId="5" applyNumberFormat="1" applyFont="1" applyFill="1" applyBorder="1" applyAlignment="1">
      <alignment horizontal="center" vertical="center"/>
    </xf>
    <xf numFmtId="0" fontId="123" fillId="7" borderId="19" xfId="5" applyFont="1" applyFill="1" applyBorder="1" applyAlignment="1">
      <alignment horizontal="center" vertical="center"/>
    </xf>
    <xf numFmtId="0" fontId="123" fillId="2" borderId="19" xfId="5" applyFont="1" applyFill="1" applyBorder="1" applyAlignment="1">
      <alignment horizontal="center" vertical="center"/>
    </xf>
    <xf numFmtId="0" fontId="123" fillId="2" borderId="10" xfId="5" applyFont="1" applyFill="1" applyBorder="1" applyAlignment="1">
      <alignment horizontal="center" vertical="center"/>
    </xf>
    <xf numFmtId="0" fontId="123" fillId="4" borderId="19" xfId="5" applyFont="1" applyFill="1" applyBorder="1" applyAlignment="1">
      <alignment horizontal="left" vertical="center"/>
    </xf>
    <xf numFmtId="166" fontId="143" fillId="7" borderId="21" xfId="2" applyNumberFormat="1" applyFont="1" applyFill="1" applyBorder="1" applyAlignment="1">
      <alignment horizontal="center" vertical="center" wrapText="1"/>
    </xf>
    <xf numFmtId="166" fontId="122" fillId="7" borderId="21" xfId="2" applyNumberFormat="1" applyFont="1" applyFill="1" applyBorder="1" applyAlignment="1">
      <alignment horizontal="center" vertical="center" wrapText="1"/>
    </xf>
    <xf numFmtId="166" fontId="144" fillId="7" borderId="19" xfId="2" applyNumberFormat="1" applyFont="1" applyFill="1" applyBorder="1" applyAlignment="1">
      <alignment horizontal="center" vertical="center"/>
    </xf>
    <xf numFmtId="0" fontId="145" fillId="7" borderId="19" xfId="2" applyFont="1" applyFill="1" applyBorder="1" applyAlignment="1">
      <alignment horizontal="center" vertical="center"/>
    </xf>
    <xf numFmtId="1" fontId="123" fillId="2" borderId="10" xfId="2" applyNumberFormat="1" applyFont="1" applyFill="1" applyBorder="1" applyAlignment="1">
      <alignment horizontal="center" vertical="center"/>
    </xf>
    <xf numFmtId="0" fontId="128" fillId="4" borderId="18" xfId="5" applyFont="1" applyFill="1" applyBorder="1" applyAlignment="1">
      <alignment horizontal="left" vertical="center"/>
    </xf>
    <xf numFmtId="0" fontId="123" fillId="7" borderId="44" xfId="5" applyFont="1" applyFill="1" applyBorder="1" applyAlignment="1">
      <alignment horizontal="center" vertical="center"/>
    </xf>
    <xf numFmtId="0" fontId="123" fillId="7" borderId="67" xfId="5" applyFont="1" applyFill="1" applyBorder="1" applyAlignment="1">
      <alignment horizontal="center" vertical="center"/>
    </xf>
    <xf numFmtId="0" fontId="123" fillId="2" borderId="67" xfId="5" applyFont="1" applyFill="1" applyBorder="1" applyAlignment="1">
      <alignment horizontal="center" vertical="center"/>
    </xf>
    <xf numFmtId="0" fontId="123" fillId="2" borderId="44" xfId="5" applyFont="1" applyFill="1" applyBorder="1" applyAlignment="1">
      <alignment horizontal="center" vertical="center"/>
    </xf>
    <xf numFmtId="0" fontId="123" fillId="4" borderId="67" xfId="5" applyFont="1" applyFill="1" applyBorder="1" applyAlignment="1">
      <alignment horizontal="left" vertical="center"/>
    </xf>
    <xf numFmtId="166" fontId="143" fillId="7" borderId="64" xfId="2" applyNumberFormat="1" applyFont="1" applyFill="1" applyBorder="1" applyAlignment="1">
      <alignment horizontal="center" vertical="center" wrapText="1"/>
    </xf>
    <xf numFmtId="0" fontId="125" fillId="8" borderId="44" xfId="5" applyFont="1" applyFill="1" applyBorder="1" applyAlignment="1">
      <alignment horizontal="center" vertical="center"/>
    </xf>
    <xf numFmtId="0" fontId="125" fillId="4" borderId="67" xfId="5" applyFont="1" applyFill="1" applyBorder="1" applyAlignment="1">
      <alignment horizontal="left" vertical="center"/>
    </xf>
    <xf numFmtId="0" fontId="128" fillId="2" borderId="44" xfId="5" applyFont="1" applyFill="1" applyBorder="1" applyAlignment="1">
      <alignment horizontal="center" vertical="center"/>
    </xf>
    <xf numFmtId="170" fontId="123" fillId="2" borderId="67" xfId="2" applyNumberFormat="1" applyFont="1" applyFill="1" applyBorder="1" applyAlignment="1">
      <alignment horizontal="center" vertical="center"/>
    </xf>
    <xf numFmtId="166" fontId="127" fillId="7" borderId="60" xfId="2" applyNumberFormat="1" applyFont="1" applyFill="1" applyBorder="1" applyAlignment="1">
      <alignment horizontal="center" vertical="center" wrapText="1"/>
    </xf>
    <xf numFmtId="0" fontId="123" fillId="7" borderId="23" xfId="5" applyFont="1" applyFill="1" applyBorder="1" applyAlignment="1">
      <alignment horizontal="center" vertical="center"/>
    </xf>
    <xf numFmtId="166" fontId="123" fillId="7" borderId="35" xfId="5" applyNumberFormat="1" applyFont="1" applyFill="1" applyBorder="1" applyAlignment="1">
      <alignment horizontal="center" vertical="center"/>
    </xf>
    <xf numFmtId="0" fontId="128" fillId="2" borderId="35" xfId="5" applyFont="1" applyFill="1" applyBorder="1" applyAlignment="1">
      <alignment horizontal="center" vertical="center"/>
    </xf>
    <xf numFmtId="0" fontId="128" fillId="2" borderId="23" xfId="5" applyFont="1" applyFill="1" applyBorder="1" applyAlignment="1">
      <alignment horizontal="center" vertical="center"/>
    </xf>
    <xf numFmtId="0" fontId="128" fillId="4" borderId="35" xfId="5" applyFont="1" applyFill="1" applyBorder="1" applyAlignment="1">
      <alignment horizontal="left" vertical="center"/>
    </xf>
    <xf numFmtId="166" fontId="145" fillId="2" borderId="0" xfId="2" applyNumberFormat="1" applyFont="1" applyFill="1" applyAlignment="1">
      <alignment horizontal="center" vertical="center" wrapText="1"/>
    </xf>
    <xf numFmtId="166" fontId="143" fillId="2" borderId="0" xfId="2" applyNumberFormat="1" applyFont="1" applyFill="1" applyAlignment="1">
      <alignment horizontal="center" vertical="center" wrapText="1"/>
    </xf>
    <xf numFmtId="0" fontId="128" fillId="2" borderId="0" xfId="5" applyFont="1" applyFill="1" applyAlignment="1">
      <alignment horizontal="left" vertical="center"/>
    </xf>
    <xf numFmtId="166" fontId="144" fillId="7" borderId="59" xfId="2" applyNumberFormat="1" applyFont="1" applyFill="1" applyBorder="1" applyAlignment="1">
      <alignment horizontal="center" vertical="center" wrapText="1"/>
    </xf>
    <xf numFmtId="166" fontId="144" fillId="7" borderId="54" xfId="2" applyNumberFormat="1" applyFont="1" applyFill="1" applyBorder="1" applyAlignment="1">
      <alignment horizontal="center" vertical="center" wrapText="1"/>
    </xf>
    <xf numFmtId="0" fontId="123" fillId="2" borderId="6" xfId="2" applyFont="1" applyFill="1" applyBorder="1" applyAlignment="1">
      <alignment horizontal="center" vertical="center"/>
    </xf>
    <xf numFmtId="0" fontId="123" fillId="2" borderId="54" xfId="2" applyFont="1" applyFill="1" applyBorder="1" applyAlignment="1">
      <alignment horizontal="center" vertical="center"/>
    </xf>
    <xf numFmtId="1" fontId="123" fillId="2" borderId="6" xfId="2" applyNumberFormat="1" applyFont="1" applyFill="1" applyBorder="1" applyAlignment="1">
      <alignment horizontal="center" vertical="center"/>
    </xf>
    <xf numFmtId="0" fontId="123" fillId="2" borderId="2" xfId="2" applyFont="1" applyFill="1" applyBorder="1" applyAlignment="1">
      <alignment horizontal="center" vertical="center"/>
    </xf>
    <xf numFmtId="0" fontId="125" fillId="2" borderId="59" xfId="5" applyFont="1" applyFill="1" applyBorder="1" applyAlignment="1">
      <alignment horizontal="center" vertical="center"/>
    </xf>
    <xf numFmtId="0" fontId="125" fillId="2" borderId="6" xfId="5" applyFont="1" applyFill="1" applyBorder="1" applyAlignment="1">
      <alignment horizontal="center" vertical="center"/>
    </xf>
    <xf numFmtId="0" fontId="125" fillId="8" borderId="55" xfId="5" applyFont="1" applyFill="1" applyBorder="1" applyAlignment="1">
      <alignment horizontal="center" vertical="center"/>
    </xf>
    <xf numFmtId="166" fontId="144" fillId="7" borderId="57" xfId="2" applyNumberFormat="1" applyFont="1" applyFill="1" applyBorder="1" applyAlignment="1">
      <alignment horizontal="center" vertical="center"/>
    </xf>
    <xf numFmtId="166" fontId="144" fillId="7" borderId="67" xfId="2" applyNumberFormat="1" applyFont="1" applyFill="1" applyBorder="1" applyAlignment="1">
      <alignment horizontal="center" vertical="center"/>
    </xf>
    <xf numFmtId="166" fontId="144" fillId="7" borderId="64" xfId="2" applyNumberFormat="1" applyFont="1" applyFill="1" applyBorder="1" applyAlignment="1">
      <alignment horizontal="center" vertical="center" wrapText="1"/>
    </xf>
    <xf numFmtId="166" fontId="144" fillId="7" borderId="0" xfId="2" applyNumberFormat="1" applyFont="1" applyFill="1" applyAlignment="1">
      <alignment horizontal="center" vertical="center" wrapText="1"/>
    </xf>
    <xf numFmtId="49" fontId="144" fillId="7" borderId="19" xfId="2" applyNumberFormat="1" applyFont="1" applyFill="1" applyBorder="1" applyAlignment="1">
      <alignment horizontal="center" vertical="center"/>
    </xf>
    <xf numFmtId="0" fontId="128" fillId="7" borderId="19" xfId="2" applyFont="1" applyFill="1" applyBorder="1" applyAlignment="1">
      <alignment horizontal="center" vertical="center"/>
    </xf>
    <xf numFmtId="0" fontId="123" fillId="7" borderId="44" xfId="2" applyFont="1" applyFill="1" applyBorder="1" applyAlignment="1">
      <alignment horizontal="center" vertical="center"/>
    </xf>
    <xf numFmtId="0" fontId="123" fillId="2" borderId="67" xfId="2" applyFont="1" applyFill="1" applyBorder="1" applyAlignment="1">
      <alignment horizontal="center" vertical="center"/>
    </xf>
    <xf numFmtId="0" fontId="123" fillId="2" borderId="45" xfId="2" applyFont="1" applyFill="1" applyBorder="1" applyAlignment="1">
      <alignment horizontal="center" vertical="center"/>
    </xf>
    <xf numFmtId="164" fontId="128" fillId="2" borderId="62" xfId="2" applyNumberFormat="1" applyFont="1" applyFill="1" applyBorder="1" applyAlignment="1">
      <alignment horizontal="center" vertical="center"/>
    </xf>
    <xf numFmtId="49" fontId="144" fillId="7" borderId="21" xfId="2" applyNumberFormat="1" applyFont="1" applyFill="1" applyBorder="1" applyAlignment="1">
      <alignment horizontal="center" vertical="center"/>
    </xf>
    <xf numFmtId="0" fontId="128" fillId="7" borderId="21" xfId="2" applyFont="1" applyFill="1" applyBorder="1" applyAlignment="1">
      <alignment horizontal="center" vertical="center"/>
    </xf>
    <xf numFmtId="0" fontId="123" fillId="2" borderId="57" xfId="2" applyFont="1" applyFill="1" applyBorder="1" applyAlignment="1">
      <alignment horizontal="center" vertical="center"/>
    </xf>
    <xf numFmtId="0" fontId="123" fillId="2" borderId="18" xfId="2" applyFont="1" applyFill="1" applyBorder="1" applyAlignment="1">
      <alignment horizontal="center" vertical="center"/>
    </xf>
    <xf numFmtId="166" fontId="144" fillId="7" borderId="21" xfId="2" applyNumberFormat="1" applyFont="1" applyFill="1" applyBorder="1" applyAlignment="1">
      <alignment horizontal="center" vertical="center"/>
    </xf>
    <xf numFmtId="0" fontId="145" fillId="7" borderId="21" xfId="2" applyFont="1" applyFill="1" applyBorder="1" applyAlignment="1">
      <alignment horizontal="center" vertical="center"/>
    </xf>
    <xf numFmtId="166" fontId="144" fillId="7" borderId="19" xfId="2" applyNumberFormat="1" applyFont="1" applyFill="1" applyBorder="1" applyAlignment="1">
      <alignment horizontal="center" vertical="center" wrapText="1"/>
    </xf>
    <xf numFmtId="166" fontId="144" fillId="7" borderId="60" xfId="2" applyNumberFormat="1" applyFont="1" applyFill="1" applyBorder="1" applyAlignment="1">
      <alignment horizontal="center" vertical="center"/>
    </xf>
    <xf numFmtId="166" fontId="144" fillId="7" borderId="35" xfId="2" applyNumberFormat="1" applyFont="1" applyFill="1" applyBorder="1" applyAlignment="1">
      <alignment horizontal="center" vertical="center"/>
    </xf>
    <xf numFmtId="166" fontId="123" fillId="7" borderId="35" xfId="2" applyNumberFormat="1" applyFont="1" applyFill="1" applyBorder="1" applyAlignment="1">
      <alignment horizontal="center" vertical="center"/>
    </xf>
    <xf numFmtId="0" fontId="123" fillId="2" borderId="35" xfId="2" applyFont="1" applyFill="1" applyBorder="1" applyAlignment="1">
      <alignment horizontal="center" vertical="center"/>
    </xf>
    <xf numFmtId="1" fontId="123" fillId="2" borderId="23" xfId="2" applyNumberFormat="1" applyFont="1" applyFill="1" applyBorder="1" applyAlignment="1">
      <alignment horizontal="center" vertical="center"/>
    </xf>
    <xf numFmtId="0" fontId="140" fillId="15" borderId="23" xfId="5" applyFont="1" applyFill="1" applyBorder="1" applyAlignment="1">
      <alignment horizontal="center" vertical="center"/>
    </xf>
    <xf numFmtId="166" fontId="140" fillId="15" borderId="35" xfId="5" applyNumberFormat="1" applyFont="1" applyFill="1" applyBorder="1" applyAlignment="1">
      <alignment horizontal="center" vertical="center"/>
    </xf>
    <xf numFmtId="0" fontId="125" fillId="2" borderId="60" xfId="5" applyFont="1" applyFill="1" applyBorder="1" applyAlignment="1">
      <alignment horizontal="center" vertical="center"/>
    </xf>
    <xf numFmtId="166" fontId="123" fillId="7" borderId="37" xfId="2" applyNumberFormat="1" applyFont="1" applyFill="1" applyBorder="1" applyAlignment="1">
      <alignment horizontal="center" vertical="center"/>
    </xf>
    <xf numFmtId="166" fontId="123" fillId="7" borderId="3" xfId="2" applyNumberFormat="1" applyFont="1" applyFill="1" applyBorder="1" applyAlignment="1">
      <alignment horizontal="center" vertical="center"/>
    </xf>
    <xf numFmtId="166" fontId="123" fillId="7" borderId="4" xfId="2" applyNumberFormat="1" applyFont="1" applyFill="1" applyBorder="1" applyAlignment="1">
      <alignment horizontal="center" vertical="center"/>
    </xf>
    <xf numFmtId="0" fontId="123" fillId="7" borderId="3" xfId="2" applyFont="1" applyFill="1" applyBorder="1" applyAlignment="1">
      <alignment horizontal="center" vertical="center"/>
    </xf>
    <xf numFmtId="1" fontId="123" fillId="7" borderId="5" xfId="2" applyNumberFormat="1" applyFont="1" applyFill="1" applyBorder="1" applyAlignment="1">
      <alignment horizontal="center" vertical="center"/>
    </xf>
    <xf numFmtId="1" fontId="123" fillId="7" borderId="37" xfId="2" applyNumberFormat="1" applyFont="1" applyFill="1" applyBorder="1" applyAlignment="1">
      <alignment horizontal="center" vertical="center"/>
    </xf>
    <xf numFmtId="1" fontId="123" fillId="7" borderId="4" xfId="2" applyNumberFormat="1" applyFont="1" applyFill="1" applyBorder="1" applyAlignment="1">
      <alignment horizontal="center" vertical="center"/>
    </xf>
    <xf numFmtId="0" fontId="124" fillId="7" borderId="37" xfId="2" applyFont="1" applyFill="1" applyBorder="1" applyAlignment="1">
      <alignment horizontal="center" vertical="center"/>
    </xf>
    <xf numFmtId="0" fontId="124" fillId="7" borderId="3" xfId="2" applyFont="1" applyFill="1" applyBorder="1" applyAlignment="1">
      <alignment horizontal="center" vertical="center"/>
    </xf>
    <xf numFmtId="0" fontId="128" fillId="7" borderId="4" xfId="2" applyFont="1" applyFill="1" applyBorder="1" applyAlignment="1">
      <alignment horizontal="center" vertical="center"/>
    </xf>
    <xf numFmtId="0" fontId="136" fillId="7" borderId="3" xfId="2" applyFont="1" applyFill="1" applyBorder="1" applyAlignment="1">
      <alignment horizontal="center" vertical="center"/>
    </xf>
    <xf numFmtId="0" fontId="136" fillId="2" borderId="0" xfId="2" applyFont="1" applyFill="1" applyAlignment="1">
      <alignment horizontal="left" vertical="center"/>
    </xf>
    <xf numFmtId="0" fontId="138" fillId="2" borderId="0" xfId="2" applyFont="1" applyFill="1" applyAlignment="1">
      <alignment horizontal="left" vertical="center"/>
    </xf>
    <xf numFmtId="1" fontId="136" fillId="2" borderId="0" xfId="2" applyNumberFormat="1" applyFont="1" applyFill="1" applyAlignment="1">
      <alignment horizontal="center" vertical="center"/>
    </xf>
    <xf numFmtId="0" fontId="132" fillId="2" borderId="0" xfId="2" applyFont="1" applyFill="1" applyAlignment="1">
      <alignment horizontal="center" vertical="center"/>
    </xf>
    <xf numFmtId="0" fontId="132" fillId="2" borderId="0" xfId="2" applyFont="1" applyFill="1" applyAlignment="1">
      <alignment horizontal="center" vertical="center" wrapText="1"/>
    </xf>
    <xf numFmtId="0" fontId="136" fillId="43" borderId="59" xfId="1" applyFont="1" applyFill="1" applyBorder="1" applyAlignment="1">
      <alignment horizontal="center" vertical="center"/>
    </xf>
    <xf numFmtId="0" fontId="136" fillId="43" borderId="57" xfId="1" applyFont="1" applyFill="1" applyBorder="1" applyAlignment="1">
      <alignment horizontal="center" vertical="center"/>
    </xf>
    <xf numFmtId="0" fontId="136" fillId="43" borderId="60" xfId="1" applyFont="1" applyFill="1" applyBorder="1" applyAlignment="1">
      <alignment horizontal="center" vertical="center"/>
    </xf>
    <xf numFmtId="0" fontId="148" fillId="2" borderId="0" xfId="2" applyFont="1" applyFill="1" applyAlignment="1">
      <alignment horizontal="center" vertical="center"/>
    </xf>
    <xf numFmtId="0" fontId="131" fillId="0" borderId="0" xfId="2" applyFont="1"/>
    <xf numFmtId="0" fontId="136" fillId="0" borderId="0" xfId="2" applyFont="1"/>
    <xf numFmtId="0" fontId="136" fillId="43" borderId="5" xfId="2" applyFont="1" applyFill="1" applyBorder="1" applyAlignment="1">
      <alignment horizontal="center" vertical="center"/>
    </xf>
    <xf numFmtId="0" fontId="123" fillId="7" borderId="54" xfId="2" applyFont="1" applyFill="1" applyBorder="1" applyAlignment="1">
      <alignment horizontal="center" vertical="center"/>
    </xf>
    <xf numFmtId="166" fontId="140" fillId="15" borderId="6" xfId="5" applyNumberFormat="1" applyFont="1" applyFill="1" applyBorder="1" applyAlignment="1">
      <alignment horizontal="center" vertical="center"/>
    </xf>
    <xf numFmtId="0" fontId="123" fillId="0" borderId="2" xfId="2" applyFont="1" applyBorder="1" applyAlignment="1">
      <alignment horizontal="center" vertical="center"/>
    </xf>
    <xf numFmtId="166" fontId="126" fillId="7" borderId="45" xfId="2" applyNumberFormat="1" applyFont="1" applyFill="1" applyBorder="1" applyAlignment="1">
      <alignment horizontal="center" vertical="center"/>
    </xf>
    <xf numFmtId="166" fontId="126" fillId="7" borderId="67" xfId="2" applyNumberFormat="1" applyFont="1" applyFill="1" applyBorder="1" applyAlignment="1">
      <alignment horizontal="center" vertical="center"/>
    </xf>
    <xf numFmtId="166" fontId="126" fillId="7" borderId="67" xfId="2" applyNumberFormat="1" applyFont="1" applyFill="1" applyBorder="1" applyAlignment="1">
      <alignment horizontal="center" vertical="center" wrapText="1"/>
    </xf>
    <xf numFmtId="0" fontId="123" fillId="2" borderId="44" xfId="2" applyFont="1" applyFill="1" applyBorder="1" applyAlignment="1">
      <alignment horizontal="center" vertical="center" wrapText="1"/>
    </xf>
    <xf numFmtId="166" fontId="126" fillId="7" borderId="0" xfId="2" applyNumberFormat="1" applyFont="1" applyFill="1" applyAlignment="1">
      <alignment horizontal="center" vertical="center" wrapText="1"/>
    </xf>
    <xf numFmtId="0" fontId="123" fillId="2" borderId="14" xfId="2" applyFont="1" applyFill="1" applyBorder="1" applyAlignment="1">
      <alignment horizontal="center" vertical="center" wrapText="1"/>
    </xf>
    <xf numFmtId="0" fontId="123" fillId="7" borderId="35" xfId="5" applyFont="1" applyFill="1" applyBorder="1" applyAlignment="1">
      <alignment horizontal="center" vertical="center"/>
    </xf>
    <xf numFmtId="166" fontId="127" fillId="7" borderId="2" xfId="2" applyNumberFormat="1" applyFont="1" applyFill="1" applyBorder="1" applyAlignment="1">
      <alignment horizontal="center" vertical="center" wrapText="1"/>
    </xf>
    <xf numFmtId="0" fontId="123" fillId="2" borderId="41" xfId="2" applyFont="1" applyFill="1" applyBorder="1" applyAlignment="1">
      <alignment horizontal="center" vertical="center" wrapText="1"/>
    </xf>
    <xf numFmtId="166" fontId="123" fillId="7" borderId="2" xfId="2" applyNumberFormat="1" applyFont="1" applyFill="1" applyBorder="1" applyAlignment="1">
      <alignment horizontal="center" vertical="center"/>
    </xf>
    <xf numFmtId="0" fontId="123" fillId="0" borderId="41" xfId="2" applyFont="1" applyBorder="1" applyAlignment="1">
      <alignment horizontal="center" vertical="center"/>
    </xf>
    <xf numFmtId="0" fontId="123" fillId="7" borderId="6" xfId="2" applyFont="1" applyFill="1" applyBorder="1" applyAlignment="1">
      <alignment horizontal="center" vertical="center"/>
    </xf>
    <xf numFmtId="0" fontId="128" fillId="4" borderId="54" xfId="2" applyFont="1" applyFill="1" applyBorder="1" applyAlignment="1">
      <alignment horizontal="left" vertical="center"/>
    </xf>
    <xf numFmtId="164" fontId="128" fillId="2" borderId="6" xfId="2" applyNumberFormat="1" applyFont="1" applyFill="1" applyBorder="1" applyAlignment="1">
      <alignment horizontal="center" vertical="center"/>
    </xf>
    <xf numFmtId="166" fontId="123" fillId="7" borderId="67" xfId="5" applyNumberFormat="1" applyFont="1" applyFill="1" applyBorder="1" applyAlignment="1">
      <alignment horizontal="center" vertical="center"/>
    </xf>
    <xf numFmtId="166" fontId="127" fillId="7" borderId="10" xfId="2" applyNumberFormat="1" applyFont="1" applyFill="1" applyBorder="1" applyAlignment="1">
      <alignment horizontal="center" vertical="center"/>
    </xf>
    <xf numFmtId="0" fontId="123" fillId="0" borderId="57" xfId="2" applyFont="1" applyBorder="1" applyAlignment="1">
      <alignment horizontal="center" vertical="center"/>
    </xf>
    <xf numFmtId="166" fontId="140" fillId="15" borderId="18" xfId="5" applyNumberFormat="1" applyFont="1" applyFill="1" applyBorder="1" applyAlignment="1">
      <alignment horizontal="center" vertical="center"/>
    </xf>
    <xf numFmtId="0" fontId="123" fillId="2" borderId="18" xfId="5" applyFont="1" applyFill="1" applyBorder="1" applyAlignment="1">
      <alignment horizontal="center" vertical="center"/>
    </xf>
    <xf numFmtId="166" fontId="143" fillId="7" borderId="67" xfId="2" applyNumberFormat="1" applyFont="1" applyFill="1" applyBorder="1" applyAlignment="1">
      <alignment horizontal="center" vertical="center" wrapText="1"/>
    </xf>
    <xf numFmtId="0" fontId="131" fillId="0" borderId="51" xfId="1" applyFont="1" applyBorder="1"/>
    <xf numFmtId="170" fontId="123" fillId="2" borderId="14" xfId="2" applyNumberFormat="1" applyFont="1" applyFill="1" applyBorder="1" applyAlignment="1">
      <alignment horizontal="center" vertical="center"/>
    </xf>
    <xf numFmtId="166" fontId="143" fillId="7" borderId="51" xfId="2" applyNumberFormat="1" applyFont="1" applyFill="1" applyBorder="1" applyAlignment="1">
      <alignment horizontal="center" vertical="center" wrapText="1"/>
    </xf>
    <xf numFmtId="166" fontId="143" fillId="7" borderId="0" xfId="2" applyNumberFormat="1" applyFont="1" applyFill="1" applyAlignment="1">
      <alignment horizontal="center" vertical="center" wrapText="1"/>
    </xf>
    <xf numFmtId="0" fontId="128" fillId="2" borderId="62" xfId="5" applyFont="1" applyFill="1" applyBorder="1" applyAlignment="1">
      <alignment horizontal="center" vertical="center"/>
    </xf>
    <xf numFmtId="0" fontId="128" fillId="7" borderId="23" xfId="5" applyFont="1" applyFill="1" applyBorder="1" applyAlignment="1">
      <alignment horizontal="center" vertical="center"/>
    </xf>
    <xf numFmtId="166" fontId="128" fillId="7" borderId="35" xfId="5" applyNumberFormat="1" applyFont="1" applyFill="1" applyBorder="1" applyAlignment="1">
      <alignment horizontal="center" vertical="center"/>
    </xf>
    <xf numFmtId="0" fontId="125" fillId="2" borderId="35" xfId="5" applyFont="1" applyFill="1" applyBorder="1" applyAlignment="1">
      <alignment horizontal="center" vertical="center"/>
    </xf>
    <xf numFmtId="166" fontId="144" fillId="7" borderId="6" xfId="2" applyNumberFormat="1" applyFont="1" applyFill="1" applyBorder="1" applyAlignment="1">
      <alignment horizontal="center" vertical="center" wrapText="1"/>
    </xf>
    <xf numFmtId="166" fontId="144" fillId="7" borderId="10" xfId="2" applyNumberFormat="1" applyFont="1" applyFill="1" applyBorder="1" applyAlignment="1">
      <alignment horizontal="center" vertical="center"/>
    </xf>
    <xf numFmtId="0" fontId="144" fillId="7" borderId="19" xfId="2" applyFont="1" applyFill="1" applyBorder="1" applyAlignment="1">
      <alignment horizontal="center" vertical="center"/>
    </xf>
    <xf numFmtId="49" fontId="144" fillId="7" borderId="67" xfId="2" applyNumberFormat="1" applyFont="1" applyFill="1" applyBorder="1" applyAlignment="1">
      <alignment horizontal="center" vertical="center"/>
    </xf>
    <xf numFmtId="166" fontId="144" fillId="7" borderId="10" xfId="2" applyNumberFormat="1" applyFont="1" applyFill="1" applyBorder="1" applyAlignment="1">
      <alignment horizontal="center" vertical="center" wrapText="1"/>
    </xf>
    <xf numFmtId="166" fontId="144" fillId="7" borderId="23" xfId="2" applyNumberFormat="1" applyFont="1" applyFill="1" applyBorder="1" applyAlignment="1">
      <alignment horizontal="center" vertical="center"/>
    </xf>
    <xf numFmtId="0" fontId="128" fillId="2" borderId="60" xfId="5" applyFont="1" applyFill="1" applyBorder="1" applyAlignment="1">
      <alignment horizontal="center" vertical="center"/>
    </xf>
    <xf numFmtId="0" fontId="136" fillId="2" borderId="39" xfId="2" applyFont="1" applyFill="1" applyBorder="1" applyAlignment="1">
      <alignment horizontal="center" vertical="center"/>
    </xf>
    <xf numFmtId="0" fontId="136" fillId="2" borderId="51" xfId="2" applyFont="1" applyFill="1" applyBorder="1" applyAlignment="1">
      <alignment horizontal="center" vertical="center"/>
    </xf>
    <xf numFmtId="0" fontId="136" fillId="2" borderId="0" xfId="2" applyFont="1" applyFill="1" applyAlignment="1">
      <alignment horizontal="center" vertical="center"/>
    </xf>
    <xf numFmtId="167" fontId="124" fillId="0" borderId="39" xfId="2" applyNumberFormat="1" applyFont="1" applyBorder="1" applyAlignment="1">
      <alignment horizontal="center" vertical="center"/>
    </xf>
    <xf numFmtId="167" fontId="128" fillId="0" borderId="40" xfId="2" applyNumberFormat="1" applyFont="1" applyBorder="1" applyAlignment="1">
      <alignment horizontal="center" vertical="center"/>
    </xf>
    <xf numFmtId="1" fontId="128" fillId="10" borderId="4" xfId="2" applyNumberFormat="1" applyFont="1" applyFill="1" applyBorder="1" applyAlignment="1">
      <alignment horizontal="center" vertical="center"/>
    </xf>
    <xf numFmtId="0" fontId="128" fillId="7" borderId="5" xfId="2" applyFont="1" applyFill="1" applyBorder="1" applyAlignment="1">
      <alignment horizontal="center" vertical="center"/>
    </xf>
    <xf numFmtId="166" fontId="122" fillId="7" borderId="67" xfId="2" applyNumberFormat="1" applyFont="1" applyFill="1" applyBorder="1" applyAlignment="1">
      <alignment horizontal="center" vertical="center" wrapText="1"/>
    </xf>
    <xf numFmtId="0" fontId="141" fillId="2" borderId="10" xfId="2" applyFont="1" applyFill="1" applyBorder="1" applyAlignment="1">
      <alignment horizontal="center" vertical="center"/>
    </xf>
    <xf numFmtId="170" fontId="123" fillId="2" borderId="50" xfId="2" applyNumberFormat="1" applyFont="1" applyFill="1" applyBorder="1" applyAlignment="1">
      <alignment horizontal="center" vertical="center"/>
    </xf>
    <xf numFmtId="166" fontId="126" fillId="7" borderId="38" xfId="2" applyNumberFormat="1" applyFont="1" applyFill="1" applyBorder="1" applyAlignment="1">
      <alignment horizontal="center" vertical="center" wrapText="1"/>
    </xf>
    <xf numFmtId="0" fontId="128" fillId="2" borderId="50" xfId="2" applyFont="1" applyFill="1" applyBorder="1" applyAlignment="1">
      <alignment horizontal="center" vertical="center"/>
    </xf>
    <xf numFmtId="166" fontId="127" fillId="7" borderId="39" xfId="2" applyNumberFormat="1" applyFont="1" applyFill="1" applyBorder="1" applyAlignment="1">
      <alignment horizontal="center" vertical="center" wrapText="1"/>
    </xf>
    <xf numFmtId="166" fontId="143" fillId="7" borderId="39" xfId="2" applyNumberFormat="1" applyFont="1" applyFill="1" applyBorder="1" applyAlignment="1">
      <alignment horizontal="center" vertical="center" wrapText="1"/>
    </xf>
    <xf numFmtId="0" fontId="123" fillId="0" borderId="39" xfId="2" applyFont="1" applyBorder="1" applyAlignment="1">
      <alignment horizontal="center" vertical="center"/>
    </xf>
    <xf numFmtId="1" fontId="123" fillId="0" borderId="50" xfId="2" applyNumberFormat="1" applyFont="1" applyBorder="1" applyAlignment="1">
      <alignment horizontal="center" vertical="center"/>
    </xf>
    <xf numFmtId="0" fontId="128" fillId="7" borderId="6" xfId="5" applyFont="1" applyFill="1" applyBorder="1" applyAlignment="1">
      <alignment horizontal="center" vertical="center"/>
    </xf>
    <xf numFmtId="166" fontId="128" fillId="7" borderId="54" xfId="5" applyNumberFormat="1" applyFont="1" applyFill="1" applyBorder="1" applyAlignment="1">
      <alignment horizontal="center" vertical="center"/>
    </xf>
    <xf numFmtId="0" fontId="140" fillId="15" borderId="20" xfId="5" applyFont="1" applyFill="1" applyBorder="1" applyAlignment="1">
      <alignment horizontal="center" vertical="center"/>
    </xf>
    <xf numFmtId="166" fontId="140" fillId="15" borderId="21" xfId="5" applyNumberFormat="1" applyFont="1" applyFill="1" applyBorder="1" applyAlignment="1">
      <alignment horizontal="center" vertical="center"/>
    </xf>
    <xf numFmtId="0" fontId="125" fillId="4" borderId="21" xfId="5" applyFont="1" applyFill="1" applyBorder="1" applyAlignment="1">
      <alignment horizontal="left" vertical="center"/>
    </xf>
    <xf numFmtId="170" fontId="123" fillId="2" borderId="39" xfId="2" applyNumberFormat="1" applyFont="1" applyFill="1" applyBorder="1" applyAlignment="1">
      <alignment horizontal="center" vertical="center"/>
    </xf>
    <xf numFmtId="166" fontId="143" fillId="7" borderId="38" xfId="2" applyNumberFormat="1" applyFont="1" applyFill="1" applyBorder="1" applyAlignment="1">
      <alignment horizontal="center" vertical="center" wrapText="1"/>
    </xf>
    <xf numFmtId="166" fontId="128" fillId="2" borderId="0" xfId="5" applyNumberFormat="1" applyFont="1" applyFill="1" applyAlignment="1">
      <alignment horizontal="center" vertical="center"/>
    </xf>
    <xf numFmtId="0" fontId="123" fillId="2" borderId="55" xfId="2" applyFont="1" applyFill="1" applyBorder="1" applyAlignment="1">
      <alignment horizontal="center" vertical="center"/>
    </xf>
    <xf numFmtId="166" fontId="144" fillId="7" borderId="51" xfId="2" applyNumberFormat="1" applyFont="1" applyFill="1" applyBorder="1" applyAlignment="1">
      <alignment horizontal="center" vertical="center" wrapText="1"/>
    </xf>
    <xf numFmtId="166" fontId="144" fillId="7" borderId="67" xfId="2" applyNumberFormat="1" applyFont="1" applyFill="1" applyBorder="1" applyAlignment="1">
      <alignment horizontal="center" vertical="center" wrapText="1"/>
    </xf>
    <xf numFmtId="0" fontId="128" fillId="7" borderId="37" xfId="2" applyFont="1" applyFill="1" applyBorder="1" applyAlignment="1">
      <alignment horizontal="center" vertical="center"/>
    </xf>
    <xf numFmtId="0" fontId="123" fillId="2" borderId="0" xfId="2" applyFont="1" applyFill="1" applyAlignment="1">
      <alignment horizontal="left" vertical="center"/>
    </xf>
    <xf numFmtId="0" fontId="128" fillId="2" borderId="0" xfId="2" applyFont="1" applyFill="1" applyAlignment="1">
      <alignment horizontal="left" vertical="center"/>
    </xf>
    <xf numFmtId="0" fontId="123" fillId="7" borderId="39" xfId="2" applyFont="1" applyFill="1" applyBorder="1" applyAlignment="1">
      <alignment horizontal="center" vertical="center"/>
    </xf>
    <xf numFmtId="0" fontId="124" fillId="2" borderId="0" xfId="2" applyFont="1" applyFill="1" applyAlignment="1">
      <alignment horizontal="center" vertical="center"/>
    </xf>
    <xf numFmtId="0" fontId="124" fillId="2" borderId="0" xfId="2" applyFont="1" applyFill="1" applyAlignment="1">
      <alignment horizontal="center" vertical="center" wrapText="1"/>
    </xf>
    <xf numFmtId="0" fontId="123" fillId="43" borderId="59" xfId="1" applyFont="1" applyFill="1" applyBorder="1" applyAlignment="1">
      <alignment horizontal="center" vertical="center"/>
    </xf>
    <xf numFmtId="0" fontId="123" fillId="43" borderId="57" xfId="1" applyFont="1" applyFill="1" applyBorder="1" applyAlignment="1">
      <alignment horizontal="center" vertical="center"/>
    </xf>
    <xf numFmtId="0" fontId="123" fillId="43" borderId="60" xfId="1" applyFont="1" applyFill="1" applyBorder="1" applyAlignment="1">
      <alignment horizontal="center" vertical="center"/>
    </xf>
    <xf numFmtId="0" fontId="149" fillId="2" borderId="0" xfId="2" applyFont="1" applyFill="1" applyAlignment="1">
      <alignment horizontal="center" vertical="center"/>
    </xf>
    <xf numFmtId="0" fontId="123" fillId="0" borderId="0" xfId="2" applyFont="1"/>
    <xf numFmtId="0" fontId="123" fillId="43" borderId="5" xfId="2" applyFont="1" applyFill="1" applyBorder="1" applyAlignment="1">
      <alignment horizontal="center" vertical="center"/>
    </xf>
    <xf numFmtId="167" fontId="132" fillId="0" borderId="39" xfId="2" applyNumberFormat="1" applyFont="1" applyBorder="1" applyAlignment="1">
      <alignment horizontal="center" vertical="center"/>
    </xf>
    <xf numFmtId="167" fontId="138" fillId="0" borderId="40" xfId="2" applyNumberFormat="1" applyFont="1" applyBorder="1" applyAlignment="1">
      <alignment horizontal="center" vertical="center"/>
    </xf>
    <xf numFmtId="1" fontId="138" fillId="10" borderId="4" xfId="2" applyNumberFormat="1" applyFont="1" applyFill="1" applyBorder="1" applyAlignment="1">
      <alignment horizontal="center" vertical="center"/>
    </xf>
    <xf numFmtId="171" fontId="124" fillId="2" borderId="0" xfId="1" applyNumberFormat="1" applyFont="1" applyFill="1" applyAlignment="1">
      <alignment horizontal="center" vertical="center"/>
    </xf>
    <xf numFmtId="1" fontId="123" fillId="0" borderId="41" xfId="2" applyNumberFormat="1" applyFont="1" applyBorder="1" applyAlignment="1">
      <alignment horizontal="center" vertical="center"/>
    </xf>
    <xf numFmtId="0" fontId="128" fillId="2" borderId="67" xfId="5" applyFont="1" applyFill="1" applyBorder="1" applyAlignment="1">
      <alignment horizontal="center" vertical="center"/>
    </xf>
    <xf numFmtId="164" fontId="125" fillId="8" borderId="23" xfId="5" applyNumberFormat="1" applyFont="1" applyFill="1" applyBorder="1" applyAlignment="1">
      <alignment horizontal="center" vertical="center"/>
    </xf>
    <xf numFmtId="0" fontId="124" fillId="2" borderId="10" xfId="2" applyFont="1" applyFill="1" applyBorder="1" applyAlignment="1">
      <alignment horizontal="center" vertical="center"/>
    </xf>
    <xf numFmtId="0" fontId="140" fillId="7" borderId="44" xfId="5" applyFont="1" applyFill="1" applyBorder="1" applyAlignment="1">
      <alignment horizontal="center" vertical="center"/>
    </xf>
    <xf numFmtId="166" fontId="140" fillId="7" borderId="67" xfId="5" applyNumberFormat="1" applyFont="1" applyFill="1" applyBorder="1" applyAlignment="1">
      <alignment horizontal="center" vertical="center"/>
    </xf>
    <xf numFmtId="0" fontId="125" fillId="0" borderId="67" xfId="5" applyFont="1" applyBorder="1" applyAlignment="1">
      <alignment horizontal="center" vertical="center"/>
    </xf>
    <xf numFmtId="0" fontId="125" fillId="0" borderId="44" xfId="5" applyFont="1" applyBorder="1" applyAlignment="1">
      <alignment horizontal="center" vertical="center"/>
    </xf>
    <xf numFmtId="166" fontId="150" fillId="7" borderId="19" xfId="2" applyNumberFormat="1" applyFont="1" applyFill="1" applyBorder="1" applyAlignment="1">
      <alignment horizontal="center" vertical="center"/>
    </xf>
    <xf numFmtId="166" fontId="123" fillId="7" borderId="10" xfId="5" applyNumberFormat="1" applyFont="1" applyFill="1" applyBorder="1" applyAlignment="1">
      <alignment horizontal="center" vertical="center"/>
    </xf>
    <xf numFmtId="0" fontId="128" fillId="4" borderId="10" xfId="5" applyFont="1" applyFill="1" applyBorder="1" applyAlignment="1">
      <alignment horizontal="left" vertical="center"/>
    </xf>
    <xf numFmtId="170" fontId="123" fillId="2" borderId="45" xfId="2" applyNumberFormat="1" applyFont="1" applyFill="1" applyBorder="1" applyAlignment="1">
      <alignment horizontal="center" vertical="center"/>
    </xf>
    <xf numFmtId="166" fontId="123" fillId="7" borderId="6" xfId="5" applyNumberFormat="1" applyFont="1" applyFill="1" applyBorder="1" applyAlignment="1">
      <alignment horizontal="center" vertical="center"/>
    </xf>
    <xf numFmtId="0" fontId="128" fillId="4" borderId="6" xfId="5" applyFont="1" applyFill="1" applyBorder="1" applyAlignment="1">
      <alignment horizontal="left" vertical="center"/>
    </xf>
    <xf numFmtId="166" fontId="123" fillId="7" borderId="20" xfId="5" applyNumberFormat="1" applyFont="1" applyFill="1" applyBorder="1" applyAlignment="1">
      <alignment horizontal="center" vertical="center"/>
    </xf>
    <xf numFmtId="0" fontId="128" fillId="2" borderId="21" xfId="5" applyFont="1" applyFill="1" applyBorder="1" applyAlignment="1">
      <alignment horizontal="center" vertical="center"/>
    </xf>
    <xf numFmtId="0" fontId="128" fillId="4" borderId="20" xfId="5" applyFont="1" applyFill="1" applyBorder="1" applyAlignment="1">
      <alignment horizontal="left" vertical="center"/>
    </xf>
    <xf numFmtId="166" fontId="123" fillId="7" borderId="23" xfId="5" applyNumberFormat="1" applyFont="1" applyFill="1" applyBorder="1" applyAlignment="1">
      <alignment horizontal="center" vertical="center"/>
    </xf>
    <xf numFmtId="0" fontId="128" fillId="4" borderId="23" xfId="5" applyFont="1" applyFill="1" applyBorder="1" applyAlignment="1">
      <alignment horizontal="left" vertical="center"/>
    </xf>
    <xf numFmtId="0" fontId="151" fillId="0" borderId="0" xfId="0" applyFont="1" applyAlignment="1"/>
    <xf numFmtId="0" fontId="153" fillId="0" borderId="0" xfId="0" applyFont="1" applyAlignment="1"/>
    <xf numFmtId="0" fontId="152" fillId="2" borderId="0" xfId="2" applyFont="1" applyFill="1" applyAlignment="1">
      <alignment horizontal="center" vertical="center"/>
    </xf>
    <xf numFmtId="0" fontId="133" fillId="2" borderId="0" xfId="2" applyFont="1" applyFill="1" applyAlignment="1">
      <alignment horizontal="center" vertical="center"/>
    </xf>
    <xf numFmtId="167" fontId="133" fillId="2" borderId="0" xfId="2" applyNumberFormat="1" applyFont="1" applyFill="1" applyAlignment="1">
      <alignment horizontal="center" vertical="center"/>
    </xf>
    <xf numFmtId="167" fontId="154" fillId="2" borderId="0" xfId="2" applyNumberFormat="1" applyFont="1" applyFill="1" applyAlignment="1">
      <alignment horizontal="center" vertical="center"/>
    </xf>
    <xf numFmtId="0" fontId="137" fillId="0" borderId="0" xfId="0" applyFont="1" applyAlignment="1"/>
    <xf numFmtId="0" fontId="155" fillId="0" borderId="0" xfId="0" applyFont="1" applyAlignment="1"/>
    <xf numFmtId="1" fontId="154" fillId="10" borderId="4" xfId="2" applyNumberFormat="1" applyFont="1" applyFill="1" applyBorder="1" applyAlignment="1">
      <alignment horizontal="center" vertical="center"/>
    </xf>
    <xf numFmtId="0" fontId="155" fillId="0" borderId="0" xfId="0" applyFont="1">
      <alignment vertical="center"/>
    </xf>
    <xf numFmtId="166" fontId="141" fillId="7" borderId="54" xfId="2" applyNumberFormat="1" applyFont="1" applyFill="1" applyBorder="1" applyAlignment="1">
      <alignment horizontal="center" vertical="center"/>
    </xf>
    <xf numFmtId="0" fontId="153" fillId="2" borderId="0" xfId="0" applyFont="1" applyFill="1" applyAlignment="1"/>
    <xf numFmtId="166" fontId="141" fillId="7" borderId="67" xfId="2" applyNumberFormat="1" applyFont="1" applyFill="1" applyBorder="1" applyAlignment="1">
      <alignment horizontal="center" vertical="center"/>
    </xf>
    <xf numFmtId="0" fontId="123" fillId="7" borderId="67" xfId="2" applyFont="1" applyFill="1" applyBorder="1" applyAlignment="1">
      <alignment horizontal="center" vertical="center"/>
    </xf>
    <xf numFmtId="166" fontId="141" fillId="7" borderId="19" xfId="2" applyNumberFormat="1" applyFont="1" applyFill="1" applyBorder="1" applyAlignment="1">
      <alignment horizontal="center" vertical="center"/>
    </xf>
    <xf numFmtId="0" fontId="123" fillId="7" borderId="19" xfId="2" applyFont="1" applyFill="1" applyBorder="1" applyAlignment="1">
      <alignment horizontal="center" vertical="center"/>
    </xf>
    <xf numFmtId="166" fontId="126" fillId="7" borderId="38" xfId="2" applyNumberFormat="1" applyFont="1" applyFill="1" applyBorder="1" applyAlignment="1">
      <alignment horizontal="center" vertical="center"/>
    </xf>
    <xf numFmtId="166" fontId="128" fillId="7" borderId="39" xfId="2" applyNumberFormat="1" applyFont="1" applyFill="1" applyBorder="1" applyAlignment="1">
      <alignment horizontal="center" vertical="center"/>
    </xf>
    <xf numFmtId="0" fontId="123" fillId="0" borderId="50" xfId="2" applyFont="1" applyBorder="1" applyAlignment="1">
      <alignment horizontal="center" vertical="center"/>
    </xf>
    <xf numFmtId="170" fontId="157" fillId="2" borderId="0" xfId="2" applyNumberFormat="1" applyFont="1" applyFill="1" applyAlignment="1">
      <alignment horizontal="center" vertical="center"/>
    </xf>
    <xf numFmtId="166" fontId="158" fillId="2" borderId="0" xfId="2" applyNumberFormat="1" applyFont="1" applyFill="1" applyAlignment="1">
      <alignment horizontal="center" vertical="center" wrapText="1"/>
    </xf>
    <xf numFmtId="0" fontId="159" fillId="0" borderId="0" xfId="0" applyFont="1" applyAlignment="1"/>
    <xf numFmtId="166" fontId="158" fillId="2" borderId="0" xfId="2" applyNumberFormat="1" applyFont="1" applyFill="1" applyAlignment="1">
      <alignment horizontal="center" vertical="center"/>
    </xf>
    <xf numFmtId="0" fontId="157" fillId="2" borderId="0" xfId="2" applyFont="1" applyFill="1" applyAlignment="1">
      <alignment horizontal="center" vertical="center"/>
    </xf>
    <xf numFmtId="1" fontId="157" fillId="2" borderId="0" xfId="2" applyNumberFormat="1" applyFont="1" applyFill="1" applyAlignment="1">
      <alignment horizontal="center" vertical="center"/>
    </xf>
    <xf numFmtId="0" fontId="156" fillId="2" borderId="0" xfId="2" applyFont="1" applyFill="1" applyAlignment="1">
      <alignment horizontal="center" vertical="center"/>
    </xf>
    <xf numFmtId="166" fontId="156" fillId="2" borderId="0" xfId="2" applyNumberFormat="1" applyFont="1" applyFill="1" applyAlignment="1">
      <alignment horizontal="center" vertical="center"/>
    </xf>
    <xf numFmtId="0" fontId="156" fillId="2" borderId="0" xfId="2" applyFont="1" applyFill="1" applyAlignment="1">
      <alignment horizontal="center" vertical="top"/>
    </xf>
    <xf numFmtId="0" fontId="154" fillId="2" borderId="0" xfId="2" applyFont="1" applyFill="1" applyAlignment="1">
      <alignment horizontal="center" vertical="top"/>
    </xf>
    <xf numFmtId="0" fontId="154" fillId="2" borderId="0" xfId="2" applyFont="1" applyFill="1" applyAlignment="1">
      <alignment horizontal="left" vertical="center"/>
    </xf>
    <xf numFmtId="0" fontId="154" fillId="2" borderId="0" xfId="2" applyFont="1" applyFill="1" applyAlignment="1">
      <alignment horizontal="center" vertical="center"/>
    </xf>
    <xf numFmtId="166" fontId="126" fillId="7" borderId="6" xfId="2" applyNumberFormat="1" applyFont="1" applyFill="1" applyBorder="1" applyAlignment="1">
      <alignment horizontal="center" vertical="center"/>
    </xf>
    <xf numFmtId="166" fontId="122" fillId="7" borderId="44" xfId="2" applyNumberFormat="1" applyFont="1" applyFill="1" applyBorder="1" applyAlignment="1">
      <alignment horizontal="center" vertical="center"/>
    </xf>
    <xf numFmtId="0" fontId="128" fillId="4" borderId="67" xfId="2" applyFont="1" applyFill="1" applyBorder="1" applyAlignment="1">
      <alignment horizontal="left" vertical="center"/>
    </xf>
    <xf numFmtId="164" fontId="128" fillId="2" borderId="44" xfId="2" applyNumberFormat="1" applyFont="1" applyFill="1" applyBorder="1" applyAlignment="1">
      <alignment horizontal="center" vertical="center"/>
    </xf>
    <xf numFmtId="166" fontId="126" fillId="7" borderId="44" xfId="2" applyNumberFormat="1" applyFont="1" applyFill="1" applyBorder="1" applyAlignment="1">
      <alignment horizontal="center" vertical="center"/>
    </xf>
    <xf numFmtId="166" fontId="126" fillId="7" borderId="10" xfId="2" applyNumberFormat="1" applyFont="1" applyFill="1" applyBorder="1" applyAlignment="1">
      <alignment horizontal="center" vertical="center"/>
    </xf>
    <xf numFmtId="0" fontId="125" fillId="0" borderId="19" xfId="5" applyFont="1" applyBorder="1" applyAlignment="1">
      <alignment horizontal="center" vertical="center"/>
    </xf>
    <xf numFmtId="0" fontId="128" fillId="0" borderId="10" xfId="5" applyFont="1" applyBorder="1" applyAlignment="1">
      <alignment horizontal="center" vertical="center"/>
    </xf>
    <xf numFmtId="166" fontId="122" fillId="7" borderId="10" xfId="2" applyNumberFormat="1" applyFont="1" applyFill="1" applyBorder="1" applyAlignment="1">
      <alignment horizontal="center" vertical="center"/>
    </xf>
    <xf numFmtId="0" fontId="128" fillId="4" borderId="21" xfId="5" applyFont="1" applyFill="1" applyBorder="1" applyAlignment="1">
      <alignment horizontal="left" vertical="center"/>
    </xf>
    <xf numFmtId="0" fontId="128" fillId="4" borderId="21" xfId="5" applyFont="1" applyFill="1" applyBorder="1" applyAlignment="1">
      <alignment horizontal="left" vertical="center" wrapText="1"/>
    </xf>
    <xf numFmtId="164" fontId="125" fillId="8" borderId="20" xfId="5" applyNumberFormat="1" applyFont="1" applyFill="1" applyBorder="1" applyAlignment="1">
      <alignment horizontal="center" vertical="center"/>
    </xf>
    <xf numFmtId="0" fontId="123" fillId="7" borderId="21" xfId="5" applyFont="1" applyFill="1" applyBorder="1" applyAlignment="1">
      <alignment horizontal="center" vertical="center"/>
    </xf>
    <xf numFmtId="0" fontId="123" fillId="2" borderId="21" xfId="5" applyFont="1" applyFill="1" applyBorder="1" applyAlignment="1">
      <alignment horizontal="center" vertical="center"/>
    </xf>
    <xf numFmtId="0" fontId="123" fillId="2" borderId="20" xfId="5" applyFont="1" applyFill="1" applyBorder="1" applyAlignment="1">
      <alignment horizontal="center" vertical="center"/>
    </xf>
    <xf numFmtId="0" fontId="123" fillId="4" borderId="21" xfId="5" applyFont="1" applyFill="1" applyBorder="1" applyAlignment="1">
      <alignment horizontal="left" vertical="center"/>
    </xf>
    <xf numFmtId="0" fontId="125" fillId="8" borderId="23" xfId="5" applyFont="1" applyFill="1" applyBorder="1" applyAlignment="1">
      <alignment horizontal="center" vertical="center"/>
    </xf>
    <xf numFmtId="0" fontId="125" fillId="4" borderId="35" xfId="5" applyFont="1" applyFill="1" applyBorder="1" applyAlignment="1">
      <alignment horizontal="left" vertical="center"/>
    </xf>
    <xf numFmtId="0" fontId="159" fillId="0" borderId="0" xfId="1" applyFont="1"/>
    <xf numFmtId="0" fontId="158" fillId="2" borderId="0" xfId="2" applyFont="1" applyFill="1" applyAlignment="1">
      <alignment horizontal="center" vertical="center"/>
    </xf>
    <xf numFmtId="166" fontId="157" fillId="2" borderId="0" xfId="2" applyNumberFormat="1" applyFont="1" applyFill="1" applyAlignment="1">
      <alignment horizontal="center" vertical="center"/>
    </xf>
    <xf numFmtId="0" fontId="140" fillId="31" borderId="0" xfId="7" applyFont="1" applyFill="1" applyAlignment="1">
      <alignment horizontal="center" vertical="center"/>
    </xf>
    <xf numFmtId="166" fontId="140" fillId="31" borderId="0" xfId="7" applyNumberFormat="1" applyFont="1" applyFill="1" applyAlignment="1">
      <alignment horizontal="center" vertical="center"/>
    </xf>
    <xf numFmtId="0" fontId="125" fillId="8" borderId="0" xfId="7" applyFont="1" applyFill="1" applyAlignment="1">
      <alignment horizontal="center" vertical="center"/>
    </xf>
    <xf numFmtId="0" fontId="125" fillId="2" borderId="0" xfId="7" applyFont="1" applyFill="1" applyAlignment="1">
      <alignment horizontal="center" vertical="center"/>
    </xf>
    <xf numFmtId="0" fontId="125" fillId="8" borderId="0" xfId="7" applyFont="1" applyFill="1" applyAlignment="1">
      <alignment horizontal="left" vertical="center"/>
    </xf>
    <xf numFmtId="0" fontId="128" fillId="2" borderId="0" xfId="7" applyFont="1" applyFill="1" applyAlignment="1">
      <alignment horizontal="center" vertical="center"/>
    </xf>
    <xf numFmtId="0" fontId="159" fillId="2" borderId="0" xfId="1" applyFont="1" applyFill="1"/>
    <xf numFmtId="166" fontId="122" fillId="7" borderId="54" xfId="2" applyNumberFormat="1" applyFont="1" applyFill="1" applyBorder="1" applyAlignment="1">
      <alignment horizontal="center" vertical="center"/>
    </xf>
    <xf numFmtId="166" fontId="143" fillId="7" borderId="19" xfId="2" applyNumberFormat="1" applyFont="1" applyFill="1" applyBorder="1" applyAlignment="1">
      <alignment horizontal="center" vertical="center"/>
    </xf>
    <xf numFmtId="166" fontId="122" fillId="7" borderId="57" xfId="2" applyNumberFormat="1" applyFont="1" applyFill="1" applyBorder="1" applyAlignment="1">
      <alignment horizontal="center" vertical="center"/>
    </xf>
    <xf numFmtId="0" fontId="140" fillId="7" borderId="10" xfId="5" applyFont="1" applyFill="1" applyBorder="1" applyAlignment="1">
      <alignment horizontal="center" vertical="center"/>
    </xf>
    <xf numFmtId="166" fontId="140" fillId="7" borderId="19" xfId="5" applyNumberFormat="1" applyFont="1" applyFill="1" applyBorder="1" applyAlignment="1">
      <alignment horizontal="center" vertical="center"/>
    </xf>
    <xf numFmtId="0" fontId="125" fillId="0" borderId="10" xfId="5" applyFont="1" applyBorder="1" applyAlignment="1">
      <alignment horizontal="center" vertical="center"/>
    </xf>
    <xf numFmtId="166" fontId="127" fillId="7" borderId="20" xfId="2" applyNumberFormat="1" applyFont="1" applyFill="1" applyBorder="1" applyAlignment="1">
      <alignment horizontal="center" vertical="center"/>
    </xf>
    <xf numFmtId="0" fontId="142" fillId="2" borderId="21" xfId="5" applyFont="1" applyFill="1" applyBorder="1" applyAlignment="1">
      <alignment horizontal="center" vertical="center"/>
    </xf>
    <xf numFmtId="0" fontId="142" fillId="2" borderId="20" xfId="5" applyFont="1" applyFill="1" applyBorder="1" applyAlignment="1">
      <alignment horizontal="center" vertical="center"/>
    </xf>
    <xf numFmtId="0" fontId="160" fillId="0" borderId="0" xfId="1" applyFont="1"/>
    <xf numFmtId="0" fontId="142" fillId="0" borderId="19" xfId="5" applyFont="1" applyBorder="1" applyAlignment="1">
      <alignment horizontal="center" vertical="center"/>
    </xf>
    <xf numFmtId="0" fontId="142" fillId="0" borderId="10" xfId="5" applyFont="1" applyBorder="1" applyAlignment="1">
      <alignment horizontal="center" vertical="center"/>
    </xf>
    <xf numFmtId="1" fontId="123" fillId="2" borderId="44" xfId="2" applyNumberFormat="1" applyFont="1" applyFill="1" applyBorder="1" applyAlignment="1">
      <alignment horizontal="center" vertical="center"/>
    </xf>
    <xf numFmtId="166" fontId="122" fillId="7" borderId="57" xfId="2" applyNumberFormat="1" applyFont="1" applyFill="1" applyBorder="1" applyAlignment="1">
      <alignment horizontal="center" vertical="center" wrapText="1"/>
    </xf>
    <xf numFmtId="166" fontId="124" fillId="7" borderId="19" xfId="2" applyNumberFormat="1" applyFont="1" applyFill="1" applyBorder="1" applyAlignment="1">
      <alignment horizontal="center" vertical="center" wrapText="1"/>
    </xf>
    <xf numFmtId="0" fontId="143" fillId="7" borderId="19" xfId="2" applyFont="1" applyFill="1" applyBorder="1" applyAlignment="1">
      <alignment horizontal="center" vertical="center" wrapText="1"/>
    </xf>
    <xf numFmtId="166" fontId="143" fillId="7" borderId="45" xfId="2" applyNumberFormat="1" applyFont="1" applyFill="1" applyBorder="1" applyAlignment="1">
      <alignment horizontal="center" vertical="center" wrapText="1"/>
    </xf>
    <xf numFmtId="166" fontId="143" fillId="7" borderId="67" xfId="2" applyNumberFormat="1" applyFont="1" applyFill="1" applyBorder="1" applyAlignment="1">
      <alignment horizontal="center" vertical="center"/>
    </xf>
    <xf numFmtId="0" fontId="123" fillId="7" borderId="14" xfId="5" applyFont="1" applyFill="1" applyBorder="1" applyAlignment="1">
      <alignment horizontal="center" vertical="center"/>
    </xf>
    <xf numFmtId="0" fontId="123" fillId="7" borderId="0" xfId="5" applyFont="1" applyFill="1" applyAlignment="1">
      <alignment horizontal="center" vertical="center"/>
    </xf>
    <xf numFmtId="0" fontId="123" fillId="2" borderId="14" xfId="5" applyFont="1" applyFill="1" applyBorder="1" applyAlignment="1">
      <alignment horizontal="center" vertical="center"/>
    </xf>
    <xf numFmtId="0" fontId="123" fillId="4" borderId="0" xfId="5" applyFont="1" applyFill="1" applyAlignment="1">
      <alignment horizontal="left" vertical="center"/>
    </xf>
    <xf numFmtId="0" fontId="143" fillId="7" borderId="35" xfId="2" applyFont="1" applyFill="1" applyBorder="1" applyAlignment="1">
      <alignment horizontal="center" vertical="center" wrapText="1"/>
    </xf>
    <xf numFmtId="0" fontId="123" fillId="7" borderId="35" xfId="2" applyFont="1" applyFill="1" applyBorder="1" applyAlignment="1">
      <alignment horizontal="center" vertical="center"/>
    </xf>
    <xf numFmtId="170" fontId="156" fillId="2" borderId="0" xfId="2" applyNumberFormat="1" applyFont="1" applyFill="1" applyAlignment="1">
      <alignment horizontal="center" vertical="center"/>
    </xf>
    <xf numFmtId="166" fontId="161" fillId="2" borderId="0" xfId="2" applyNumberFormat="1" applyFont="1" applyFill="1" applyAlignment="1">
      <alignment horizontal="center" vertical="center"/>
    </xf>
    <xf numFmtId="166" fontId="161" fillId="2" borderId="0" xfId="2" applyNumberFormat="1" applyFont="1" applyFill="1" applyAlignment="1">
      <alignment horizontal="center" vertical="center" wrapText="1"/>
    </xf>
    <xf numFmtId="1" fontId="156" fillId="2" borderId="0" xfId="2" applyNumberFormat="1" applyFont="1" applyFill="1" applyAlignment="1">
      <alignment horizontal="center" vertical="center"/>
    </xf>
    <xf numFmtId="164" fontId="154" fillId="2" borderId="0" xfId="2" applyNumberFormat="1" applyFont="1" applyFill="1" applyAlignment="1">
      <alignment horizontal="center" vertical="center"/>
    </xf>
    <xf numFmtId="0" fontId="151" fillId="2" borderId="0" xfId="0" applyFont="1" applyFill="1" applyAlignment="1"/>
    <xf numFmtId="0" fontId="128" fillId="2" borderId="1" xfId="2" applyFont="1" applyFill="1" applyBorder="1" applyAlignment="1">
      <alignment horizontal="center" vertical="center"/>
    </xf>
    <xf numFmtId="0" fontId="123" fillId="2" borderId="41" xfId="2" applyFont="1" applyFill="1" applyBorder="1" applyAlignment="1">
      <alignment horizontal="center" vertical="center"/>
    </xf>
    <xf numFmtId="0" fontId="140" fillId="15" borderId="37" xfId="5" applyFont="1" applyFill="1" applyBorder="1" applyAlignment="1">
      <alignment horizontal="center" vertical="center"/>
    </xf>
    <xf numFmtId="166" fontId="140" fillId="15" borderId="5" xfId="5" applyNumberFormat="1" applyFont="1" applyFill="1" applyBorder="1" applyAlignment="1">
      <alignment horizontal="center" vertical="center"/>
    </xf>
    <xf numFmtId="0" fontId="125" fillId="8" borderId="4" xfId="5" applyFont="1" applyFill="1" applyBorder="1" applyAlignment="1">
      <alignment horizontal="center" vertical="center"/>
    </xf>
    <xf numFmtId="0" fontId="125" fillId="2" borderId="5" xfId="5" applyFont="1" applyFill="1" applyBorder="1" applyAlignment="1">
      <alignment horizontal="center" vertical="center"/>
    </xf>
    <xf numFmtId="0" fontId="125" fillId="2" borderId="3" xfId="5" applyFont="1" applyFill="1" applyBorder="1" applyAlignment="1">
      <alignment horizontal="center" vertical="center"/>
    </xf>
    <xf numFmtId="0" fontId="125" fillId="8" borderId="5" xfId="5" applyFont="1" applyFill="1" applyBorder="1" applyAlignment="1">
      <alignment horizontal="left" vertical="center"/>
    </xf>
    <xf numFmtId="166" fontId="144" fillId="7" borderId="45" xfId="2" applyNumberFormat="1" applyFont="1" applyFill="1" applyBorder="1" applyAlignment="1">
      <alignment horizontal="center" vertical="center"/>
    </xf>
    <xf numFmtId="166" fontId="144" fillId="7" borderId="64" xfId="2" applyNumberFormat="1" applyFont="1" applyFill="1" applyBorder="1" applyAlignment="1">
      <alignment horizontal="center" vertical="center"/>
    </xf>
    <xf numFmtId="0" fontId="123" fillId="7" borderId="38" xfId="5" applyFont="1" applyFill="1" applyBorder="1" applyAlignment="1">
      <alignment horizontal="center" vertical="center"/>
    </xf>
    <xf numFmtId="166" fontId="123" fillId="7" borderId="14" xfId="5" applyNumberFormat="1" applyFont="1" applyFill="1" applyBorder="1" applyAlignment="1">
      <alignment horizontal="center" vertical="center"/>
    </xf>
    <xf numFmtId="0" fontId="128" fillId="2" borderId="14" xfId="5" applyFont="1" applyFill="1" applyBorder="1" applyAlignment="1">
      <alignment horizontal="center" vertical="center"/>
    </xf>
    <xf numFmtId="0" fontId="128" fillId="2" borderId="14" xfId="5" applyFont="1" applyFill="1" applyBorder="1" applyAlignment="1">
      <alignment horizontal="left" vertical="center"/>
    </xf>
    <xf numFmtId="0" fontId="151" fillId="0" borderId="0" xfId="2" applyFont="1"/>
    <xf numFmtId="0" fontId="123" fillId="7" borderId="37" xfId="5" applyFont="1" applyFill="1" applyBorder="1" applyAlignment="1">
      <alignment horizontal="center" vertical="center"/>
    </xf>
    <xf numFmtId="166" fontId="123" fillId="7" borderId="41" xfId="5" applyNumberFormat="1" applyFont="1" applyFill="1" applyBorder="1" applyAlignment="1">
      <alignment horizontal="center" vertical="center"/>
    </xf>
    <xf numFmtId="0" fontId="128" fillId="2" borderId="41" xfId="5" applyFont="1" applyFill="1" applyBorder="1" applyAlignment="1">
      <alignment horizontal="center" vertical="center"/>
    </xf>
    <xf numFmtId="0" fontId="125" fillId="2" borderId="41" xfId="5" applyFont="1" applyFill="1" applyBorder="1" applyAlignment="1">
      <alignment horizontal="center" vertical="center"/>
    </xf>
    <xf numFmtId="0" fontId="128" fillId="2" borderId="41" xfId="5" applyFont="1" applyFill="1" applyBorder="1" applyAlignment="1">
      <alignment horizontal="left" vertical="center"/>
    </xf>
    <xf numFmtId="166" fontId="123" fillId="7" borderId="5" xfId="5" applyNumberFormat="1" applyFont="1" applyFill="1" applyBorder="1" applyAlignment="1">
      <alignment horizontal="center" vertical="center"/>
    </xf>
    <xf numFmtId="0" fontId="128" fillId="2" borderId="5" xfId="5" applyFont="1" applyFill="1" applyBorder="1" applyAlignment="1">
      <alignment horizontal="center" vertical="center"/>
    </xf>
    <xf numFmtId="0" fontId="128" fillId="2" borderId="5" xfId="5" applyFont="1" applyFill="1" applyBorder="1" applyAlignment="1">
      <alignment horizontal="left" vertical="center"/>
    </xf>
    <xf numFmtId="0" fontId="123" fillId="7" borderId="5" xfId="5" applyFont="1" applyFill="1" applyBorder="1" applyAlignment="1">
      <alignment horizontal="center" vertical="center"/>
    </xf>
    <xf numFmtId="166" fontId="163" fillId="2" borderId="0" xfId="2" applyNumberFormat="1" applyFont="1" applyFill="1" applyAlignment="1">
      <alignment horizontal="center" vertical="center"/>
    </xf>
    <xf numFmtId="0" fontId="163" fillId="2" borderId="0" xfId="2" applyFont="1" applyFill="1" applyAlignment="1">
      <alignment horizontal="center" vertical="center"/>
    </xf>
    <xf numFmtId="0" fontId="122" fillId="2" borderId="0" xfId="2" applyFont="1" applyFill="1" applyAlignment="1">
      <alignment horizontal="center" vertical="center"/>
    </xf>
    <xf numFmtId="166" fontId="123" fillId="7" borderId="5" xfId="2" applyNumberFormat="1" applyFont="1" applyFill="1" applyBorder="1" applyAlignment="1">
      <alignment horizontal="center" vertical="center"/>
    </xf>
    <xf numFmtId="0" fontId="123" fillId="2" borderId="37" xfId="2" applyFont="1" applyFill="1" applyBorder="1" applyAlignment="1">
      <alignment horizontal="center" vertical="center"/>
    </xf>
    <xf numFmtId="0" fontId="123" fillId="2" borderId="3" xfId="2" applyFont="1" applyFill="1" applyBorder="1" applyAlignment="1">
      <alignment horizontal="center" vertical="center"/>
    </xf>
    <xf numFmtId="0" fontId="123" fillId="2" borderId="5" xfId="2" applyFont="1" applyFill="1" applyBorder="1" applyAlignment="1">
      <alignment horizontal="center" vertical="center"/>
    </xf>
    <xf numFmtId="0" fontId="128" fillId="2" borderId="5" xfId="2" applyFont="1" applyFill="1" applyBorder="1" applyAlignment="1">
      <alignment horizontal="left" vertical="center"/>
    </xf>
    <xf numFmtId="164" fontId="128" fillId="2" borderId="5" xfId="2" applyNumberFormat="1" applyFont="1" applyFill="1" applyBorder="1" applyAlignment="1">
      <alignment horizontal="center" vertical="center"/>
    </xf>
    <xf numFmtId="166" fontId="165" fillId="2" borderId="0" xfId="2" applyNumberFormat="1" applyFont="1" applyFill="1" applyAlignment="1">
      <alignment horizontal="center" vertical="center"/>
    </xf>
    <xf numFmtId="0" fontId="130" fillId="2" borderId="0" xfId="2" applyFont="1" applyFill="1" applyAlignment="1">
      <alignment horizontal="center" vertical="center"/>
    </xf>
    <xf numFmtId="166" fontId="130" fillId="2" borderId="0" xfId="2" applyNumberFormat="1" applyFont="1" applyFill="1" applyAlignment="1">
      <alignment horizontal="center" vertical="center"/>
    </xf>
    <xf numFmtId="0" fontId="132" fillId="2" borderId="0" xfId="1" applyFont="1" applyFill="1" applyAlignment="1">
      <alignment horizontal="center" vertical="center"/>
    </xf>
    <xf numFmtId="0" fontId="151" fillId="2" borderId="0" xfId="2" applyFont="1" applyFill="1"/>
    <xf numFmtId="1" fontId="124" fillId="7" borderId="37" xfId="2" applyNumberFormat="1" applyFont="1" applyFill="1" applyBorder="1" applyAlignment="1">
      <alignment horizontal="center" vertical="center"/>
    </xf>
    <xf numFmtId="0" fontId="124" fillId="7" borderId="3" xfId="2" applyFont="1" applyFill="1" applyBorder="1" applyAlignment="1">
      <alignment vertical="center"/>
    </xf>
    <xf numFmtId="0" fontId="166" fillId="7" borderId="4" xfId="2" applyFont="1" applyFill="1" applyBorder="1" applyAlignment="1">
      <alignment vertical="center"/>
    </xf>
    <xf numFmtId="0" fontId="138" fillId="2" borderId="52" xfId="2" applyFont="1" applyFill="1" applyBorder="1" applyAlignment="1">
      <alignment horizontal="left" vertical="center"/>
    </xf>
    <xf numFmtId="0" fontId="136" fillId="43" borderId="6" xfId="2" applyFont="1" applyFill="1" applyBorder="1" applyAlignment="1">
      <alignment horizontal="center" vertical="center"/>
    </xf>
    <xf numFmtId="0" fontId="136" fillId="43" borderId="10" xfId="2" applyFont="1" applyFill="1" applyBorder="1" applyAlignment="1">
      <alignment horizontal="center" vertical="center"/>
    </xf>
    <xf numFmtId="0" fontId="136" fillId="43" borderId="23" xfId="2" applyFont="1" applyFill="1" applyBorder="1" applyAlignment="1">
      <alignment horizontal="center" vertical="center"/>
    </xf>
    <xf numFmtId="0" fontId="137" fillId="0" borderId="0" xfId="2" applyFont="1"/>
    <xf numFmtId="0" fontId="137" fillId="0" borderId="39" xfId="2" applyFont="1" applyBorder="1"/>
    <xf numFmtId="0" fontId="136" fillId="7" borderId="41" xfId="2" applyFont="1" applyFill="1" applyBorder="1" applyAlignment="1">
      <alignment horizontal="center" vertical="center"/>
    </xf>
    <xf numFmtId="0" fontId="136" fillId="7" borderId="12" xfId="2" applyFont="1" applyFill="1" applyBorder="1" applyAlignment="1">
      <alignment horizontal="center" vertical="center"/>
    </xf>
    <xf numFmtId="0" fontId="168" fillId="0" borderId="0" xfId="0" applyFont="1" applyAlignment="1"/>
    <xf numFmtId="170" fontId="169" fillId="29" borderId="6" xfId="0" applyNumberFormat="1" applyFont="1" applyFill="1" applyBorder="1" applyAlignment="1">
      <alignment horizontal="center" vertical="center"/>
    </xf>
    <xf numFmtId="170" fontId="169" fillId="29" borderId="0" xfId="0" applyNumberFormat="1" applyFont="1" applyFill="1" applyAlignment="1">
      <alignment horizontal="center" vertical="center"/>
    </xf>
    <xf numFmtId="166" fontId="170" fillId="30" borderId="41" xfId="0" applyNumberFormat="1" applyFont="1" applyFill="1" applyBorder="1" applyAlignment="1">
      <alignment horizontal="center" vertical="center"/>
    </xf>
    <xf numFmtId="0" fontId="171" fillId="29" borderId="2" xfId="0" applyFont="1" applyFill="1" applyBorder="1" applyAlignment="1">
      <alignment horizontal="center" vertical="center"/>
    </xf>
    <xf numFmtId="0" fontId="169" fillId="0" borderId="2" xfId="0" applyFont="1" applyBorder="1" applyAlignment="1">
      <alignment horizontal="center" vertical="center"/>
    </xf>
    <xf numFmtId="0" fontId="170" fillId="30" borderId="41" xfId="0" applyFont="1" applyFill="1" applyBorder="1" applyAlignment="1">
      <alignment horizontal="center" vertical="center"/>
    </xf>
    <xf numFmtId="0" fontId="169" fillId="0" borderId="12" xfId="0" applyFont="1" applyBorder="1" applyAlignment="1">
      <alignment horizontal="center" vertical="center"/>
    </xf>
    <xf numFmtId="1" fontId="169" fillId="0" borderId="41" xfId="0" applyNumberFormat="1" applyFont="1" applyBorder="1" applyAlignment="1">
      <alignment horizontal="center" vertical="center"/>
    </xf>
    <xf numFmtId="0" fontId="169" fillId="30" borderId="59" xfId="0" applyFont="1" applyFill="1" applyBorder="1" applyAlignment="1">
      <alignment horizontal="center" vertical="center"/>
    </xf>
    <xf numFmtId="166" fontId="169" fillId="30" borderId="59" xfId="0" applyNumberFormat="1" applyFont="1" applyFill="1" applyBorder="1" applyAlignment="1">
      <alignment horizontal="center" vertical="center"/>
    </xf>
    <xf numFmtId="0" fontId="171" fillId="2" borderId="55" xfId="0" applyFont="1" applyFill="1" applyBorder="1" applyAlignment="1">
      <alignment horizontal="center" vertical="center"/>
    </xf>
    <xf numFmtId="0" fontId="171" fillId="2" borderId="6" xfId="0" applyFont="1" applyFill="1" applyBorder="1" applyAlignment="1">
      <alignment horizontal="center" vertical="center"/>
    </xf>
    <xf numFmtId="0" fontId="171" fillId="4" borderId="55" xfId="0" applyFont="1" applyFill="1" applyBorder="1" applyAlignment="1">
      <alignment horizontal="left" vertical="center"/>
    </xf>
    <xf numFmtId="170" fontId="169" fillId="29" borderId="10" xfId="0" applyNumberFormat="1" applyFont="1" applyFill="1" applyBorder="1" applyAlignment="1">
      <alignment horizontal="center" vertical="center"/>
    </xf>
    <xf numFmtId="166" fontId="170" fillId="30" borderId="20" xfId="0" applyNumberFormat="1" applyFont="1" applyFill="1" applyBorder="1" applyAlignment="1">
      <alignment horizontal="center" vertical="center"/>
    </xf>
    <xf numFmtId="0" fontId="171" fillId="29" borderId="21" xfId="0" applyFont="1" applyFill="1" applyBorder="1" applyAlignment="1">
      <alignment horizontal="center" vertical="center"/>
    </xf>
    <xf numFmtId="0" fontId="169" fillId="29" borderId="21" xfId="0" applyFont="1" applyFill="1" applyBorder="1" applyAlignment="1">
      <alignment horizontal="center" vertical="center"/>
    </xf>
    <xf numFmtId="0" fontId="169" fillId="0" borderId="13" xfId="0" applyFont="1" applyBorder="1" applyAlignment="1">
      <alignment horizontal="center" vertical="center"/>
    </xf>
    <xf numFmtId="0" fontId="169" fillId="0" borderId="21" xfId="0" applyFont="1" applyBorder="1" applyAlignment="1">
      <alignment horizontal="center" vertical="center"/>
    </xf>
    <xf numFmtId="1" fontId="169" fillId="0" borderId="20" xfId="0" applyNumberFormat="1" applyFont="1" applyBorder="1" applyAlignment="1">
      <alignment horizontal="center" vertical="center"/>
    </xf>
    <xf numFmtId="0" fontId="169" fillId="30" borderId="57" xfId="0" applyFont="1" applyFill="1" applyBorder="1" applyAlignment="1">
      <alignment horizontal="center" vertical="center"/>
    </xf>
    <xf numFmtId="166" fontId="169" fillId="30" borderId="57" xfId="0" applyNumberFormat="1" applyFont="1" applyFill="1" applyBorder="1" applyAlignment="1">
      <alignment horizontal="center" vertical="center"/>
    </xf>
    <xf numFmtId="0" fontId="171" fillId="2" borderId="18" xfId="0" applyFont="1" applyFill="1" applyBorder="1" applyAlignment="1">
      <alignment horizontal="center" vertical="center"/>
    </xf>
    <xf numFmtId="0" fontId="171" fillId="2" borderId="10" xfId="0" applyFont="1" applyFill="1" applyBorder="1" applyAlignment="1">
      <alignment horizontal="center" vertical="center"/>
    </xf>
    <xf numFmtId="0" fontId="171" fillId="4" borderId="18" xfId="0" applyFont="1" applyFill="1" applyBorder="1" applyAlignment="1">
      <alignment horizontal="left" vertical="center"/>
    </xf>
    <xf numFmtId="164" fontId="171" fillId="2" borderId="18" xfId="0" applyNumberFormat="1" applyFont="1" applyFill="1" applyBorder="1" applyAlignment="1">
      <alignment horizontal="center" vertical="center"/>
    </xf>
    <xf numFmtId="166" fontId="170" fillId="30" borderId="10" xfId="0" applyNumberFormat="1" applyFont="1" applyFill="1" applyBorder="1" applyAlignment="1">
      <alignment horizontal="center" vertical="center"/>
    </xf>
    <xf numFmtId="0" fontId="169" fillId="29" borderId="19" xfId="0" applyFont="1" applyFill="1" applyBorder="1" applyAlignment="1">
      <alignment horizontal="center" vertical="center"/>
    </xf>
    <xf numFmtId="0" fontId="169" fillId="0" borderId="18" xfId="0" applyFont="1" applyBorder="1" applyAlignment="1">
      <alignment horizontal="center" vertical="center"/>
    </xf>
    <xf numFmtId="0" fontId="169" fillId="0" borderId="19" xfId="0" applyFont="1" applyBorder="1" applyAlignment="1">
      <alignment horizontal="center" vertical="center"/>
    </xf>
    <xf numFmtId="1" fontId="169" fillId="0" borderId="10" xfId="0" applyNumberFormat="1" applyFont="1" applyBorder="1" applyAlignment="1">
      <alignment horizontal="center" vertical="center"/>
    </xf>
    <xf numFmtId="0" fontId="172" fillId="7" borderId="45" xfId="5" applyFont="1" applyFill="1" applyBorder="1" applyAlignment="1">
      <alignment horizontal="center" vertical="center"/>
    </xf>
    <xf numFmtId="166" fontId="172" fillId="7" borderId="45" xfId="5" applyNumberFormat="1" applyFont="1" applyFill="1" applyBorder="1" applyAlignment="1">
      <alignment horizontal="center" vertical="center"/>
    </xf>
    <xf numFmtId="0" fontId="171" fillId="2" borderId="44" xfId="5" applyFont="1" applyFill="1" applyBorder="1" applyAlignment="1">
      <alignment horizontal="center" vertical="center"/>
    </xf>
    <xf numFmtId="0" fontId="171" fillId="2" borderId="62" xfId="5" applyFont="1" applyFill="1" applyBorder="1" applyAlignment="1">
      <alignment horizontal="center" vertical="center"/>
    </xf>
    <xf numFmtId="0" fontId="171" fillId="4" borderId="62" xfId="5" applyFont="1" applyFill="1" applyBorder="1" applyAlignment="1">
      <alignment horizontal="left" vertical="center"/>
    </xf>
    <xf numFmtId="170" fontId="169" fillId="29" borderId="44" xfId="0" applyNumberFormat="1" applyFont="1" applyFill="1" applyBorder="1" applyAlignment="1">
      <alignment horizontal="center" vertical="center"/>
    </xf>
    <xf numFmtId="166" fontId="170" fillId="30" borderId="20" xfId="0" applyNumberFormat="1" applyFont="1" applyFill="1" applyBorder="1" applyAlignment="1">
      <alignment horizontal="center" vertical="center" wrapText="1"/>
    </xf>
    <xf numFmtId="0" fontId="171" fillId="29" borderId="19" xfId="0" applyFont="1" applyFill="1" applyBorder="1" applyAlignment="1">
      <alignment horizontal="center" vertical="center"/>
    </xf>
    <xf numFmtId="0" fontId="170" fillId="30" borderId="10" xfId="0" applyFont="1" applyFill="1" applyBorder="1" applyAlignment="1">
      <alignment horizontal="center" vertical="center"/>
    </xf>
    <xf numFmtId="0" fontId="174" fillId="0" borderId="0" xfId="0" applyFont="1" applyAlignment="1"/>
    <xf numFmtId="170" fontId="169" fillId="29" borderId="20" xfId="0" applyNumberFormat="1" applyFont="1" applyFill="1" applyBorder="1" applyAlignment="1">
      <alignment horizontal="center" vertical="center"/>
    </xf>
    <xf numFmtId="0" fontId="175" fillId="0" borderId="13" xfId="0" applyFont="1" applyBorder="1" applyAlignment="1">
      <alignment horizontal="center" vertical="center"/>
    </xf>
    <xf numFmtId="166" fontId="176" fillId="30" borderId="20" xfId="0" applyNumberFormat="1" applyFont="1" applyFill="1" applyBorder="1" applyAlignment="1">
      <alignment horizontal="center" vertical="center" wrapText="1"/>
    </xf>
    <xf numFmtId="170" fontId="169" fillId="29" borderId="23" xfId="0" applyNumberFormat="1" applyFont="1" applyFill="1" applyBorder="1" applyAlignment="1">
      <alignment horizontal="center" vertical="center"/>
    </xf>
    <xf numFmtId="166" fontId="170" fillId="30" borderId="23" xfId="0" applyNumberFormat="1" applyFont="1" applyFill="1" applyBorder="1" applyAlignment="1">
      <alignment horizontal="center" vertical="center" wrapText="1"/>
    </xf>
    <xf numFmtId="0" fontId="171" fillId="29" borderId="35" xfId="0" applyFont="1" applyFill="1" applyBorder="1" applyAlignment="1">
      <alignment horizontal="center" vertical="center"/>
    </xf>
    <xf numFmtId="166" fontId="170" fillId="30" borderId="23" xfId="0" applyNumberFormat="1" applyFont="1" applyFill="1" applyBorder="1" applyAlignment="1">
      <alignment horizontal="center" vertical="center"/>
    </xf>
    <xf numFmtId="0" fontId="169" fillId="29" borderId="35" xfId="0" applyFont="1" applyFill="1" applyBorder="1" applyAlignment="1">
      <alignment horizontal="center" vertical="center"/>
    </xf>
    <xf numFmtId="0" fontId="175" fillId="0" borderId="61" xfId="0" applyFont="1" applyBorder="1" applyAlignment="1">
      <alignment horizontal="center" vertical="center"/>
    </xf>
    <xf numFmtId="0" fontId="169" fillId="0" borderId="35" xfId="0" applyFont="1" applyBorder="1" applyAlignment="1">
      <alignment horizontal="center" vertical="center"/>
    </xf>
    <xf numFmtId="1" fontId="169" fillId="0" borderId="23" xfId="0" applyNumberFormat="1" applyFont="1" applyBorder="1" applyAlignment="1">
      <alignment horizontal="center" vertical="center"/>
    </xf>
    <xf numFmtId="0" fontId="169" fillId="0" borderId="61" xfId="0" applyFont="1" applyBorder="1" applyAlignment="1">
      <alignment horizontal="center" vertical="center"/>
    </xf>
    <xf numFmtId="0" fontId="169" fillId="30" borderId="60" xfId="0" applyFont="1" applyFill="1" applyBorder="1" applyAlignment="1">
      <alignment horizontal="center" vertical="center"/>
    </xf>
    <xf numFmtId="166" fontId="169" fillId="30" borderId="60" xfId="0" applyNumberFormat="1" applyFont="1" applyFill="1" applyBorder="1" applyAlignment="1">
      <alignment horizontal="center" vertical="center"/>
    </xf>
    <xf numFmtId="0" fontId="171" fillId="2" borderId="61" xfId="0" applyFont="1" applyFill="1" applyBorder="1" applyAlignment="1">
      <alignment horizontal="center" vertical="center"/>
    </xf>
    <xf numFmtId="0" fontId="171" fillId="2" borderId="23" xfId="0" applyFont="1" applyFill="1" applyBorder="1" applyAlignment="1">
      <alignment horizontal="center" vertical="center"/>
    </xf>
    <xf numFmtId="0" fontId="171" fillId="4" borderId="61" xfId="0" applyFont="1" applyFill="1" applyBorder="1" applyAlignment="1">
      <alignment horizontal="left" vertical="center"/>
    </xf>
    <xf numFmtId="164" fontId="171" fillId="2" borderId="61" xfId="0" applyNumberFormat="1" applyFont="1" applyFill="1" applyBorder="1" applyAlignment="1">
      <alignment horizontal="center" vertical="center"/>
    </xf>
    <xf numFmtId="166" fontId="177" fillId="2" borderId="0" xfId="2" applyNumberFormat="1" applyFont="1" applyFill="1" applyAlignment="1">
      <alignment horizontal="center" vertical="center" wrapText="1"/>
    </xf>
    <xf numFmtId="166" fontId="177" fillId="2" borderId="0" xfId="2" applyNumberFormat="1" applyFont="1" applyFill="1" applyAlignment="1">
      <alignment horizontal="center" vertical="center"/>
    </xf>
    <xf numFmtId="0" fontId="140" fillId="31" borderId="0" xfId="5" applyFont="1" applyFill="1" applyAlignment="1">
      <alignment horizontal="center" vertical="center"/>
    </xf>
    <xf numFmtId="166" fontId="140" fillId="31" borderId="0" xfId="5" applyNumberFormat="1" applyFont="1" applyFill="1" applyAlignment="1">
      <alignment horizontal="center" vertical="center"/>
    </xf>
    <xf numFmtId="0" fontId="128" fillId="2" borderId="59" xfId="2" applyFont="1" applyFill="1" applyBorder="1" applyAlignment="1">
      <alignment horizontal="center" vertical="center"/>
    </xf>
    <xf numFmtId="0" fontId="125" fillId="2" borderId="55" xfId="5" applyFont="1" applyFill="1" applyBorder="1" applyAlignment="1">
      <alignment horizontal="center" vertical="center"/>
    </xf>
    <xf numFmtId="0" fontId="125" fillId="4" borderId="55" xfId="5" applyFont="1" applyFill="1" applyBorder="1" applyAlignment="1">
      <alignment horizontal="left" vertical="center" wrapText="1"/>
    </xf>
    <xf numFmtId="0" fontId="128" fillId="2" borderId="57" xfId="2" applyFont="1" applyFill="1" applyBorder="1" applyAlignment="1">
      <alignment horizontal="center" vertical="center"/>
    </xf>
    <xf numFmtId="0" fontId="128" fillId="2" borderId="64" xfId="2" applyFont="1" applyFill="1" applyBorder="1" applyAlignment="1">
      <alignment horizontal="center" vertical="center"/>
    </xf>
    <xf numFmtId="0" fontId="128" fillId="2" borderId="60" xfId="2" applyFont="1" applyFill="1" applyBorder="1" applyAlignment="1">
      <alignment horizontal="center" vertical="center"/>
    </xf>
    <xf numFmtId="166" fontId="126" fillId="7" borderId="59" xfId="2" applyNumberFormat="1" applyFont="1" applyFill="1" applyBorder="1" applyAlignment="1">
      <alignment horizontal="center" vertical="center" wrapText="1"/>
    </xf>
    <xf numFmtId="0" fontId="123" fillId="0" borderId="55" xfId="2" applyFont="1" applyBorder="1" applyAlignment="1">
      <alignment horizontal="center" vertical="center"/>
    </xf>
    <xf numFmtId="1" fontId="123" fillId="0" borderId="54" xfId="2" applyNumberFormat="1" applyFont="1" applyBorder="1" applyAlignment="1">
      <alignment horizontal="center" vertical="center"/>
    </xf>
    <xf numFmtId="0" fontId="128" fillId="7" borderId="54" xfId="5" applyFont="1" applyFill="1" applyBorder="1" applyAlignment="1">
      <alignment horizontal="center" vertical="center"/>
    </xf>
    <xf numFmtId="166" fontId="128" fillId="7" borderId="6" xfId="5" applyNumberFormat="1" applyFont="1" applyFill="1" applyBorder="1" applyAlignment="1">
      <alignment horizontal="center" vertical="center"/>
    </xf>
    <xf numFmtId="0" fontId="128" fillId="4" borderId="55" xfId="5" applyFont="1" applyFill="1" applyBorder="1" applyAlignment="1">
      <alignment horizontal="left" vertical="center"/>
    </xf>
    <xf numFmtId="0" fontId="128" fillId="2" borderId="45" xfId="2" applyFont="1" applyFill="1" applyBorder="1" applyAlignment="1">
      <alignment horizontal="center" vertical="center"/>
    </xf>
    <xf numFmtId="0" fontId="123" fillId="0" borderId="18" xfId="2" applyFont="1" applyBorder="1" applyAlignment="1">
      <alignment horizontal="center" vertical="center"/>
    </xf>
    <xf numFmtId="1" fontId="123" fillId="0" borderId="67" xfId="2" applyNumberFormat="1" applyFont="1" applyBorder="1" applyAlignment="1">
      <alignment horizontal="center" vertical="center"/>
    </xf>
    <xf numFmtId="0" fontId="128" fillId="7" borderId="19" xfId="5" applyFont="1" applyFill="1" applyBorder="1" applyAlignment="1">
      <alignment horizontal="center" vertical="center"/>
    </xf>
    <xf numFmtId="166" fontId="128" fillId="7" borderId="10" xfId="5" applyNumberFormat="1" applyFont="1" applyFill="1" applyBorder="1" applyAlignment="1">
      <alignment horizontal="center" vertical="center"/>
    </xf>
    <xf numFmtId="0" fontId="123" fillId="0" borderId="52" xfId="2" applyFont="1" applyBorder="1" applyAlignment="1">
      <alignment horizontal="center" vertical="center"/>
    </xf>
    <xf numFmtId="0" fontId="128" fillId="0" borderId="57" xfId="5" applyFont="1" applyBorder="1" applyAlignment="1">
      <alignment horizontal="center" vertical="center"/>
    </xf>
    <xf numFmtId="0" fontId="128" fillId="0" borderId="18" xfId="5" applyFont="1" applyBorder="1" applyAlignment="1">
      <alignment horizontal="center" vertical="center"/>
    </xf>
    <xf numFmtId="1" fontId="123" fillId="0" borderId="19" xfId="2" applyNumberFormat="1" applyFont="1" applyBorder="1" applyAlignment="1">
      <alignment horizontal="center" vertical="center"/>
    </xf>
    <xf numFmtId="0" fontId="125" fillId="2" borderId="57" xfId="5" applyFont="1" applyFill="1" applyBorder="1" applyAlignment="1">
      <alignment horizontal="center" vertical="center"/>
    </xf>
    <xf numFmtId="0" fontId="140" fillId="15" borderId="19" xfId="5" applyFont="1" applyFill="1" applyBorder="1" applyAlignment="1">
      <alignment horizontal="center" vertical="center"/>
    </xf>
    <xf numFmtId="166" fontId="140" fillId="15" borderId="10" xfId="5" applyNumberFormat="1" applyFont="1" applyFill="1" applyBorder="1" applyAlignment="1">
      <alignment horizontal="center" vertical="center"/>
    </xf>
    <xf numFmtId="0" fontId="142" fillId="2" borderId="57" xfId="5" applyFont="1" applyFill="1" applyBorder="1" applyAlignment="1">
      <alignment horizontal="center" vertical="center"/>
    </xf>
    <xf numFmtId="0" fontId="125" fillId="4" borderId="18" xfId="5" applyFont="1" applyFill="1" applyBorder="1" applyAlignment="1">
      <alignment horizontal="left" vertical="center" wrapText="1"/>
    </xf>
    <xf numFmtId="0" fontId="123" fillId="0" borderId="61" xfId="2" applyFont="1" applyBorder="1" applyAlignment="1">
      <alignment horizontal="center" vertical="center"/>
    </xf>
    <xf numFmtId="1" fontId="123" fillId="0" borderId="35" xfId="2" applyNumberFormat="1" applyFont="1" applyBorder="1" applyAlignment="1">
      <alignment horizontal="center" vertical="center"/>
    </xf>
    <xf numFmtId="166" fontId="123" fillId="7" borderId="60" xfId="5" applyNumberFormat="1" applyFont="1" applyFill="1" applyBorder="1" applyAlignment="1">
      <alignment horizontal="center" vertical="center"/>
    </xf>
    <xf numFmtId="0" fontId="125" fillId="0" borderId="23" xfId="5" applyFont="1" applyBorder="1" applyAlignment="1">
      <alignment horizontal="center" vertical="center"/>
    </xf>
    <xf numFmtId="0" fontId="128" fillId="0" borderId="35" xfId="5" applyFont="1" applyBorder="1" applyAlignment="1">
      <alignment horizontal="center" vertical="center"/>
    </xf>
    <xf numFmtId="0" fontId="128" fillId="0" borderId="61" xfId="5" applyFont="1" applyBorder="1" applyAlignment="1">
      <alignment horizontal="center" vertical="center"/>
    </xf>
    <xf numFmtId="166" fontId="127" fillId="7" borderId="1" xfId="2" applyNumberFormat="1" applyFont="1" applyFill="1" applyBorder="1" applyAlignment="1">
      <alignment horizontal="center" vertical="center"/>
    </xf>
    <xf numFmtId="0" fontId="123" fillId="0" borderId="12" xfId="2" applyFont="1" applyBorder="1" applyAlignment="1">
      <alignment horizontal="center" vertical="center"/>
    </xf>
    <xf numFmtId="1" fontId="123" fillId="0" borderId="2" xfId="2" applyNumberFormat="1" applyFont="1" applyBorder="1" applyAlignment="1">
      <alignment horizontal="center" vertical="center"/>
    </xf>
    <xf numFmtId="0" fontId="140" fillId="15" borderId="2" xfId="5" applyFont="1" applyFill="1" applyBorder="1" applyAlignment="1">
      <alignment horizontal="center" vertical="center"/>
    </xf>
    <xf numFmtId="166" fontId="140" fillId="15" borderId="41" xfId="5" applyNumberFormat="1" applyFont="1" applyFill="1" applyBorder="1" applyAlignment="1">
      <alignment horizontal="center" vertical="center"/>
    </xf>
    <xf numFmtId="0" fontId="125" fillId="2" borderId="1" xfId="5" applyFont="1" applyFill="1" applyBorder="1" applyAlignment="1">
      <alignment horizontal="center" vertical="center"/>
    </xf>
    <xf numFmtId="0" fontId="125" fillId="4" borderId="12" xfId="5" applyFont="1" applyFill="1" applyBorder="1" applyAlignment="1">
      <alignment horizontal="left" vertical="center"/>
    </xf>
    <xf numFmtId="0" fontId="125" fillId="8" borderId="12" xfId="5" applyFont="1" applyFill="1" applyBorder="1" applyAlignment="1">
      <alignment horizontal="center" vertical="center"/>
    </xf>
    <xf numFmtId="166" fontId="127" fillId="7" borderId="64" xfId="2" applyNumberFormat="1" applyFont="1" applyFill="1" applyBorder="1" applyAlignment="1">
      <alignment horizontal="center" vertical="center"/>
    </xf>
    <xf numFmtId="0" fontId="123" fillId="0" borderId="64" xfId="2" applyFont="1" applyBorder="1" applyAlignment="1">
      <alignment horizontal="center" vertical="center"/>
    </xf>
    <xf numFmtId="0" fontId="123" fillId="0" borderId="13" xfId="2" applyFont="1" applyBorder="1" applyAlignment="1">
      <alignment horizontal="center" vertical="center"/>
    </xf>
    <xf numFmtId="1" fontId="123" fillId="0" borderId="21" xfId="2" applyNumberFormat="1" applyFont="1" applyBorder="1" applyAlignment="1">
      <alignment horizontal="center" vertical="center"/>
    </xf>
    <xf numFmtId="0" fontId="140" fillId="15" borderId="21" xfId="5" applyFont="1" applyFill="1" applyBorder="1" applyAlignment="1">
      <alignment horizontal="center" vertical="center"/>
    </xf>
    <xf numFmtId="166" fontId="140" fillId="15" borderId="20" xfId="5" applyNumberFormat="1" applyFont="1" applyFill="1" applyBorder="1" applyAlignment="1">
      <alignment horizontal="center" vertical="center"/>
    </xf>
    <xf numFmtId="0" fontId="125" fillId="0" borderId="64" xfId="5" applyFont="1" applyBorder="1" applyAlignment="1">
      <alignment horizontal="center" vertical="center"/>
    </xf>
    <xf numFmtId="0" fontId="125" fillId="0" borderId="20" xfId="5" applyFont="1" applyBorder="1" applyAlignment="1">
      <alignment horizontal="center" vertical="center"/>
    </xf>
    <xf numFmtId="0" fontId="125" fillId="4" borderId="13" xfId="5" applyFont="1" applyFill="1" applyBorder="1" applyAlignment="1">
      <alignment horizontal="left" vertical="center"/>
    </xf>
    <xf numFmtId="0" fontId="125" fillId="0" borderId="13" xfId="5" applyFont="1" applyBorder="1" applyAlignment="1">
      <alignment horizontal="center" vertical="center"/>
    </xf>
    <xf numFmtId="0" fontId="125" fillId="0" borderId="18" xfId="5" applyFont="1" applyBorder="1" applyAlignment="1">
      <alignment horizontal="center" vertical="center"/>
    </xf>
    <xf numFmtId="0" fontId="125" fillId="0" borderId="57" xfId="5" applyFont="1" applyBorder="1" applyAlignment="1">
      <alignment horizontal="center" vertical="center"/>
    </xf>
    <xf numFmtId="0" fontId="125" fillId="4" borderId="18" xfId="5" applyFont="1" applyFill="1" applyBorder="1" applyAlignment="1">
      <alignment horizontal="left" vertical="center"/>
    </xf>
    <xf numFmtId="0" fontId="123" fillId="0" borderId="62" xfId="2" applyFont="1" applyBorder="1" applyAlignment="1">
      <alignment horizontal="center" vertical="center"/>
    </xf>
    <xf numFmtId="166" fontId="123" fillId="7" borderId="45" xfId="5" applyNumberFormat="1" applyFont="1" applyFill="1" applyBorder="1" applyAlignment="1">
      <alignment horizontal="center" vertical="center"/>
    </xf>
    <xf numFmtId="0" fontId="128" fillId="4" borderId="44" xfId="5" applyFont="1" applyFill="1" applyBorder="1" applyAlignment="1">
      <alignment horizontal="left" vertical="center"/>
    </xf>
    <xf numFmtId="166" fontId="123" fillId="7" borderId="57" xfId="5" applyNumberFormat="1" applyFont="1" applyFill="1" applyBorder="1" applyAlignment="1">
      <alignment horizontal="center" vertical="center"/>
    </xf>
    <xf numFmtId="0" fontId="123" fillId="0" borderId="14" xfId="2" applyFont="1" applyBorder="1" applyAlignment="1">
      <alignment horizontal="center" vertical="center"/>
    </xf>
    <xf numFmtId="0" fontId="140" fillId="15" borderId="67" xfId="5" applyFont="1" applyFill="1" applyBorder="1" applyAlignment="1">
      <alignment horizontal="center" vertical="center"/>
    </xf>
    <xf numFmtId="166" fontId="140" fillId="15" borderId="45" xfId="5" applyNumberFormat="1" applyFont="1" applyFill="1" applyBorder="1" applyAlignment="1">
      <alignment horizontal="center" vertical="center"/>
    </xf>
    <xf numFmtId="0" fontId="125" fillId="4" borderId="44" xfId="5" applyFont="1" applyFill="1" applyBorder="1" applyAlignment="1">
      <alignment horizontal="left" vertical="center"/>
    </xf>
    <xf numFmtId="166" fontId="140" fillId="15" borderId="57" xfId="5" applyNumberFormat="1" applyFont="1" applyFill="1" applyBorder="1" applyAlignment="1">
      <alignment horizontal="center" vertical="center"/>
    </xf>
    <xf numFmtId="0" fontId="125" fillId="4" borderId="10" xfId="5" applyFont="1" applyFill="1" applyBorder="1" applyAlignment="1">
      <alignment horizontal="left" vertical="center" wrapText="1"/>
    </xf>
    <xf numFmtId="0" fontId="123" fillId="7" borderId="57" xfId="5" applyFont="1" applyFill="1" applyBorder="1" applyAlignment="1">
      <alignment horizontal="center" vertical="center"/>
    </xf>
    <xf numFmtId="0" fontId="123" fillId="4" borderId="10" xfId="5" applyFont="1" applyFill="1" applyBorder="1" applyAlignment="1">
      <alignment horizontal="left" vertical="center"/>
    </xf>
    <xf numFmtId="0" fontId="128" fillId="2" borderId="19" xfId="2" applyFont="1" applyFill="1" applyBorder="1" applyAlignment="1">
      <alignment horizontal="center" vertical="center"/>
    </xf>
    <xf numFmtId="0" fontId="145" fillId="7" borderId="10" xfId="2" applyFont="1" applyFill="1" applyBorder="1" applyAlignment="1">
      <alignment horizontal="center" vertical="center"/>
    </xf>
    <xf numFmtId="0" fontId="128" fillId="2" borderId="18" xfId="2" applyFont="1" applyFill="1" applyBorder="1" applyAlignment="1">
      <alignment horizontal="center" vertical="center"/>
    </xf>
    <xf numFmtId="1" fontId="123" fillId="2" borderId="19" xfId="2" applyNumberFormat="1" applyFont="1" applyFill="1" applyBorder="1" applyAlignment="1">
      <alignment horizontal="center" vertical="center"/>
    </xf>
    <xf numFmtId="0" fontId="123" fillId="7" borderId="18" xfId="5" applyFont="1" applyFill="1" applyBorder="1" applyAlignment="1">
      <alignment horizontal="center" vertical="center"/>
    </xf>
    <xf numFmtId="0" fontId="128" fillId="4" borderId="57" xfId="5" applyFont="1" applyFill="1" applyBorder="1" applyAlignment="1">
      <alignment horizontal="left" vertical="center"/>
    </xf>
    <xf numFmtId="166" fontId="127" fillId="7" borderId="50" xfId="2" applyNumberFormat="1" applyFont="1" applyFill="1" applyBorder="1" applyAlignment="1">
      <alignment horizontal="center" vertical="center" wrapText="1"/>
    </xf>
    <xf numFmtId="0" fontId="128" fillId="2" borderId="39" xfId="2" applyFont="1" applyFill="1" applyBorder="1" applyAlignment="1">
      <alignment horizontal="center" vertical="center"/>
    </xf>
    <xf numFmtId="166" fontId="143" fillId="7" borderId="50" xfId="2" applyNumberFormat="1" applyFont="1" applyFill="1" applyBorder="1" applyAlignment="1">
      <alignment horizontal="center" vertical="center" wrapText="1"/>
    </xf>
    <xf numFmtId="0" fontId="128" fillId="2" borderId="38" xfId="2" applyFont="1" applyFill="1" applyBorder="1" applyAlignment="1">
      <alignment horizontal="center" vertical="center"/>
    </xf>
    <xf numFmtId="0" fontId="123" fillId="0" borderId="38" xfId="2" applyFont="1" applyBorder="1" applyAlignment="1">
      <alignment horizontal="center" vertical="center"/>
    </xf>
    <xf numFmtId="1" fontId="123" fillId="0" borderId="38" xfId="2" applyNumberFormat="1" applyFont="1" applyBorder="1" applyAlignment="1">
      <alignment horizontal="center" vertical="center"/>
    </xf>
    <xf numFmtId="0" fontId="140" fillId="15" borderId="39" xfId="5" applyFont="1" applyFill="1" applyBorder="1" applyAlignment="1">
      <alignment horizontal="center" vertical="center"/>
    </xf>
    <xf numFmtId="166" fontId="140" fillId="15" borderId="38" xfId="5" applyNumberFormat="1" applyFont="1" applyFill="1" applyBorder="1" applyAlignment="1">
      <alignment horizontal="center" vertical="center"/>
    </xf>
    <xf numFmtId="0" fontId="125" fillId="2" borderId="38" xfId="5" applyFont="1" applyFill="1" applyBorder="1" applyAlignment="1">
      <alignment horizontal="center" vertical="center"/>
    </xf>
    <xf numFmtId="0" fontId="125" fillId="4" borderId="38" xfId="5" applyFont="1" applyFill="1" applyBorder="1" applyAlignment="1">
      <alignment horizontal="left" vertical="center"/>
    </xf>
    <xf numFmtId="0" fontId="128" fillId="2" borderId="54" xfId="2" applyFont="1" applyFill="1" applyBorder="1" applyAlignment="1">
      <alignment horizontal="center" vertical="center"/>
    </xf>
    <xf numFmtId="166" fontId="123" fillId="7" borderId="6" xfId="2" applyNumberFormat="1" applyFont="1" applyFill="1" applyBorder="1" applyAlignment="1">
      <alignment horizontal="center" vertical="center"/>
    </xf>
    <xf numFmtId="1" fontId="123" fillId="2" borderId="54" xfId="2" applyNumberFormat="1" applyFont="1" applyFill="1" applyBorder="1" applyAlignment="1">
      <alignment horizontal="center" vertical="center"/>
    </xf>
    <xf numFmtId="0" fontId="123" fillId="7" borderId="55" xfId="5" applyFont="1" applyFill="1" applyBorder="1" applyAlignment="1">
      <alignment horizontal="center" vertical="center"/>
    </xf>
    <xf numFmtId="0" fontId="125" fillId="4" borderId="57" xfId="5" applyFont="1" applyFill="1" applyBorder="1" applyAlignment="1">
      <alignment horizontal="left" vertical="center"/>
    </xf>
    <xf numFmtId="0" fontId="144" fillId="7" borderId="57" xfId="2" applyFont="1" applyFill="1" applyBorder="1" applyAlignment="1">
      <alignment horizontal="center" vertical="center"/>
    </xf>
    <xf numFmtId="0" fontId="140" fillId="15" borderId="18" xfId="5" applyFont="1" applyFill="1" applyBorder="1" applyAlignment="1">
      <alignment horizontal="center" vertical="center"/>
    </xf>
    <xf numFmtId="49" fontId="144" fillId="7" borderId="45" xfId="2" applyNumberFormat="1" applyFont="1" applyFill="1" applyBorder="1" applyAlignment="1">
      <alignment horizontal="center" vertical="center"/>
    </xf>
    <xf numFmtId="0" fontId="128" fillId="7" borderId="44" xfId="2" applyFont="1" applyFill="1" applyBorder="1" applyAlignment="1">
      <alignment horizontal="center" vertical="center"/>
    </xf>
    <xf numFmtId="0" fontId="128" fillId="2" borderId="62" xfId="2" applyFont="1" applyFill="1" applyBorder="1" applyAlignment="1">
      <alignment horizontal="center" vertical="center"/>
    </xf>
    <xf numFmtId="0" fontId="128" fillId="7" borderId="10" xfId="2" applyFont="1" applyFill="1" applyBorder="1" applyAlignment="1">
      <alignment horizontal="center" vertical="center"/>
    </xf>
    <xf numFmtId="0" fontId="123" fillId="7" borderId="13" xfId="5" applyFont="1" applyFill="1" applyBorder="1" applyAlignment="1">
      <alignment horizontal="center" vertical="center"/>
    </xf>
    <xf numFmtId="0" fontId="128" fillId="2" borderId="64" xfId="5" applyFont="1" applyFill="1" applyBorder="1" applyAlignment="1">
      <alignment horizontal="center" vertical="center"/>
    </xf>
    <xf numFmtId="0" fontId="128" fillId="4" borderId="64" xfId="5" applyFont="1" applyFill="1" applyBorder="1" applyAlignment="1">
      <alignment horizontal="left" vertical="center"/>
    </xf>
    <xf numFmtId="166" fontId="144" fillId="7" borderId="20" xfId="2" applyNumberFormat="1" applyFont="1" applyFill="1" applyBorder="1" applyAlignment="1">
      <alignment horizontal="center" vertical="center"/>
    </xf>
    <xf numFmtId="0" fontId="128" fillId="2" borderId="21" xfId="2" applyFont="1" applyFill="1" applyBorder="1" applyAlignment="1">
      <alignment horizontal="center" vertical="center"/>
    </xf>
    <xf numFmtId="0" fontId="145" fillId="7" borderId="20" xfId="2" applyFont="1" applyFill="1" applyBorder="1" applyAlignment="1">
      <alignment horizontal="center" vertical="center"/>
    </xf>
    <xf numFmtId="0" fontId="128" fillId="2" borderId="13" xfId="2" applyFont="1" applyFill="1" applyBorder="1" applyAlignment="1">
      <alignment horizontal="center" vertical="center"/>
    </xf>
    <xf numFmtId="0" fontId="128" fillId="2" borderId="35" xfId="2" applyFont="1" applyFill="1" applyBorder="1" applyAlignment="1">
      <alignment horizontal="center" vertical="center"/>
    </xf>
    <xf numFmtId="166" fontId="123" fillId="7" borderId="23" xfId="2" applyNumberFormat="1" applyFont="1" applyFill="1" applyBorder="1" applyAlignment="1">
      <alignment horizontal="center" vertical="center"/>
    </xf>
    <xf numFmtId="0" fontId="123" fillId="2" borderId="61" xfId="2" applyFont="1" applyFill="1" applyBorder="1" applyAlignment="1">
      <alignment horizontal="center" vertical="center"/>
    </xf>
    <xf numFmtId="1" fontId="123" fillId="2" borderId="35" xfId="2" applyNumberFormat="1" applyFont="1" applyFill="1" applyBorder="1" applyAlignment="1">
      <alignment horizontal="center" vertical="center"/>
    </xf>
    <xf numFmtId="0" fontId="123" fillId="7" borderId="61" xfId="5" applyFont="1" applyFill="1" applyBorder="1" applyAlignment="1">
      <alignment horizontal="center" vertical="center"/>
    </xf>
    <xf numFmtId="0" fontId="128" fillId="4" borderId="60" xfId="5" applyFont="1" applyFill="1" applyBorder="1" applyAlignment="1">
      <alignment horizontal="left" vertical="center"/>
    </xf>
    <xf numFmtId="166" fontId="129" fillId="7" borderId="3" xfId="2" applyNumberFormat="1" applyFont="1" applyFill="1" applyBorder="1" applyAlignment="1">
      <alignment horizontal="center" vertical="center"/>
    </xf>
    <xf numFmtId="0" fontId="135" fillId="7" borderId="4" xfId="2" applyFont="1" applyFill="1" applyBorder="1" applyAlignment="1">
      <alignment horizontal="center" vertical="center"/>
    </xf>
    <xf numFmtId="0" fontId="59" fillId="39" borderId="10" xfId="5" applyFont="1" applyFill="1" applyBorder="1" applyAlignment="1">
      <alignment horizontal="center" vertical="center"/>
    </xf>
    <xf numFmtId="166" fontId="140" fillId="39" borderId="19" xfId="5" applyNumberFormat="1" applyFont="1" applyFill="1" applyBorder="1" applyAlignment="1">
      <alignment horizontal="center" vertical="center"/>
    </xf>
    <xf numFmtId="0" fontId="142" fillId="40" borderId="19" xfId="5" applyFont="1" applyFill="1" applyBorder="1" applyAlignment="1">
      <alignment horizontal="center" vertical="center"/>
    </xf>
    <xf numFmtId="0" fontId="142" fillId="40" borderId="10" xfId="5" applyFont="1" applyFill="1" applyBorder="1" applyAlignment="1">
      <alignment horizontal="center" vertical="center"/>
    </xf>
    <xf numFmtId="0" fontId="60" fillId="40" borderId="19" xfId="5" applyFont="1" applyFill="1" applyBorder="1" applyAlignment="1">
      <alignment horizontal="left" vertical="center"/>
    </xf>
    <xf numFmtId="0" fontId="142" fillId="41" borderId="10" xfId="5" applyFont="1" applyFill="1" applyBorder="1" applyAlignment="1">
      <alignment horizontal="center" vertical="center"/>
    </xf>
    <xf numFmtId="166" fontId="122" fillId="7" borderId="0" xfId="2" applyNumberFormat="1" applyFont="1" applyFill="1" applyAlignment="1">
      <alignment horizontal="center" vertical="center" wrapText="1"/>
    </xf>
    <xf numFmtId="166" fontId="123" fillId="7" borderId="0" xfId="2" applyNumberFormat="1" applyFont="1" applyFill="1" applyAlignment="1">
      <alignment horizontal="center" vertical="center"/>
    </xf>
    <xf numFmtId="0" fontId="128" fillId="2" borderId="50" xfId="5" applyFont="1" applyFill="1" applyBorder="1" applyAlignment="1">
      <alignment horizontal="center" vertical="center"/>
    </xf>
    <xf numFmtId="0" fontId="128" fillId="2" borderId="19" xfId="5" applyFont="1" applyFill="1" applyBorder="1" applyAlignment="1">
      <alignment horizontal="left" vertical="center"/>
    </xf>
    <xf numFmtId="0" fontId="128" fillId="2" borderId="18" xfId="5" applyFont="1" applyFill="1" applyBorder="1" applyAlignment="1">
      <alignment horizontal="left" vertical="center"/>
    </xf>
    <xf numFmtId="0" fontId="125" fillId="2" borderId="14" xfId="5" applyFont="1" applyFill="1" applyBorder="1" applyAlignment="1">
      <alignment horizontal="left" vertical="center"/>
    </xf>
    <xf numFmtId="0" fontId="125" fillId="8" borderId="19" xfId="5" applyFont="1" applyFill="1" applyBorder="1" applyAlignment="1">
      <alignment horizontal="left" vertical="center"/>
    </xf>
    <xf numFmtId="0" fontId="125" fillId="8" borderId="61" xfId="5" applyFont="1" applyFill="1" applyBorder="1" applyAlignment="1">
      <alignment horizontal="left" vertical="center"/>
    </xf>
    <xf numFmtId="0" fontId="125" fillId="2" borderId="54" xfId="5" applyFont="1" applyFill="1" applyBorder="1" applyAlignment="1">
      <alignment horizontal="left" vertical="center"/>
    </xf>
    <xf numFmtId="0" fontId="125" fillId="8" borderId="55" xfId="5" applyFont="1" applyFill="1" applyBorder="1" applyAlignment="1">
      <alignment horizontal="left" vertical="center"/>
    </xf>
    <xf numFmtId="0" fontId="125" fillId="2" borderId="19" xfId="5" applyFont="1" applyFill="1" applyBorder="1" applyAlignment="1">
      <alignment horizontal="left" vertical="center"/>
    </xf>
    <xf numFmtId="0" fontId="128" fillId="2" borderId="62" xfId="2" applyFont="1" applyFill="1" applyBorder="1" applyAlignment="1">
      <alignment horizontal="left" vertical="center"/>
    </xf>
    <xf numFmtId="0" fontId="125" fillId="2" borderId="39" xfId="5" applyFont="1" applyFill="1" applyBorder="1" applyAlignment="1">
      <alignment horizontal="left" vertical="center"/>
    </xf>
    <xf numFmtId="0" fontId="128" fillId="2" borderId="54" xfId="5" applyFont="1" applyFill="1" applyBorder="1" applyAlignment="1">
      <alignment horizontal="left" vertical="center"/>
    </xf>
    <xf numFmtId="0" fontId="125" fillId="2" borderId="18" xfId="5" applyFont="1" applyFill="1" applyBorder="1" applyAlignment="1">
      <alignment horizontal="left" vertical="center"/>
    </xf>
    <xf numFmtId="0" fontId="128" fillId="2" borderId="19" xfId="5" applyFont="1" applyFill="1" applyBorder="1" applyAlignment="1">
      <alignment horizontal="left" vertical="center" wrapText="1"/>
    </xf>
    <xf numFmtId="166" fontId="58" fillId="7" borderId="57" xfId="2" applyNumberFormat="1" applyFont="1" applyFill="1" applyBorder="1" applyAlignment="1">
      <alignment horizontal="center" vertical="center"/>
    </xf>
    <xf numFmtId="166" fontId="58" fillId="7" borderId="18" xfId="2" applyNumberFormat="1" applyFont="1" applyFill="1" applyBorder="1" applyAlignment="1">
      <alignment horizontal="center" vertical="center"/>
    </xf>
    <xf numFmtId="0" fontId="48" fillId="10" borderId="1" xfId="1" applyFont="1" applyFill="1" applyBorder="1" applyAlignment="1">
      <alignment horizontal="center" vertical="center" wrapText="1"/>
    </xf>
    <xf numFmtId="0" fontId="48" fillId="10" borderId="12" xfId="1" applyFont="1" applyFill="1" applyBorder="1" applyAlignment="1">
      <alignment horizontal="center" vertical="center" wrapText="1"/>
    </xf>
    <xf numFmtId="0" fontId="48" fillId="10" borderId="51" xfId="1" applyFont="1" applyFill="1" applyBorder="1" applyAlignment="1">
      <alignment horizontal="center" vertical="center" wrapText="1"/>
    </xf>
    <xf numFmtId="0" fontId="48" fillId="10" borderId="52" xfId="1" applyFont="1" applyFill="1" applyBorder="1" applyAlignment="1">
      <alignment horizontal="center" vertical="center" wrapText="1"/>
    </xf>
    <xf numFmtId="171" fontId="58" fillId="2" borderId="30" xfId="1" applyNumberFormat="1" applyFont="1" applyFill="1" applyBorder="1" applyAlignment="1">
      <alignment horizontal="center" vertical="center"/>
    </xf>
    <xf numFmtId="171" fontId="58" fillId="2" borderId="31" xfId="1" applyNumberFormat="1" applyFont="1" applyFill="1" applyBorder="1" applyAlignment="1">
      <alignment horizontal="center" vertical="center"/>
    </xf>
    <xf numFmtId="171" fontId="58" fillId="2" borderId="48" xfId="1" applyNumberFormat="1" applyFont="1" applyFill="1" applyBorder="1" applyAlignment="1">
      <alignment horizontal="center" vertical="center"/>
    </xf>
    <xf numFmtId="171" fontId="58" fillId="2" borderId="16" xfId="1" applyNumberFormat="1" applyFont="1" applyFill="1" applyBorder="1" applyAlignment="1">
      <alignment horizontal="center" vertical="center"/>
    </xf>
    <xf numFmtId="165" fontId="58" fillId="2" borderId="30" xfId="1" applyNumberFormat="1" applyFont="1" applyFill="1" applyBorder="1" applyAlignment="1">
      <alignment horizontal="center" vertical="center"/>
    </xf>
    <xf numFmtId="165" fontId="58" fillId="2" borderId="34" xfId="1" applyNumberFormat="1" applyFont="1" applyFill="1" applyBorder="1" applyAlignment="1">
      <alignment horizontal="center" vertical="center"/>
    </xf>
    <xf numFmtId="165" fontId="58" fillId="2" borderId="48" xfId="1" applyNumberFormat="1" applyFont="1" applyFill="1" applyBorder="1" applyAlignment="1">
      <alignment horizontal="center" vertical="center"/>
    </xf>
    <xf numFmtId="165" fontId="58" fillId="2" borderId="49" xfId="1" applyNumberFormat="1" applyFont="1" applyFill="1" applyBorder="1" applyAlignment="1">
      <alignment horizontal="center" vertical="center"/>
    </xf>
    <xf numFmtId="0" fontId="52" fillId="37" borderId="1" xfId="1" applyFont="1" applyFill="1" applyBorder="1" applyAlignment="1">
      <alignment horizontal="center" vertical="center"/>
    </xf>
    <xf numFmtId="0" fontId="52" fillId="37" borderId="12" xfId="1" applyFont="1" applyFill="1" applyBorder="1" applyAlignment="1">
      <alignment horizontal="center" vertical="center"/>
    </xf>
    <xf numFmtId="0" fontId="52" fillId="37" borderId="51" xfId="1" applyFont="1" applyFill="1" applyBorder="1" applyAlignment="1">
      <alignment horizontal="center" vertical="center"/>
    </xf>
    <xf numFmtId="0" fontId="52" fillId="37" borderId="52" xfId="1" applyFont="1" applyFill="1" applyBorder="1" applyAlignment="1">
      <alignment horizontal="center" vertical="center"/>
    </xf>
    <xf numFmtId="0" fontId="63" fillId="4" borderId="1" xfId="2" applyFont="1" applyFill="1" applyBorder="1" applyAlignment="1">
      <alignment horizontal="center" vertical="center"/>
    </xf>
    <xf numFmtId="0" fontId="63" fillId="4" borderId="2" xfId="2" applyFont="1" applyFill="1" applyBorder="1" applyAlignment="1">
      <alignment horizontal="center" vertical="center"/>
    </xf>
    <xf numFmtId="0" fontId="63" fillId="4" borderId="12" xfId="2" applyFont="1" applyFill="1" applyBorder="1" applyAlignment="1">
      <alignment horizontal="center" vertical="center"/>
    </xf>
    <xf numFmtId="0" fontId="63" fillId="4" borderId="51" xfId="2" applyFont="1" applyFill="1" applyBorder="1" applyAlignment="1">
      <alignment horizontal="center" vertical="center"/>
    </xf>
    <xf numFmtId="0" fontId="63" fillId="4" borderId="0" xfId="2" applyFont="1" applyFill="1" applyAlignment="1">
      <alignment horizontal="center" vertical="center"/>
    </xf>
    <xf numFmtId="0" fontId="63" fillId="4" borderId="52" xfId="2" applyFont="1" applyFill="1" applyBorder="1" applyAlignment="1">
      <alignment horizontal="center" vertical="center"/>
    </xf>
    <xf numFmtId="0" fontId="63" fillId="4" borderId="38" xfId="2" applyFont="1" applyFill="1" applyBorder="1" applyAlignment="1">
      <alignment horizontal="center" vertical="center"/>
    </xf>
    <xf numFmtId="0" fontId="63" fillId="4" borderId="39" xfId="2" applyFont="1" applyFill="1" applyBorder="1" applyAlignment="1">
      <alignment horizontal="center" vertical="center"/>
    </xf>
    <xf numFmtId="0" fontId="63" fillId="4" borderId="40" xfId="2" applyFont="1" applyFill="1" applyBorder="1" applyAlignment="1">
      <alignment horizontal="center" vertical="center"/>
    </xf>
    <xf numFmtId="0" fontId="52" fillId="37" borderId="38" xfId="1" applyFont="1" applyFill="1" applyBorder="1" applyAlignment="1">
      <alignment horizontal="center" vertical="center"/>
    </xf>
    <xf numFmtId="0" fontId="52" fillId="37" borderId="40" xfId="1" applyFont="1" applyFill="1" applyBorder="1" applyAlignment="1">
      <alignment horizontal="center" vertical="center"/>
    </xf>
    <xf numFmtId="0" fontId="58" fillId="4" borderId="1" xfId="2" applyFont="1" applyFill="1" applyBorder="1" applyAlignment="1">
      <alignment horizontal="center" vertical="center" wrapText="1"/>
    </xf>
    <xf numFmtId="0" fontId="58" fillId="4" borderId="2" xfId="2" applyFont="1" applyFill="1" applyBorder="1" applyAlignment="1">
      <alignment horizontal="center" vertical="center" wrapText="1"/>
    </xf>
    <xf numFmtId="0" fontId="58" fillId="4" borderId="12" xfId="2" applyFont="1" applyFill="1" applyBorder="1" applyAlignment="1">
      <alignment horizontal="center" vertical="center" wrapText="1"/>
    </xf>
    <xf numFmtId="0" fontId="58" fillId="4" borderId="38" xfId="2" applyFont="1" applyFill="1" applyBorder="1" applyAlignment="1">
      <alignment horizontal="center" vertical="center" wrapText="1"/>
    </xf>
    <xf numFmtId="0" fontId="58" fillId="4" borderId="39" xfId="2" applyFont="1" applyFill="1" applyBorder="1" applyAlignment="1">
      <alignment horizontal="center" vertical="center" wrapText="1"/>
    </xf>
    <xf numFmtId="0" fontId="58" fillId="4" borderId="40" xfId="2" applyFont="1" applyFill="1" applyBorder="1" applyAlignment="1">
      <alignment horizontal="center" vertical="center" wrapText="1"/>
    </xf>
    <xf numFmtId="165" fontId="48" fillId="10" borderId="1" xfId="1" applyNumberFormat="1" applyFont="1" applyFill="1" applyBorder="1" applyAlignment="1">
      <alignment horizontal="center" vertical="center"/>
    </xf>
    <xf numFmtId="165" fontId="48" fillId="10" borderId="12" xfId="1" applyNumberFormat="1" applyFont="1" applyFill="1" applyBorder="1" applyAlignment="1">
      <alignment horizontal="center" vertical="center"/>
    </xf>
    <xf numFmtId="165" fontId="48" fillId="10" borderId="51" xfId="1" applyNumberFormat="1" applyFont="1" applyFill="1" applyBorder="1" applyAlignment="1">
      <alignment horizontal="center" vertical="center"/>
    </xf>
    <xf numFmtId="165" fontId="48" fillId="10" borderId="52" xfId="1" applyNumberFormat="1" applyFont="1" applyFill="1" applyBorder="1" applyAlignment="1">
      <alignment horizontal="center" vertical="center"/>
    </xf>
    <xf numFmtId="165" fontId="48" fillId="10" borderId="38" xfId="1" applyNumberFormat="1" applyFont="1" applyFill="1" applyBorder="1" applyAlignment="1">
      <alignment horizontal="center" vertical="center"/>
    </xf>
    <xf numFmtId="165" fontId="48" fillId="10" borderId="40" xfId="1" applyNumberFormat="1" applyFont="1" applyFill="1" applyBorder="1" applyAlignment="1">
      <alignment horizontal="center" vertical="center"/>
    </xf>
    <xf numFmtId="0" fontId="48" fillId="10" borderId="1" xfId="1" applyFont="1" applyFill="1" applyBorder="1" applyAlignment="1">
      <alignment horizontal="center" vertical="center"/>
    </xf>
    <xf numFmtId="0" fontId="48" fillId="10" borderId="12" xfId="1" applyFont="1" applyFill="1" applyBorder="1" applyAlignment="1">
      <alignment horizontal="center" vertical="center"/>
    </xf>
    <xf numFmtId="0" fontId="48" fillId="10" borderId="51" xfId="1" applyFont="1" applyFill="1" applyBorder="1" applyAlignment="1">
      <alignment horizontal="center" vertical="center"/>
    </xf>
    <xf numFmtId="0" fontId="48" fillId="10" borderId="52" xfId="1" applyFont="1" applyFill="1" applyBorder="1" applyAlignment="1">
      <alignment horizontal="center" vertical="center"/>
    </xf>
    <xf numFmtId="0" fontId="48" fillId="10" borderId="38" xfId="1" applyFont="1" applyFill="1" applyBorder="1" applyAlignment="1">
      <alignment horizontal="center" vertical="center"/>
    </xf>
    <xf numFmtId="0" fontId="48" fillId="10" borderId="40" xfId="1" applyFont="1" applyFill="1" applyBorder="1" applyAlignment="1">
      <alignment horizontal="center" vertical="center"/>
    </xf>
    <xf numFmtId="0" fontId="52" fillId="7" borderId="1" xfId="2" applyFont="1" applyFill="1" applyBorder="1" applyAlignment="1">
      <alignment horizontal="center" vertical="center"/>
    </xf>
    <xf numFmtId="0" fontId="52" fillId="7" borderId="2" xfId="2" applyFont="1" applyFill="1" applyBorder="1" applyAlignment="1">
      <alignment horizontal="center" vertical="center"/>
    </xf>
    <xf numFmtId="0" fontId="52" fillId="7" borderId="38" xfId="2" applyFont="1" applyFill="1" applyBorder="1" applyAlignment="1">
      <alignment horizontal="center" vertical="center"/>
    </xf>
    <xf numFmtId="0" fontId="52" fillId="7" borderId="39" xfId="2" applyFont="1" applyFill="1" applyBorder="1" applyAlignment="1">
      <alignment horizontal="center" vertical="center"/>
    </xf>
    <xf numFmtId="1" fontId="52" fillId="7" borderId="2" xfId="2" applyNumberFormat="1" applyFont="1" applyFill="1" applyBorder="1" applyAlignment="1">
      <alignment horizontal="center" vertical="center"/>
    </xf>
    <xf numFmtId="1" fontId="52" fillId="7" borderId="12" xfId="2" applyNumberFormat="1" applyFont="1" applyFill="1" applyBorder="1" applyAlignment="1">
      <alignment horizontal="center" vertical="center"/>
    </xf>
    <xf numFmtId="1" fontId="52" fillId="7" borderId="39" xfId="2" applyNumberFormat="1" applyFont="1" applyFill="1" applyBorder="1" applyAlignment="1">
      <alignment horizontal="center" vertical="center"/>
    </xf>
    <xf numFmtId="1" fontId="52" fillId="7" borderId="40" xfId="2" applyNumberFormat="1" applyFont="1" applyFill="1" applyBorder="1" applyAlignment="1">
      <alignment horizontal="center" vertical="center"/>
    </xf>
    <xf numFmtId="0" fontId="68" fillId="10" borderId="51" xfId="1" applyFont="1" applyFill="1" applyBorder="1" applyAlignment="1">
      <alignment horizontal="center" vertical="center"/>
    </xf>
    <xf numFmtId="0" fontId="68" fillId="10" borderId="52" xfId="1" applyFont="1" applyFill="1" applyBorder="1" applyAlignment="1">
      <alignment horizontal="center" vertical="center"/>
    </xf>
    <xf numFmtId="0" fontId="68" fillId="10" borderId="38" xfId="1" applyFont="1" applyFill="1" applyBorder="1" applyAlignment="1">
      <alignment horizontal="center" vertical="center"/>
    </xf>
    <xf numFmtId="0" fontId="68" fillId="10" borderId="40" xfId="1" applyFont="1" applyFill="1" applyBorder="1" applyAlignment="1">
      <alignment horizontal="center" vertical="center"/>
    </xf>
    <xf numFmtId="0" fontId="68" fillId="10" borderId="51" xfId="1" applyFont="1" applyFill="1" applyBorder="1" applyAlignment="1">
      <alignment horizontal="center" vertical="center" wrapText="1"/>
    </xf>
    <xf numFmtId="0" fontId="68" fillId="10" borderId="52" xfId="1" applyFont="1" applyFill="1" applyBorder="1" applyAlignment="1">
      <alignment horizontal="center" vertical="center" wrapText="1"/>
    </xf>
    <xf numFmtId="0" fontId="68" fillId="10" borderId="38" xfId="1" applyFont="1" applyFill="1" applyBorder="1" applyAlignment="1">
      <alignment horizontal="center" vertical="center" wrapText="1"/>
    </xf>
    <xf numFmtId="0" fontId="68" fillId="10" borderId="40" xfId="1" applyFont="1" applyFill="1" applyBorder="1" applyAlignment="1">
      <alignment horizontal="center" vertical="center" wrapText="1"/>
    </xf>
    <xf numFmtId="0" fontId="58" fillId="4" borderId="1" xfId="2" applyFont="1" applyFill="1" applyBorder="1" applyAlignment="1">
      <alignment horizontal="center" vertical="center"/>
    </xf>
    <xf numFmtId="0" fontId="58" fillId="4" borderId="2" xfId="2" applyFont="1" applyFill="1" applyBorder="1" applyAlignment="1">
      <alignment horizontal="center" vertical="center"/>
    </xf>
    <xf numFmtId="0" fontId="58" fillId="4" borderId="12" xfId="2" applyFont="1" applyFill="1" applyBorder="1" applyAlignment="1">
      <alignment horizontal="center" vertical="center"/>
    </xf>
    <xf numFmtId="0" fontId="58" fillId="4" borderId="38" xfId="2" applyFont="1" applyFill="1" applyBorder="1" applyAlignment="1">
      <alignment horizontal="center" vertical="center"/>
    </xf>
    <xf numFmtId="0" fontId="58" fillId="4" borderId="39" xfId="2" applyFont="1" applyFill="1" applyBorder="1" applyAlignment="1">
      <alignment horizontal="center" vertical="center"/>
    </xf>
    <xf numFmtId="0" fontId="58" fillId="4" borderId="40" xfId="2" applyFont="1" applyFill="1" applyBorder="1" applyAlignment="1">
      <alignment horizontal="center" vertical="center"/>
    </xf>
    <xf numFmtId="0" fontId="53" fillId="7" borderId="1" xfId="2" applyFont="1" applyFill="1" applyBorder="1" applyAlignment="1">
      <alignment horizontal="center" vertical="center" wrapText="1"/>
    </xf>
    <xf numFmtId="0" fontId="53" fillId="7" borderId="2" xfId="2" applyFont="1" applyFill="1" applyBorder="1" applyAlignment="1">
      <alignment horizontal="center" vertical="center" wrapText="1"/>
    </xf>
    <xf numFmtId="0" fontId="53" fillId="7" borderId="12" xfId="2" applyFont="1" applyFill="1" applyBorder="1" applyAlignment="1">
      <alignment horizontal="center" vertical="center" wrapText="1"/>
    </xf>
    <xf numFmtId="0" fontId="53" fillId="7" borderId="51" xfId="2" applyFont="1" applyFill="1" applyBorder="1" applyAlignment="1">
      <alignment horizontal="center" vertical="center" wrapText="1"/>
    </xf>
    <xf numFmtId="0" fontId="53" fillId="7" borderId="0" xfId="2" applyFont="1" applyFill="1" applyAlignment="1">
      <alignment horizontal="center" vertical="center" wrapText="1"/>
    </xf>
    <xf numFmtId="0" fontId="53" fillId="7" borderId="52" xfId="2" applyFont="1" applyFill="1" applyBorder="1" applyAlignment="1">
      <alignment horizontal="center" vertical="center" wrapText="1"/>
    </xf>
    <xf numFmtId="0" fontId="53" fillId="7" borderId="38" xfId="2" applyFont="1" applyFill="1" applyBorder="1" applyAlignment="1">
      <alignment horizontal="center" vertical="center" wrapText="1"/>
    </xf>
    <xf numFmtId="0" fontId="53" fillId="7" borderId="39" xfId="2" applyFont="1" applyFill="1" applyBorder="1" applyAlignment="1">
      <alignment horizontal="center" vertical="center" wrapText="1"/>
    </xf>
    <xf numFmtId="0" fontId="53" fillId="7" borderId="40" xfId="2" applyFont="1" applyFill="1" applyBorder="1" applyAlignment="1">
      <alignment horizontal="center" vertical="center" wrapText="1"/>
    </xf>
    <xf numFmtId="0" fontId="43" fillId="10" borderId="51" xfId="2" applyFont="1" applyFill="1" applyBorder="1" applyAlignment="1">
      <alignment horizontal="center" vertical="center" wrapText="1"/>
    </xf>
    <xf numFmtId="0" fontId="43" fillId="10" borderId="0" xfId="2" applyFont="1" applyFill="1" applyAlignment="1">
      <alignment horizontal="center" vertical="center" wrapText="1"/>
    </xf>
    <xf numFmtId="0" fontId="43" fillId="10" borderId="52" xfId="2" applyFont="1" applyFill="1" applyBorder="1" applyAlignment="1">
      <alignment horizontal="center" vertical="center" wrapText="1"/>
    </xf>
    <xf numFmtId="0" fontId="43" fillId="10" borderId="38" xfId="2" applyFont="1" applyFill="1" applyBorder="1" applyAlignment="1">
      <alignment horizontal="center" vertical="center" wrapText="1"/>
    </xf>
    <xf numFmtId="0" fontId="43" fillId="10" borderId="39" xfId="2" applyFont="1" applyFill="1" applyBorder="1" applyAlignment="1">
      <alignment horizontal="center" vertical="center" wrapText="1"/>
    </xf>
    <xf numFmtId="0" fontId="43" fillId="10" borderId="40" xfId="2" applyFont="1" applyFill="1" applyBorder="1" applyAlignment="1">
      <alignment horizontal="center" vertical="center" wrapText="1"/>
    </xf>
    <xf numFmtId="0" fontId="58" fillId="4" borderId="51" xfId="2" applyFont="1" applyFill="1" applyBorder="1" applyAlignment="1">
      <alignment horizontal="center" vertical="center" wrapText="1"/>
    </xf>
    <xf numFmtId="0" fontId="58" fillId="4" borderId="0" xfId="2" applyFont="1" applyFill="1" applyAlignment="1">
      <alignment horizontal="center" vertical="center" wrapText="1"/>
    </xf>
    <xf numFmtId="0" fontId="58" fillId="4" borderId="52" xfId="2" applyFont="1" applyFill="1" applyBorder="1" applyAlignment="1">
      <alignment horizontal="center" vertical="center" wrapText="1"/>
    </xf>
    <xf numFmtId="0" fontId="57" fillId="7" borderId="51" xfId="2" applyFont="1" applyFill="1" applyBorder="1" applyAlignment="1">
      <alignment horizontal="center" vertical="center" wrapText="1"/>
    </xf>
    <xf numFmtId="0" fontId="57" fillId="7" borderId="0" xfId="2" applyFont="1" applyFill="1" applyAlignment="1">
      <alignment horizontal="center" vertical="center" wrapText="1"/>
    </xf>
    <xf numFmtId="0" fontId="57" fillId="7" borderId="52" xfId="2" applyFont="1" applyFill="1" applyBorder="1" applyAlignment="1">
      <alignment horizontal="center" vertical="center" wrapText="1"/>
    </xf>
    <xf numFmtId="0" fontId="57" fillId="7" borderId="38" xfId="2" applyFont="1" applyFill="1" applyBorder="1" applyAlignment="1">
      <alignment horizontal="center" vertical="center" wrapText="1"/>
    </xf>
    <xf numFmtId="0" fontId="57" fillId="7" borderId="39" xfId="2" applyFont="1" applyFill="1" applyBorder="1" applyAlignment="1">
      <alignment horizontal="center" vertical="center" wrapText="1"/>
    </xf>
    <xf numFmtId="0" fontId="57" fillId="7" borderId="40" xfId="2" applyFont="1" applyFill="1" applyBorder="1" applyAlignment="1">
      <alignment horizontal="center" vertical="center" wrapText="1"/>
    </xf>
    <xf numFmtId="0" fontId="43" fillId="10" borderId="1" xfId="2" applyFont="1" applyFill="1" applyBorder="1" applyAlignment="1">
      <alignment horizontal="center" vertical="center"/>
    </xf>
    <xf numFmtId="0" fontId="43" fillId="10" borderId="2" xfId="2" applyFont="1" applyFill="1" applyBorder="1" applyAlignment="1">
      <alignment horizontal="center" vertical="center"/>
    </xf>
    <xf numFmtId="0" fontId="43" fillId="10" borderId="51" xfId="2" applyFont="1" applyFill="1" applyBorder="1" applyAlignment="1">
      <alignment horizontal="center" vertical="center"/>
    </xf>
    <xf numFmtId="0" fontId="43" fillId="10" borderId="0" xfId="2" applyFont="1" applyFill="1" applyAlignment="1">
      <alignment horizontal="center" vertical="center"/>
    </xf>
    <xf numFmtId="0" fontId="43" fillId="10" borderId="38" xfId="2" applyFont="1" applyFill="1" applyBorder="1" applyAlignment="1">
      <alignment horizontal="center" vertical="center"/>
    </xf>
    <xf numFmtId="0" fontId="43" fillId="10" borderId="39" xfId="2" applyFont="1" applyFill="1" applyBorder="1" applyAlignment="1">
      <alignment horizontal="center" vertical="center"/>
    </xf>
    <xf numFmtId="3" fontId="43" fillId="10" borderId="2" xfId="2" applyNumberFormat="1" applyFont="1" applyFill="1" applyBorder="1" applyAlignment="1">
      <alignment horizontal="center" vertical="center"/>
    </xf>
    <xf numFmtId="3" fontId="43" fillId="10" borderId="12" xfId="2" applyNumberFormat="1" applyFont="1" applyFill="1" applyBorder="1" applyAlignment="1">
      <alignment horizontal="center" vertical="center"/>
    </xf>
    <xf numFmtId="3" fontId="43" fillId="10" borderId="0" xfId="2" applyNumberFormat="1" applyFont="1" applyFill="1" applyAlignment="1">
      <alignment horizontal="center" vertical="center"/>
    </xf>
    <xf numFmtId="3" fontId="43" fillId="10" borderId="52" xfId="2" applyNumberFormat="1" applyFont="1" applyFill="1" applyBorder="1" applyAlignment="1">
      <alignment horizontal="center" vertical="center"/>
    </xf>
    <xf numFmtId="3" fontId="43" fillId="10" borderId="39" xfId="2" applyNumberFormat="1" applyFont="1" applyFill="1" applyBorder="1" applyAlignment="1">
      <alignment horizontal="center" vertical="center"/>
    </xf>
    <xf numFmtId="3" fontId="43" fillId="10" borderId="40" xfId="2" applyNumberFormat="1" applyFont="1" applyFill="1" applyBorder="1" applyAlignment="1">
      <alignment horizontal="center" vertical="center"/>
    </xf>
    <xf numFmtId="0" fontId="57" fillId="2" borderId="57" xfId="5" applyFont="1" applyFill="1" applyBorder="1" applyAlignment="1">
      <alignment horizontal="center" vertical="center"/>
    </xf>
    <xf numFmtId="0" fontId="57" fillId="2" borderId="18" xfId="5" applyFont="1" applyFill="1" applyBorder="1" applyAlignment="1">
      <alignment horizontal="center" vertical="center"/>
    </xf>
    <xf numFmtId="171" fontId="58" fillId="2" borderId="37" xfId="1" applyNumberFormat="1" applyFont="1" applyFill="1" applyBorder="1" applyAlignment="1">
      <alignment horizontal="center" vertical="center" wrapText="1"/>
    </xf>
    <xf numFmtId="171" fontId="58" fillId="2" borderId="4" xfId="1" applyNumberFormat="1" applyFont="1" applyFill="1" applyBorder="1" applyAlignment="1">
      <alignment horizontal="center" vertical="center" wrapText="1"/>
    </xf>
    <xf numFmtId="0" fontId="58" fillId="2" borderId="59" xfId="1" applyFont="1" applyFill="1" applyBorder="1" applyAlignment="1">
      <alignment horizontal="center" vertical="center" wrapText="1"/>
    </xf>
    <xf numFmtId="0" fontId="58" fillId="2" borderId="55" xfId="1" applyFont="1" applyFill="1" applyBorder="1" applyAlignment="1">
      <alignment horizontal="center" vertical="center" wrapText="1"/>
    </xf>
    <xf numFmtId="171" fontId="58" fillId="2" borderId="24" xfId="1" applyNumberFormat="1" applyFont="1" applyFill="1" applyBorder="1" applyAlignment="1">
      <alignment horizontal="center" vertical="center"/>
    </xf>
    <xf numFmtId="171" fontId="58" fillId="2" borderId="25" xfId="1" applyNumberFormat="1" applyFont="1" applyFill="1" applyBorder="1" applyAlignment="1">
      <alignment horizontal="center" vertical="center"/>
    </xf>
    <xf numFmtId="165" fontId="58" fillId="2" borderId="24" xfId="1" applyNumberFormat="1" applyFont="1" applyFill="1" applyBorder="1" applyAlignment="1">
      <alignment horizontal="center" vertical="center"/>
    </xf>
    <xf numFmtId="165" fontId="58" fillId="2" borderId="36" xfId="1" applyNumberFormat="1" applyFont="1" applyFill="1" applyBorder="1" applyAlignment="1">
      <alignment horizontal="center" vertical="center"/>
    </xf>
    <xf numFmtId="171" fontId="58" fillId="2" borderId="34" xfId="1" applyNumberFormat="1" applyFont="1" applyFill="1" applyBorder="1" applyAlignment="1">
      <alignment horizontal="center" vertical="center"/>
    </xf>
    <xf numFmtId="171" fontId="58" fillId="2" borderId="49" xfId="1" applyNumberFormat="1" applyFont="1" applyFill="1" applyBorder="1" applyAlignment="1">
      <alignment horizontal="center" vertical="center"/>
    </xf>
    <xf numFmtId="1" fontId="52" fillId="7" borderId="1" xfId="2" applyNumberFormat="1" applyFont="1" applyFill="1" applyBorder="1" applyAlignment="1">
      <alignment horizontal="center" vertical="center"/>
    </xf>
    <xf numFmtId="1" fontId="52" fillId="7" borderId="38" xfId="2" applyNumberFormat="1" applyFont="1" applyFill="1" applyBorder="1" applyAlignment="1">
      <alignment horizontal="center" vertical="center"/>
    </xf>
    <xf numFmtId="0" fontId="52" fillId="37" borderId="1" xfId="2" applyFont="1" applyFill="1" applyBorder="1" applyAlignment="1">
      <alignment horizontal="center" vertical="center"/>
    </xf>
    <xf numFmtId="0" fontId="52" fillId="37" borderId="12" xfId="2" applyFont="1" applyFill="1" applyBorder="1" applyAlignment="1">
      <alignment horizontal="center" vertical="center"/>
    </xf>
    <xf numFmtId="0" fontId="52" fillId="37" borderId="38" xfId="2" applyFont="1" applyFill="1" applyBorder="1" applyAlignment="1">
      <alignment horizontal="center" vertical="center"/>
    </xf>
    <xf numFmtId="0" fontId="52" fillId="37" borderId="40" xfId="2" applyFont="1" applyFill="1" applyBorder="1" applyAlignment="1">
      <alignment horizontal="center" vertical="center"/>
    </xf>
    <xf numFmtId="0" fontId="86" fillId="4" borderId="51" xfId="2" applyFont="1" applyFill="1" applyBorder="1" applyAlignment="1">
      <alignment horizontal="center" vertical="center"/>
    </xf>
    <xf numFmtId="0" fontId="86" fillId="4" borderId="0" xfId="2" applyFont="1" applyFill="1" applyAlignment="1">
      <alignment horizontal="center" vertical="center"/>
    </xf>
    <xf numFmtId="0" fontId="86" fillId="4" borderId="52" xfId="2" applyFont="1" applyFill="1" applyBorder="1" applyAlignment="1">
      <alignment horizontal="center" vertical="center"/>
    </xf>
    <xf numFmtId="0" fontId="86" fillId="4" borderId="38" xfId="2" applyFont="1" applyFill="1" applyBorder="1" applyAlignment="1">
      <alignment horizontal="center" vertical="center"/>
    </xf>
    <xf numFmtId="0" fontId="86" fillId="4" borderId="39" xfId="2" applyFont="1" applyFill="1" applyBorder="1" applyAlignment="1">
      <alignment horizontal="center" vertical="center"/>
    </xf>
    <xf numFmtId="0" fontId="86" fillId="4" borderId="40" xfId="2" applyFont="1" applyFill="1" applyBorder="1" applyAlignment="1">
      <alignment horizontal="center" vertical="center"/>
    </xf>
    <xf numFmtId="166" fontId="83" fillId="7" borderId="54" xfId="2" applyNumberFormat="1" applyFont="1" applyFill="1" applyBorder="1" applyAlignment="1">
      <alignment horizontal="center" vertical="center"/>
    </xf>
    <xf numFmtId="166" fontId="83" fillId="7" borderId="0" xfId="2" applyNumberFormat="1" applyFont="1" applyFill="1" applyAlignment="1">
      <alignment horizontal="center" vertical="center"/>
    </xf>
    <xf numFmtId="166" fontId="83" fillId="7" borderId="19" xfId="2" applyNumberFormat="1" applyFont="1" applyFill="1" applyBorder="1" applyAlignment="1">
      <alignment horizontal="center" vertical="center"/>
    </xf>
    <xf numFmtId="166" fontId="83" fillId="7" borderId="39" xfId="2" applyNumberFormat="1" applyFont="1" applyFill="1" applyBorder="1" applyAlignment="1">
      <alignment horizontal="center" vertical="center"/>
    </xf>
    <xf numFmtId="166" fontId="66" fillId="7" borderId="57" xfId="2" applyNumberFormat="1" applyFont="1" applyFill="1" applyBorder="1" applyAlignment="1">
      <alignment horizontal="center" vertical="center"/>
    </xf>
    <xf numFmtId="166" fontId="66" fillId="7" borderId="45" xfId="2" applyNumberFormat="1" applyFont="1" applyFill="1" applyBorder="1" applyAlignment="1">
      <alignment horizontal="center" vertical="center"/>
    </xf>
    <xf numFmtId="166" fontId="66" fillId="7" borderId="38" xfId="2" applyNumberFormat="1" applyFont="1" applyFill="1" applyBorder="1" applyAlignment="1">
      <alignment horizontal="center" vertical="center"/>
    </xf>
    <xf numFmtId="166" fontId="83" fillId="7" borderId="59" xfId="2" applyNumberFormat="1" applyFont="1" applyFill="1" applyBorder="1" applyAlignment="1">
      <alignment horizontal="center" vertical="center"/>
    </xf>
    <xf numFmtId="166" fontId="83" fillId="7" borderId="51" xfId="2" applyNumberFormat="1" applyFont="1" applyFill="1" applyBorder="1" applyAlignment="1">
      <alignment horizontal="center" vertical="center"/>
    </xf>
    <xf numFmtId="166" fontId="83" fillId="7" borderId="57" xfId="2" applyNumberFormat="1" applyFont="1" applyFill="1" applyBorder="1" applyAlignment="1">
      <alignment horizontal="center" vertical="center"/>
    </xf>
    <xf numFmtId="166" fontId="83" fillId="7" borderId="38" xfId="2" applyNumberFormat="1" applyFont="1" applyFill="1" applyBorder="1" applyAlignment="1">
      <alignment horizontal="center" vertical="center"/>
    </xf>
    <xf numFmtId="166" fontId="48" fillId="4" borderId="59" xfId="2" applyNumberFormat="1" applyFont="1" applyFill="1" applyBorder="1" applyAlignment="1">
      <alignment horizontal="center" vertical="center"/>
    </xf>
    <xf numFmtId="166" fontId="48" fillId="4" borderId="54" xfId="2" applyNumberFormat="1" applyFont="1" applyFill="1" applyBorder="1" applyAlignment="1">
      <alignment horizontal="center" vertical="center"/>
    </xf>
    <xf numFmtId="166" fontId="48" fillId="4" borderId="55" xfId="2" applyNumberFormat="1" applyFont="1" applyFill="1" applyBorder="1" applyAlignment="1">
      <alignment horizontal="center" vertical="center"/>
    </xf>
    <xf numFmtId="0" fontId="53" fillId="7" borderId="1" xfId="2" applyFont="1" applyFill="1" applyBorder="1" applyAlignment="1">
      <alignment horizontal="center" vertical="center"/>
    </xf>
    <xf numFmtId="0" fontId="53" fillId="7" borderId="2" xfId="2" applyFont="1" applyFill="1" applyBorder="1" applyAlignment="1">
      <alignment horizontal="center" vertical="center"/>
    </xf>
    <xf numFmtId="0" fontId="53" fillId="7" borderId="38" xfId="2" applyFont="1" applyFill="1" applyBorder="1" applyAlignment="1">
      <alignment horizontal="center" vertical="center"/>
    </xf>
    <xf numFmtId="0" fontId="53" fillId="7" borderId="39" xfId="2" applyFont="1" applyFill="1" applyBorder="1" applyAlignment="1">
      <alignment horizontal="center" vertical="center"/>
    </xf>
    <xf numFmtId="1" fontId="53" fillId="7" borderId="2" xfId="2" applyNumberFormat="1" applyFont="1" applyFill="1" applyBorder="1" applyAlignment="1">
      <alignment horizontal="center" vertical="center"/>
    </xf>
    <xf numFmtId="1" fontId="53" fillId="7" borderId="12" xfId="2" applyNumberFormat="1" applyFont="1" applyFill="1" applyBorder="1" applyAlignment="1">
      <alignment horizontal="center" vertical="center"/>
    </xf>
    <xf numFmtId="1" fontId="53" fillId="7" borderId="39" xfId="2" applyNumberFormat="1" applyFont="1" applyFill="1" applyBorder="1" applyAlignment="1">
      <alignment horizontal="center" vertical="center"/>
    </xf>
    <xf numFmtId="1" fontId="53" fillId="7" borderId="40" xfId="2" applyNumberFormat="1" applyFont="1" applyFill="1" applyBorder="1" applyAlignment="1">
      <alignment horizontal="center" vertical="center"/>
    </xf>
    <xf numFmtId="0" fontId="53" fillId="37" borderId="1" xfId="1" applyFont="1" applyFill="1" applyBorder="1" applyAlignment="1">
      <alignment horizontal="center" vertical="center"/>
    </xf>
    <xf numFmtId="0" fontId="53" fillId="37" borderId="12" xfId="1" applyFont="1" applyFill="1" applyBorder="1" applyAlignment="1">
      <alignment horizontal="center" vertical="center"/>
    </xf>
    <xf numFmtId="0" fontId="53" fillId="37" borderId="51" xfId="1" applyFont="1" applyFill="1" applyBorder="1" applyAlignment="1">
      <alignment horizontal="center" vertical="center"/>
    </xf>
    <xf numFmtId="0" fontId="53" fillId="37" borderId="52" xfId="1" applyFont="1" applyFill="1" applyBorder="1" applyAlignment="1">
      <alignment horizontal="center" vertical="center"/>
    </xf>
    <xf numFmtId="0" fontId="53" fillId="37" borderId="38" xfId="1" applyFont="1" applyFill="1" applyBorder="1" applyAlignment="1">
      <alignment horizontal="center" vertical="center"/>
    </xf>
    <xf numFmtId="0" fontId="53" fillId="37" borderId="40" xfId="1" applyFont="1" applyFill="1" applyBorder="1" applyAlignment="1">
      <alignment horizontal="center" vertical="center"/>
    </xf>
    <xf numFmtId="0" fontId="69" fillId="4" borderId="57" xfId="2" applyFont="1" applyFill="1" applyBorder="1" applyAlignment="1">
      <alignment horizontal="center" vertical="center"/>
    </xf>
    <xf numFmtId="0" fontId="48" fillId="4" borderId="19" xfId="2" applyFont="1" applyFill="1" applyBorder="1" applyAlignment="1">
      <alignment horizontal="center" vertical="center"/>
    </xf>
    <xf numFmtId="0" fontId="48" fillId="4" borderId="18" xfId="2" applyFont="1" applyFill="1" applyBorder="1" applyAlignment="1">
      <alignment horizontal="center" vertical="center"/>
    </xf>
    <xf numFmtId="0" fontId="69" fillId="4" borderId="38" xfId="2" applyFont="1" applyFill="1" applyBorder="1" applyAlignment="1">
      <alignment horizontal="center" vertical="center"/>
    </xf>
    <xf numFmtId="0" fontId="48" fillId="4" borderId="39" xfId="2" applyFont="1" applyFill="1" applyBorder="1" applyAlignment="1">
      <alignment horizontal="center" vertical="center"/>
    </xf>
    <xf numFmtId="0" fontId="48" fillId="4" borderId="40" xfId="2" applyFont="1" applyFill="1" applyBorder="1" applyAlignment="1">
      <alignment horizontal="center" vertical="center"/>
    </xf>
    <xf numFmtId="166" fontId="52" fillId="27" borderId="1" xfId="2" applyNumberFormat="1" applyFont="1" applyFill="1" applyBorder="1" applyAlignment="1">
      <alignment horizontal="center" vertical="center"/>
    </xf>
    <xf numFmtId="166" fontId="52" fillId="27" borderId="2" xfId="2" applyNumberFormat="1" applyFont="1" applyFill="1" applyBorder="1" applyAlignment="1">
      <alignment horizontal="center" vertical="center"/>
    </xf>
    <xf numFmtId="166" fontId="52" fillId="27" borderId="12" xfId="2" applyNumberFormat="1" applyFont="1" applyFill="1" applyBorder="1" applyAlignment="1">
      <alignment horizontal="center" vertical="center"/>
    </xf>
    <xf numFmtId="0" fontId="43" fillId="10" borderId="1" xfId="2" applyFont="1" applyFill="1" applyBorder="1" applyAlignment="1">
      <alignment horizontal="center" vertical="center" wrapText="1"/>
    </xf>
    <xf numFmtId="0" fontId="43" fillId="10" borderId="2" xfId="2" applyFont="1" applyFill="1" applyBorder="1" applyAlignment="1">
      <alignment horizontal="center" vertical="center" wrapText="1"/>
    </xf>
    <xf numFmtId="0" fontId="43" fillId="10" borderId="12" xfId="2" applyFont="1" applyFill="1" applyBorder="1" applyAlignment="1">
      <alignment horizontal="center" vertical="center" wrapText="1"/>
    </xf>
    <xf numFmtId="0" fontId="61" fillId="8" borderId="57" xfId="5" applyFont="1" applyFill="1" applyBorder="1" applyAlignment="1">
      <alignment horizontal="center" vertical="center"/>
    </xf>
    <xf numFmtId="0" fontId="61" fillId="8" borderId="18" xfId="5" applyFont="1" applyFill="1" applyBorder="1" applyAlignment="1">
      <alignment horizontal="center" vertical="center"/>
    </xf>
    <xf numFmtId="0" fontId="58" fillId="2" borderId="37" xfId="1" applyFont="1" applyFill="1" applyBorder="1" applyAlignment="1">
      <alignment horizontal="center" vertical="center" wrapText="1"/>
    </xf>
    <xf numFmtId="0" fontId="58" fillId="2" borderId="4" xfId="1" applyFont="1" applyFill="1" applyBorder="1" applyAlignment="1">
      <alignment horizontal="center" vertical="center" wrapText="1"/>
    </xf>
    <xf numFmtId="0" fontId="52" fillId="28" borderId="1" xfId="2" applyFont="1" applyFill="1" applyBorder="1" applyAlignment="1">
      <alignment horizontal="center" vertical="center"/>
    </xf>
    <xf numFmtId="0" fontId="52" fillId="28" borderId="12" xfId="2" applyFont="1" applyFill="1" applyBorder="1" applyAlignment="1">
      <alignment horizontal="center" vertical="center"/>
    </xf>
    <xf numFmtId="0" fontId="52" fillId="28" borderId="38" xfId="2" applyFont="1" applyFill="1" applyBorder="1" applyAlignment="1">
      <alignment horizontal="center" vertical="center"/>
    </xf>
    <xf numFmtId="0" fontId="52" fillId="28" borderId="40" xfId="2" applyFont="1" applyFill="1" applyBorder="1" applyAlignment="1">
      <alignment horizontal="center" vertical="center"/>
    </xf>
    <xf numFmtId="0" fontId="48" fillId="2" borderId="1" xfId="1" applyFont="1" applyFill="1" applyBorder="1" applyAlignment="1">
      <alignment horizontal="center" vertical="center" wrapText="1"/>
    </xf>
    <xf numFmtId="0" fontId="48" fillId="2" borderId="12" xfId="1" applyFont="1" applyFill="1" applyBorder="1" applyAlignment="1">
      <alignment horizontal="center" vertical="center" wrapText="1"/>
    </xf>
    <xf numFmtId="0" fontId="48" fillId="2" borderId="51" xfId="1" applyFont="1" applyFill="1" applyBorder="1" applyAlignment="1">
      <alignment horizontal="center" vertical="center" wrapText="1"/>
    </xf>
    <xf numFmtId="0" fontId="48" fillId="2" borderId="52" xfId="1" applyFont="1" applyFill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12" xfId="1" applyFont="1" applyBorder="1" applyAlignment="1">
      <alignment horizontal="center" vertical="center"/>
    </xf>
    <xf numFmtId="0" fontId="52" fillId="0" borderId="38" xfId="1" applyFont="1" applyBorder="1" applyAlignment="1">
      <alignment horizontal="center" vertical="center"/>
    </xf>
    <xf numFmtId="0" fontId="52" fillId="0" borderId="39" xfId="1" applyFont="1" applyBorder="1" applyAlignment="1">
      <alignment horizontal="center" vertical="center"/>
    </xf>
    <xf numFmtId="0" fontId="52" fillId="0" borderId="40" xfId="1" applyFont="1" applyBorder="1" applyAlignment="1">
      <alignment horizontal="center" vertical="center"/>
    </xf>
    <xf numFmtId="0" fontId="48" fillId="10" borderId="38" xfId="1" applyFont="1" applyFill="1" applyBorder="1" applyAlignment="1">
      <alignment horizontal="center" vertical="center" wrapText="1"/>
    </xf>
    <xf numFmtId="0" fontId="48" fillId="10" borderId="40" xfId="1" applyFont="1" applyFill="1" applyBorder="1" applyAlignment="1">
      <alignment horizontal="center" vertical="center" wrapText="1"/>
    </xf>
    <xf numFmtId="0" fontId="43" fillId="2" borderId="1" xfId="2" applyFont="1" applyFill="1" applyBorder="1" applyAlignment="1">
      <alignment horizontal="center" vertical="center"/>
    </xf>
    <xf numFmtId="0" fontId="43" fillId="2" borderId="2" xfId="2" applyFont="1" applyFill="1" applyBorder="1" applyAlignment="1">
      <alignment horizontal="center" vertical="center"/>
    </xf>
    <xf numFmtId="0" fontId="43" fillId="2" borderId="12" xfId="2" applyFont="1" applyFill="1" applyBorder="1" applyAlignment="1">
      <alignment horizontal="center" vertical="center"/>
    </xf>
    <xf numFmtId="0" fontId="43" fillId="2" borderId="38" xfId="2" applyFont="1" applyFill="1" applyBorder="1" applyAlignment="1">
      <alignment horizontal="center" vertical="center"/>
    </xf>
    <xf numFmtId="0" fontId="43" fillId="2" borderId="39" xfId="2" applyFont="1" applyFill="1" applyBorder="1" applyAlignment="1">
      <alignment horizontal="center" vertical="center"/>
    </xf>
    <xf numFmtId="0" fontId="43" fillId="2" borderId="40" xfId="2" applyFont="1" applyFill="1" applyBorder="1" applyAlignment="1">
      <alignment horizontal="center" vertical="center"/>
    </xf>
    <xf numFmtId="169" fontId="47" fillId="0" borderId="1" xfId="2" applyNumberFormat="1" applyFont="1" applyBorder="1" applyAlignment="1">
      <alignment horizontal="center" vertical="center"/>
    </xf>
    <xf numFmtId="169" fontId="47" fillId="0" borderId="2" xfId="2" applyNumberFormat="1" applyFont="1" applyBorder="1" applyAlignment="1">
      <alignment horizontal="center" vertical="center"/>
    </xf>
    <xf numFmtId="169" fontId="47" fillId="0" borderId="12" xfId="2" applyNumberFormat="1" applyFont="1" applyBorder="1" applyAlignment="1">
      <alignment horizontal="center" vertical="center"/>
    </xf>
    <xf numFmtId="169" fontId="47" fillId="0" borderId="38" xfId="2" applyNumberFormat="1" applyFont="1" applyBorder="1" applyAlignment="1">
      <alignment horizontal="center" vertical="center"/>
    </xf>
    <xf numFmtId="169" fontId="47" fillId="0" borderId="39" xfId="2" applyNumberFormat="1" applyFont="1" applyBorder="1" applyAlignment="1">
      <alignment horizontal="center" vertical="center"/>
    </xf>
    <xf numFmtId="169" fontId="47" fillId="0" borderId="40" xfId="2" applyNumberFormat="1" applyFont="1" applyBorder="1" applyAlignment="1">
      <alignment horizontal="center" vertical="center"/>
    </xf>
    <xf numFmtId="0" fontId="49" fillId="10" borderId="1" xfId="2" applyFont="1" applyFill="1" applyBorder="1" applyAlignment="1">
      <alignment horizontal="center" vertical="center"/>
    </xf>
    <xf numFmtId="0" fontId="49" fillId="10" borderId="2" xfId="2" applyFont="1" applyFill="1" applyBorder="1" applyAlignment="1">
      <alignment horizontal="center" vertical="center"/>
    </xf>
    <xf numFmtId="0" fontId="49" fillId="10" borderId="12" xfId="2" applyFont="1" applyFill="1" applyBorder="1" applyAlignment="1">
      <alignment horizontal="center" vertical="center"/>
    </xf>
    <xf numFmtId="0" fontId="49" fillId="10" borderId="51" xfId="2" applyFont="1" applyFill="1" applyBorder="1" applyAlignment="1">
      <alignment horizontal="center" vertical="center"/>
    </xf>
    <xf numFmtId="0" fontId="49" fillId="10" borderId="0" xfId="2" applyFont="1" applyFill="1" applyAlignment="1">
      <alignment horizontal="center" vertical="center"/>
    </xf>
    <xf numFmtId="0" fontId="49" fillId="10" borderId="52" xfId="2" applyFont="1" applyFill="1" applyBorder="1" applyAlignment="1">
      <alignment horizontal="center" vertical="center"/>
    </xf>
    <xf numFmtId="0" fontId="49" fillId="10" borderId="38" xfId="2" applyFont="1" applyFill="1" applyBorder="1" applyAlignment="1">
      <alignment horizontal="center" vertical="center"/>
    </xf>
    <xf numFmtId="0" fontId="49" fillId="10" borderId="39" xfId="2" applyFont="1" applyFill="1" applyBorder="1" applyAlignment="1">
      <alignment horizontal="center" vertical="center"/>
    </xf>
    <xf numFmtId="0" fontId="49" fillId="10" borderId="40" xfId="2" applyFont="1" applyFill="1" applyBorder="1" applyAlignment="1">
      <alignment horizontal="center" vertical="center"/>
    </xf>
    <xf numFmtId="0" fontId="52" fillId="28" borderId="1" xfId="1" applyFont="1" applyFill="1" applyBorder="1" applyAlignment="1">
      <alignment horizontal="center" vertical="center"/>
    </xf>
    <xf numFmtId="0" fontId="52" fillId="28" borderId="12" xfId="1" applyFont="1" applyFill="1" applyBorder="1" applyAlignment="1">
      <alignment horizontal="center" vertical="center"/>
    </xf>
    <xf numFmtId="0" fontId="52" fillId="28" borderId="38" xfId="1" applyFont="1" applyFill="1" applyBorder="1" applyAlignment="1">
      <alignment horizontal="center" vertical="center"/>
    </xf>
    <xf numFmtId="0" fontId="52" fillId="28" borderId="40" xfId="1" applyFont="1" applyFill="1" applyBorder="1" applyAlignment="1">
      <alignment horizontal="center" vertical="center"/>
    </xf>
    <xf numFmtId="0" fontId="53" fillId="0" borderId="19" xfId="2" applyFont="1" applyBorder="1" applyAlignment="1">
      <alignment horizontal="center" vertical="center"/>
    </xf>
    <xf numFmtId="0" fontId="53" fillId="0" borderId="39" xfId="2" applyFont="1" applyBorder="1" applyAlignment="1">
      <alignment horizontal="center" vertical="center"/>
    </xf>
    <xf numFmtId="1" fontId="53" fillId="0" borderId="10" xfId="2" applyNumberFormat="1" applyFont="1" applyBorder="1" applyAlignment="1">
      <alignment horizontal="center" vertical="center"/>
    </xf>
    <xf numFmtId="1" fontId="53" fillId="0" borderId="50" xfId="2" applyNumberFormat="1" applyFont="1" applyBorder="1" applyAlignment="1">
      <alignment horizontal="center" vertical="center"/>
    </xf>
    <xf numFmtId="0" fontId="53" fillId="2" borderId="41" xfId="2" applyFont="1" applyFill="1" applyBorder="1" applyAlignment="1">
      <alignment horizontal="center" vertical="center"/>
    </xf>
    <xf numFmtId="0" fontId="53" fillId="2" borderId="44" xfId="2" applyFont="1" applyFill="1" applyBorder="1" applyAlignment="1">
      <alignment horizontal="center" vertical="center"/>
    </xf>
    <xf numFmtId="0" fontId="53" fillId="0" borderId="20" xfId="2" applyFont="1" applyBorder="1" applyAlignment="1">
      <alignment horizontal="center" vertical="center"/>
    </xf>
    <xf numFmtId="0" fontId="53" fillId="0" borderId="44" xfId="2" applyFont="1" applyBorder="1" applyAlignment="1">
      <alignment horizontal="center" vertical="center"/>
    </xf>
    <xf numFmtId="0" fontId="53" fillId="0" borderId="10" xfId="2" applyFont="1" applyBorder="1" applyAlignment="1">
      <alignment horizontal="center" vertical="center"/>
    </xf>
    <xf numFmtId="0" fontId="53" fillId="0" borderId="50" xfId="2" applyFont="1" applyBorder="1" applyAlignment="1">
      <alignment horizontal="center" vertical="center"/>
    </xf>
    <xf numFmtId="0" fontId="53" fillId="0" borderId="54" xfId="2" applyFont="1" applyBorder="1" applyAlignment="1">
      <alignment horizontal="center" vertical="center"/>
    </xf>
    <xf numFmtId="0" fontId="53" fillId="0" borderId="0" xfId="2" applyFont="1" applyAlignment="1">
      <alignment horizontal="center" vertical="center"/>
    </xf>
    <xf numFmtId="0" fontId="53" fillId="0" borderId="18" xfId="2" applyFont="1" applyBorder="1" applyAlignment="1">
      <alignment horizontal="center" vertical="center"/>
    </xf>
    <xf numFmtId="0" fontId="53" fillId="0" borderId="62" xfId="2" applyFont="1" applyBorder="1" applyAlignment="1">
      <alignment horizontal="center" vertical="center"/>
    </xf>
    <xf numFmtId="0" fontId="52" fillId="28" borderId="2" xfId="2" applyFont="1" applyFill="1" applyBorder="1" applyAlignment="1">
      <alignment horizontal="center" vertical="center"/>
    </xf>
    <xf numFmtId="0" fontId="52" fillId="28" borderId="39" xfId="2" applyFont="1" applyFill="1" applyBorder="1" applyAlignment="1">
      <alignment horizontal="center" vertical="center"/>
    </xf>
    <xf numFmtId="0" fontId="52" fillId="28" borderId="51" xfId="1" applyFont="1" applyFill="1" applyBorder="1" applyAlignment="1">
      <alignment horizontal="center" vertical="center"/>
    </xf>
    <xf numFmtId="0" fontId="52" fillId="28" borderId="52" xfId="1" applyFont="1" applyFill="1" applyBorder="1" applyAlignment="1">
      <alignment horizontal="center" vertical="center"/>
    </xf>
    <xf numFmtId="0" fontId="53" fillId="2" borderId="19" xfId="2" applyFont="1" applyFill="1" applyBorder="1" applyAlignment="1">
      <alignment horizontal="center" vertical="center"/>
    </xf>
    <xf numFmtId="0" fontId="53" fillId="2" borderId="39" xfId="2" applyFont="1" applyFill="1" applyBorder="1" applyAlignment="1">
      <alignment horizontal="center" vertical="center"/>
    </xf>
    <xf numFmtId="1" fontId="53" fillId="2" borderId="41" xfId="2" applyNumberFormat="1" applyFont="1" applyFill="1" applyBorder="1" applyAlignment="1">
      <alignment horizontal="center" vertical="center"/>
    </xf>
    <xf numFmtId="1" fontId="53" fillId="2" borderId="44" xfId="2" applyNumberFormat="1" applyFont="1" applyFill="1" applyBorder="1" applyAlignment="1">
      <alignment horizontal="center" vertical="center"/>
    </xf>
    <xf numFmtId="1" fontId="53" fillId="0" borderId="20" xfId="2" applyNumberFormat="1" applyFont="1" applyBorder="1" applyAlignment="1">
      <alignment horizontal="center" vertical="center"/>
    </xf>
    <xf numFmtId="1" fontId="53" fillId="0" borderId="44" xfId="2" applyNumberFormat="1" applyFont="1" applyBorder="1" applyAlignment="1">
      <alignment horizontal="center" vertical="center"/>
    </xf>
    <xf numFmtId="1" fontId="53" fillId="0" borderId="6" xfId="2" applyNumberFormat="1" applyFont="1" applyBorder="1" applyAlignment="1">
      <alignment horizontal="center" vertical="center"/>
    </xf>
    <xf numFmtId="1" fontId="53" fillId="0" borderId="14" xfId="2" applyNumberFormat="1" applyFont="1" applyBorder="1" applyAlignment="1">
      <alignment horizontal="center" vertical="center"/>
    </xf>
    <xf numFmtId="0" fontId="52" fillId="2" borderId="1" xfId="2" applyFont="1" applyFill="1" applyBorder="1" applyAlignment="1">
      <alignment horizontal="center" vertical="center"/>
    </xf>
    <xf numFmtId="0" fontId="52" fillId="2" borderId="2" xfId="2" applyFont="1" applyFill="1" applyBorder="1" applyAlignment="1">
      <alignment horizontal="center" vertical="center"/>
    </xf>
    <xf numFmtId="0" fontId="52" fillId="2" borderId="12" xfId="2" applyFont="1" applyFill="1" applyBorder="1" applyAlignment="1">
      <alignment horizontal="center" vertical="center"/>
    </xf>
    <xf numFmtId="0" fontId="52" fillId="2" borderId="38" xfId="2" applyFont="1" applyFill="1" applyBorder="1" applyAlignment="1">
      <alignment horizontal="center" vertical="center"/>
    </xf>
    <xf numFmtId="0" fontId="52" fillId="2" borderId="39" xfId="2" applyFont="1" applyFill="1" applyBorder="1" applyAlignment="1">
      <alignment horizontal="center" vertical="center"/>
    </xf>
    <xf numFmtId="0" fontId="52" fillId="2" borderId="40" xfId="2" applyFont="1" applyFill="1" applyBorder="1" applyAlignment="1">
      <alignment horizontal="center" vertical="center"/>
    </xf>
    <xf numFmtId="0" fontId="53" fillId="2" borderId="2" xfId="2" applyFont="1" applyFill="1" applyBorder="1" applyAlignment="1">
      <alignment horizontal="center" vertical="center"/>
    </xf>
    <xf numFmtId="0" fontId="53" fillId="2" borderId="67" xfId="2" applyFont="1" applyFill="1" applyBorder="1" applyAlignment="1">
      <alignment horizontal="center" vertical="center"/>
    </xf>
    <xf numFmtId="0" fontId="53" fillId="2" borderId="21" xfId="2" applyFont="1" applyFill="1" applyBorder="1" applyAlignment="1">
      <alignment horizontal="center" vertical="center"/>
    </xf>
    <xf numFmtId="0" fontId="53" fillId="2" borderId="54" xfId="2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0" fontId="55" fillId="7" borderId="1" xfId="2" applyFont="1" applyFill="1" applyBorder="1" applyAlignment="1">
      <alignment horizontal="center" vertical="center" wrapText="1"/>
    </xf>
    <xf numFmtId="0" fontId="55" fillId="7" borderId="2" xfId="2" applyFont="1" applyFill="1" applyBorder="1" applyAlignment="1">
      <alignment horizontal="center" vertical="center" wrapText="1"/>
    </xf>
    <xf numFmtId="0" fontId="55" fillId="7" borderId="12" xfId="2" applyFont="1" applyFill="1" applyBorder="1" applyAlignment="1">
      <alignment horizontal="center" vertical="center" wrapText="1"/>
    </xf>
    <xf numFmtId="0" fontId="55" fillId="7" borderId="51" xfId="2" applyFont="1" applyFill="1" applyBorder="1" applyAlignment="1">
      <alignment horizontal="center" vertical="center" wrapText="1"/>
    </xf>
    <xf numFmtId="0" fontId="55" fillId="7" borderId="0" xfId="2" applyFont="1" applyFill="1" applyAlignment="1">
      <alignment horizontal="center" vertical="center" wrapText="1"/>
    </xf>
    <xf numFmtId="0" fontId="55" fillId="7" borderId="52" xfId="2" applyFont="1" applyFill="1" applyBorder="1" applyAlignment="1">
      <alignment horizontal="center" vertical="center" wrapText="1"/>
    </xf>
    <xf numFmtId="0" fontId="55" fillId="7" borderId="38" xfId="2" applyFont="1" applyFill="1" applyBorder="1" applyAlignment="1">
      <alignment horizontal="center" vertical="center" wrapText="1"/>
    </xf>
    <xf numFmtId="0" fontId="55" fillId="7" borderId="39" xfId="2" applyFont="1" applyFill="1" applyBorder="1" applyAlignment="1">
      <alignment horizontal="center" vertical="center" wrapText="1"/>
    </xf>
    <xf numFmtId="0" fontId="55" fillId="7" borderId="40" xfId="2" applyFont="1" applyFill="1" applyBorder="1" applyAlignment="1">
      <alignment horizontal="center" vertical="center" wrapText="1"/>
    </xf>
    <xf numFmtId="0" fontId="52" fillId="7" borderId="1" xfId="2" applyFont="1" applyFill="1" applyBorder="1" applyAlignment="1">
      <alignment horizontal="center" vertical="center" wrapText="1"/>
    </xf>
    <xf numFmtId="0" fontId="52" fillId="7" borderId="2" xfId="2" applyFont="1" applyFill="1" applyBorder="1" applyAlignment="1">
      <alignment horizontal="center" vertical="center" wrapText="1"/>
    </xf>
    <xf numFmtId="0" fontId="52" fillId="7" borderId="12" xfId="2" applyFont="1" applyFill="1" applyBorder="1" applyAlignment="1">
      <alignment horizontal="center" vertical="center" wrapText="1"/>
    </xf>
    <xf numFmtId="0" fontId="52" fillId="7" borderId="38" xfId="2" applyFont="1" applyFill="1" applyBorder="1" applyAlignment="1">
      <alignment horizontal="center" vertical="center" wrapText="1"/>
    </xf>
    <xf numFmtId="0" fontId="52" fillId="7" borderId="39" xfId="2" applyFont="1" applyFill="1" applyBorder="1" applyAlignment="1">
      <alignment horizontal="center" vertical="center" wrapText="1"/>
    </xf>
    <xf numFmtId="0" fontId="52" fillId="7" borderId="40" xfId="2" applyFont="1" applyFill="1" applyBorder="1" applyAlignment="1">
      <alignment horizontal="center" vertical="center" wrapText="1"/>
    </xf>
    <xf numFmtId="169" fontId="49" fillId="0" borderId="1" xfId="2" applyNumberFormat="1" applyFont="1" applyBorder="1" applyAlignment="1">
      <alignment horizontal="center" vertical="center"/>
    </xf>
    <xf numFmtId="169" fontId="49" fillId="0" borderId="2" xfId="2" applyNumberFormat="1" applyFont="1" applyBorder="1" applyAlignment="1">
      <alignment horizontal="center" vertical="center"/>
    </xf>
    <xf numFmtId="169" fontId="49" fillId="0" borderId="12" xfId="2" applyNumberFormat="1" applyFont="1" applyBorder="1" applyAlignment="1">
      <alignment horizontal="center" vertical="center"/>
    </xf>
    <xf numFmtId="169" fontId="49" fillId="0" borderId="38" xfId="2" applyNumberFormat="1" applyFont="1" applyBorder="1" applyAlignment="1">
      <alignment horizontal="center" vertical="center"/>
    </xf>
    <xf numFmtId="169" fontId="49" fillId="0" borderId="39" xfId="2" applyNumberFormat="1" applyFont="1" applyBorder="1" applyAlignment="1">
      <alignment horizontal="center" vertical="center"/>
    </xf>
    <xf numFmtId="169" fontId="49" fillId="0" borderId="40" xfId="2" applyNumberFormat="1" applyFont="1" applyBorder="1" applyAlignment="1">
      <alignment horizontal="center" vertical="center"/>
    </xf>
    <xf numFmtId="0" fontId="57" fillId="0" borderId="20" xfId="2" applyFont="1" applyBorder="1" applyAlignment="1">
      <alignment horizontal="center" vertical="center"/>
    </xf>
    <xf numFmtId="0" fontId="57" fillId="0" borderId="44" xfId="2" applyFont="1" applyBorder="1" applyAlignment="1">
      <alignment horizontal="center" vertical="center"/>
    </xf>
    <xf numFmtId="0" fontId="57" fillId="0" borderId="10" xfId="2" applyFont="1" applyBorder="1" applyAlignment="1">
      <alignment horizontal="center" vertical="center"/>
    </xf>
    <xf numFmtId="0" fontId="57" fillId="0" borderId="50" xfId="2" applyFont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4" fillId="2" borderId="12" xfId="2" applyFont="1" applyFill="1" applyBorder="1" applyAlignment="1">
      <alignment horizontal="center" vertical="center"/>
    </xf>
    <xf numFmtId="0" fontId="14" fillId="2" borderId="38" xfId="2" applyFont="1" applyFill="1" applyBorder="1" applyAlignment="1">
      <alignment horizontal="center" vertical="center"/>
    </xf>
    <xf numFmtId="0" fontId="14" fillId="2" borderId="39" xfId="2" applyFont="1" applyFill="1" applyBorder="1" applyAlignment="1">
      <alignment horizontal="center" vertical="center"/>
    </xf>
    <xf numFmtId="0" fontId="14" fillId="2" borderId="40" xfId="2" applyFont="1" applyFill="1" applyBorder="1" applyAlignment="1">
      <alignment horizontal="center" vertical="center"/>
    </xf>
    <xf numFmtId="0" fontId="80" fillId="7" borderId="21" xfId="0" applyFont="1" applyFill="1" applyBorder="1" applyAlignment="1">
      <alignment horizontal="center" vertical="center"/>
    </xf>
    <xf numFmtId="0" fontId="80" fillId="7" borderId="67" xfId="0" applyFont="1" applyFill="1" applyBorder="1" applyAlignment="1">
      <alignment horizontal="center" vertical="center"/>
    </xf>
    <xf numFmtId="0" fontId="67" fillId="7" borderId="21" xfId="2" applyFont="1" applyFill="1" applyBorder="1" applyAlignment="1">
      <alignment horizontal="center" vertical="center"/>
    </xf>
    <xf numFmtId="0" fontId="67" fillId="7" borderId="67" xfId="2" applyFont="1" applyFill="1" applyBorder="1" applyAlignment="1">
      <alignment horizontal="center" vertical="center"/>
    </xf>
    <xf numFmtId="0" fontId="67" fillId="7" borderId="19" xfId="2" applyFont="1" applyFill="1" applyBorder="1" applyAlignment="1">
      <alignment horizontal="center" vertical="center"/>
    </xf>
    <xf numFmtId="0" fontId="53" fillId="28" borderId="1" xfId="1" applyFont="1" applyFill="1" applyBorder="1" applyAlignment="1">
      <alignment horizontal="center" vertical="center"/>
    </xf>
    <xf numFmtId="0" fontId="53" fillId="28" borderId="12" xfId="1" applyFont="1" applyFill="1" applyBorder="1" applyAlignment="1">
      <alignment horizontal="center" vertical="center"/>
    </xf>
    <xf numFmtId="0" fontId="53" fillId="28" borderId="51" xfId="1" applyFont="1" applyFill="1" applyBorder="1" applyAlignment="1">
      <alignment horizontal="center" vertical="center"/>
    </xf>
    <xf numFmtId="0" fontId="53" fillId="28" borderId="52" xfId="1" applyFont="1" applyFill="1" applyBorder="1" applyAlignment="1">
      <alignment horizontal="center" vertical="center"/>
    </xf>
    <xf numFmtId="0" fontId="67" fillId="7" borderId="39" xfId="2" applyFont="1" applyFill="1" applyBorder="1" applyAlignment="1">
      <alignment horizontal="center" vertical="center"/>
    </xf>
    <xf numFmtId="166" fontId="53" fillId="7" borderId="2" xfId="2" applyNumberFormat="1" applyFont="1" applyFill="1" applyBorder="1" applyAlignment="1">
      <alignment horizontal="center" vertical="center"/>
    </xf>
    <xf numFmtId="166" fontId="53" fillId="7" borderId="67" xfId="2" applyNumberFormat="1" applyFont="1" applyFill="1" applyBorder="1" applyAlignment="1">
      <alignment horizontal="center" vertical="center"/>
    </xf>
    <xf numFmtId="0" fontId="67" fillId="7" borderId="54" xfId="2" applyFont="1" applyFill="1" applyBorder="1" applyAlignment="1">
      <alignment horizontal="center" vertical="center"/>
    </xf>
    <xf numFmtId="0" fontId="67" fillId="7" borderId="0" xfId="2" applyFont="1" applyFill="1" applyAlignment="1">
      <alignment horizontal="center" vertical="center"/>
    </xf>
    <xf numFmtId="0" fontId="57" fillId="0" borderId="14" xfId="2" applyFont="1" applyBorder="1" applyAlignment="1">
      <alignment horizontal="center" vertical="center"/>
    </xf>
    <xf numFmtId="0" fontId="57" fillId="2" borderId="20" xfId="2" applyFont="1" applyFill="1" applyBorder="1" applyAlignment="1">
      <alignment horizontal="center" vertical="center"/>
    </xf>
    <xf numFmtId="0" fontId="57" fillId="2" borderId="44" xfId="2" applyFont="1" applyFill="1" applyBorder="1" applyAlignment="1">
      <alignment horizontal="center" vertical="center"/>
    </xf>
    <xf numFmtId="0" fontId="57" fillId="2" borderId="10" xfId="2" applyFont="1" applyFill="1" applyBorder="1" applyAlignment="1">
      <alignment horizontal="center" vertical="center"/>
    </xf>
    <xf numFmtId="0" fontId="57" fillId="8" borderId="38" xfId="6" applyFont="1" applyFill="1" applyBorder="1" applyAlignment="1">
      <alignment horizontal="center" vertical="center"/>
    </xf>
    <xf numFmtId="0" fontId="57" fillId="8" borderId="39" xfId="6" applyFont="1" applyFill="1" applyBorder="1" applyAlignment="1">
      <alignment horizontal="center" vertical="center"/>
    </xf>
    <xf numFmtId="0" fontId="53" fillId="2" borderId="45" xfId="3" applyFont="1" applyFill="1" applyBorder="1" applyAlignment="1">
      <alignment horizontal="center" vertical="center"/>
    </xf>
    <xf numFmtId="0" fontId="53" fillId="2" borderId="67" xfId="3" applyFont="1" applyFill="1" applyBorder="1" applyAlignment="1">
      <alignment horizontal="center" vertical="center"/>
    </xf>
    <xf numFmtId="0" fontId="57" fillId="2" borderId="57" xfId="6" applyFont="1" applyFill="1" applyBorder="1" applyAlignment="1">
      <alignment horizontal="center" vertical="center"/>
    </xf>
    <xf numFmtId="0" fontId="57" fillId="2" borderId="19" xfId="6" applyFont="1" applyFill="1" applyBorder="1" applyAlignment="1">
      <alignment horizontal="center" vertical="center"/>
    </xf>
    <xf numFmtId="0" fontId="61" fillId="8" borderId="57" xfId="6" applyFont="1" applyFill="1" applyBorder="1" applyAlignment="1">
      <alignment horizontal="center" vertical="center"/>
    </xf>
    <xf numFmtId="0" fontId="61" fillId="8" borderId="19" xfId="6" applyFont="1" applyFill="1" applyBorder="1" applyAlignment="1">
      <alignment horizontal="center" vertical="center"/>
    </xf>
    <xf numFmtId="0" fontId="57" fillId="2" borderId="60" xfId="6" applyFont="1" applyFill="1" applyBorder="1" applyAlignment="1">
      <alignment horizontal="center" vertical="center"/>
    </xf>
    <xf numFmtId="0" fontId="57" fillId="2" borderId="61" xfId="6" applyFont="1" applyFill="1" applyBorder="1" applyAlignment="1">
      <alignment horizontal="center" vertical="center"/>
    </xf>
    <xf numFmtId="0" fontId="57" fillId="0" borderId="5" xfId="2" applyFont="1" applyBorder="1" applyAlignment="1">
      <alignment horizontal="center" vertical="center"/>
    </xf>
    <xf numFmtId="0" fontId="57" fillId="0" borderId="41" xfId="2" applyFont="1" applyBorder="1" applyAlignment="1">
      <alignment horizontal="center" vertical="center"/>
    </xf>
    <xf numFmtId="0" fontId="57" fillId="0" borderId="23" xfId="2" applyFont="1" applyBorder="1" applyAlignment="1">
      <alignment horizontal="center" vertical="center"/>
    </xf>
    <xf numFmtId="0" fontId="57" fillId="0" borderId="6" xfId="2" applyFont="1" applyBorder="1" applyAlignment="1">
      <alignment horizontal="center" vertical="center"/>
    </xf>
    <xf numFmtId="0" fontId="53" fillId="0" borderId="41" xfId="2" applyFont="1" applyBorder="1" applyAlignment="1">
      <alignment horizontal="center" vertical="center"/>
    </xf>
    <xf numFmtId="166" fontId="67" fillId="7" borderId="19" xfId="2" applyNumberFormat="1" applyFont="1" applyFill="1" applyBorder="1" applyAlignment="1">
      <alignment horizontal="center" vertical="center"/>
    </xf>
    <xf numFmtId="166" fontId="67" fillId="7" borderId="67" xfId="2" applyNumberFormat="1" applyFont="1" applyFill="1" applyBorder="1" applyAlignment="1">
      <alignment horizontal="center" vertical="center"/>
    </xf>
    <xf numFmtId="166" fontId="67" fillId="7" borderId="39" xfId="2" applyNumberFormat="1" applyFont="1" applyFill="1" applyBorder="1" applyAlignment="1">
      <alignment horizontal="center" vertical="center"/>
    </xf>
    <xf numFmtId="166" fontId="83" fillId="7" borderId="67" xfId="2" applyNumberFormat="1" applyFont="1" applyFill="1" applyBorder="1" applyAlignment="1">
      <alignment horizontal="center" vertical="center"/>
    </xf>
    <xf numFmtId="166" fontId="64" fillId="7" borderId="1" xfId="2" applyNumberFormat="1" applyFont="1" applyFill="1" applyBorder="1" applyAlignment="1">
      <alignment horizontal="center" vertical="center"/>
    </xf>
    <xf numFmtId="166" fontId="64" fillId="7" borderId="67" xfId="2" applyNumberFormat="1" applyFont="1" applyFill="1" applyBorder="1" applyAlignment="1">
      <alignment horizontal="center" vertical="center"/>
    </xf>
    <xf numFmtId="166" fontId="67" fillId="7" borderId="21" xfId="2" applyNumberFormat="1" applyFont="1" applyFill="1" applyBorder="1" applyAlignment="1">
      <alignment horizontal="center" vertical="center"/>
    </xf>
    <xf numFmtId="166" fontId="81" fillId="7" borderId="21" xfId="2" applyNumberFormat="1" applyFont="1" applyFill="1" applyBorder="1" applyAlignment="1">
      <alignment horizontal="center" vertical="center"/>
    </xf>
    <xf numFmtId="166" fontId="81" fillId="7" borderId="67" xfId="2" applyNumberFormat="1" applyFont="1" applyFill="1" applyBorder="1" applyAlignment="1">
      <alignment horizontal="center" vertical="center"/>
    </xf>
    <xf numFmtId="0" fontId="48" fillId="4" borderId="37" xfId="2" applyFont="1" applyFill="1" applyBorder="1" applyAlignment="1">
      <alignment horizontal="center" vertical="center"/>
    </xf>
    <xf numFmtId="0" fontId="48" fillId="4" borderId="3" xfId="2" applyFont="1" applyFill="1" applyBorder="1" applyAlignment="1">
      <alignment horizontal="center" vertical="center"/>
    </xf>
    <xf numFmtId="0" fontId="48" fillId="4" borderId="4" xfId="2" applyFont="1" applyFill="1" applyBorder="1" applyAlignment="1">
      <alignment horizontal="center" vertical="center"/>
    </xf>
    <xf numFmtId="0" fontId="43" fillId="3" borderId="37" xfId="2" applyFont="1" applyFill="1" applyBorder="1" applyAlignment="1">
      <alignment horizontal="center" vertical="center"/>
    </xf>
    <xf numFmtId="0" fontId="43" fillId="3" borderId="3" xfId="2" applyFont="1" applyFill="1" applyBorder="1" applyAlignment="1">
      <alignment horizontal="center" vertical="center"/>
    </xf>
    <xf numFmtId="0" fontId="43" fillId="3" borderId="4" xfId="2" applyFont="1" applyFill="1" applyBorder="1" applyAlignment="1">
      <alignment horizontal="center" vertical="center"/>
    </xf>
    <xf numFmtId="0" fontId="52" fillId="7" borderId="37" xfId="2" applyFont="1" applyFill="1" applyBorder="1" applyAlignment="1">
      <alignment horizontal="center" vertical="center"/>
    </xf>
    <xf numFmtId="0" fontId="52" fillId="7" borderId="4" xfId="2" applyFont="1" applyFill="1" applyBorder="1" applyAlignment="1">
      <alignment horizontal="center" vertical="center"/>
    </xf>
    <xf numFmtId="0" fontId="61" fillId="8" borderId="60" xfId="5" applyFont="1" applyFill="1" applyBorder="1" applyAlignment="1">
      <alignment horizontal="center" vertical="center"/>
    </xf>
    <xf numFmtId="0" fontId="61" fillId="8" borderId="61" xfId="5" applyFont="1" applyFill="1" applyBorder="1" applyAlignment="1">
      <alignment horizontal="center" vertical="center"/>
    </xf>
    <xf numFmtId="0" fontId="52" fillId="28" borderId="48" xfId="1" applyFont="1" applyFill="1" applyBorder="1" applyAlignment="1">
      <alignment horizontal="center" vertical="center"/>
    </xf>
    <xf numFmtId="0" fontId="52" fillId="28" borderId="49" xfId="1" applyFont="1" applyFill="1" applyBorder="1" applyAlignment="1">
      <alignment horizontal="center" vertical="center"/>
    </xf>
    <xf numFmtId="0" fontId="52" fillId="28" borderId="24" xfId="1" applyFont="1" applyFill="1" applyBorder="1" applyAlignment="1">
      <alignment horizontal="center" vertical="center"/>
    </xf>
    <xf numFmtId="0" fontId="52" fillId="28" borderId="36" xfId="1" applyFont="1" applyFill="1" applyBorder="1" applyAlignment="1">
      <alignment horizontal="center" vertical="center"/>
    </xf>
    <xf numFmtId="0" fontId="53" fillId="28" borderId="38" xfId="1" applyFont="1" applyFill="1" applyBorder="1" applyAlignment="1">
      <alignment horizontal="center" vertical="center"/>
    </xf>
    <xf numFmtId="0" fontId="53" fillId="28" borderId="40" xfId="1" applyFont="1" applyFill="1" applyBorder="1" applyAlignment="1">
      <alignment horizontal="center" vertical="center"/>
    </xf>
    <xf numFmtId="0" fontId="57" fillId="2" borderId="50" xfId="2" applyFont="1" applyFill="1" applyBorder="1" applyAlignment="1">
      <alignment horizontal="center" vertical="center"/>
    </xf>
    <xf numFmtId="0" fontId="57" fillId="2" borderId="6" xfId="2" applyFont="1" applyFill="1" applyBorder="1" applyAlignment="1">
      <alignment horizontal="center" vertical="center"/>
    </xf>
    <xf numFmtId="0" fontId="57" fillId="2" borderId="14" xfId="2" applyFont="1" applyFill="1" applyBorder="1" applyAlignment="1">
      <alignment horizontal="center" vertical="center"/>
    </xf>
    <xf numFmtId="166" fontId="66" fillId="7" borderId="64" xfId="2" applyNumberFormat="1" applyFont="1" applyFill="1" applyBorder="1" applyAlignment="1">
      <alignment horizontal="center" vertical="center"/>
    </xf>
    <xf numFmtId="0" fontId="57" fillId="2" borderId="1" xfId="2" applyFont="1" applyFill="1" applyBorder="1" applyAlignment="1">
      <alignment horizontal="center" vertical="center"/>
    </xf>
    <xf numFmtId="166" fontId="83" fillId="7" borderId="45" xfId="2" applyNumberFormat="1" applyFont="1" applyFill="1" applyBorder="1" applyAlignment="1">
      <alignment horizontal="center" vertical="center"/>
    </xf>
    <xf numFmtId="166" fontId="66" fillId="7" borderId="1" xfId="2" applyNumberFormat="1" applyFont="1" applyFill="1" applyBorder="1" applyAlignment="1">
      <alignment horizontal="center" vertical="center"/>
    </xf>
    <xf numFmtId="0" fontId="53" fillId="37" borderId="30" xfId="1" applyFont="1" applyFill="1" applyBorder="1" applyAlignment="1">
      <alignment horizontal="center" vertical="center"/>
    </xf>
    <xf numFmtId="0" fontId="53" fillId="37" borderId="34" xfId="1" applyFont="1" applyFill="1" applyBorder="1" applyAlignment="1">
      <alignment horizontal="center" vertical="center"/>
    </xf>
    <xf numFmtId="0" fontId="53" fillId="37" borderId="48" xfId="1" applyFont="1" applyFill="1" applyBorder="1" applyAlignment="1">
      <alignment horizontal="center" vertical="center"/>
    </xf>
    <xf numFmtId="0" fontId="53" fillId="37" borderId="49" xfId="1" applyFont="1" applyFill="1" applyBorder="1" applyAlignment="1">
      <alignment horizontal="center" vertical="center"/>
    </xf>
    <xf numFmtId="0" fontId="53" fillId="37" borderId="24" xfId="1" applyFont="1" applyFill="1" applyBorder="1" applyAlignment="1">
      <alignment horizontal="center" vertical="center"/>
    </xf>
    <xf numFmtId="0" fontId="53" fillId="37" borderId="36" xfId="1" applyFont="1" applyFill="1" applyBorder="1" applyAlignment="1">
      <alignment horizontal="center" vertical="center"/>
    </xf>
    <xf numFmtId="0" fontId="53" fillId="3" borderId="37" xfId="2" applyFont="1" applyFill="1" applyBorder="1" applyAlignment="1">
      <alignment horizontal="center" vertical="center"/>
    </xf>
    <xf numFmtId="0" fontId="53" fillId="3" borderId="3" xfId="2" applyFont="1" applyFill="1" applyBorder="1" applyAlignment="1">
      <alignment horizontal="center" vertical="center"/>
    </xf>
    <xf numFmtId="0" fontId="53" fillId="3" borderId="4" xfId="2" applyFont="1" applyFill="1" applyBorder="1" applyAlignment="1">
      <alignment horizontal="center" vertical="center"/>
    </xf>
    <xf numFmtId="0" fontId="52" fillId="37" borderId="41" xfId="2" applyFont="1" applyFill="1" applyBorder="1" applyAlignment="1">
      <alignment horizontal="center" vertical="center"/>
    </xf>
    <xf numFmtId="0" fontId="52" fillId="37" borderId="50" xfId="2" applyFont="1" applyFill="1" applyBorder="1" applyAlignment="1">
      <alignment horizontal="center" vertical="center"/>
    </xf>
    <xf numFmtId="0" fontId="52" fillId="7" borderId="41" xfId="2" applyFont="1" applyFill="1" applyBorder="1" applyAlignment="1">
      <alignment horizontal="center" vertical="center" wrapText="1"/>
    </xf>
    <xf numFmtId="0" fontId="52" fillId="7" borderId="50" xfId="2" applyFont="1" applyFill="1" applyBorder="1" applyAlignment="1">
      <alignment horizontal="center" vertical="center" wrapText="1"/>
    </xf>
    <xf numFmtId="0" fontId="52" fillId="37" borderId="41" xfId="1" applyFont="1" applyFill="1" applyBorder="1" applyAlignment="1">
      <alignment horizontal="center" vertical="center"/>
    </xf>
    <xf numFmtId="0" fontId="52" fillId="37" borderId="50" xfId="1" applyFont="1" applyFill="1" applyBorder="1" applyAlignment="1">
      <alignment horizontal="center" vertical="center"/>
    </xf>
    <xf numFmtId="166" fontId="63" fillId="7" borderId="64" xfId="2" applyNumberFormat="1" applyFont="1" applyFill="1" applyBorder="1" applyAlignment="1">
      <alignment horizontal="center" vertical="center"/>
    </xf>
    <xf numFmtId="166" fontId="63" fillId="7" borderId="45" xfId="2" applyNumberFormat="1" applyFont="1" applyFill="1" applyBorder="1" applyAlignment="1">
      <alignment horizontal="center" vertical="center"/>
    </xf>
    <xf numFmtId="0" fontId="52" fillId="28" borderId="41" xfId="1" applyFont="1" applyFill="1" applyBorder="1" applyAlignment="1">
      <alignment horizontal="center" vertical="center"/>
    </xf>
    <xf numFmtId="0" fontId="52" fillId="28" borderId="50" xfId="1" applyFont="1" applyFill="1" applyBorder="1" applyAlignment="1">
      <alignment horizontal="center" vertical="center"/>
    </xf>
    <xf numFmtId="0" fontId="53" fillId="37" borderId="41" xfId="1" applyFont="1" applyFill="1" applyBorder="1" applyAlignment="1">
      <alignment horizontal="center" vertical="center"/>
    </xf>
    <xf numFmtId="0" fontId="53" fillId="37" borderId="50" xfId="1" applyFont="1" applyFill="1" applyBorder="1" applyAlignment="1">
      <alignment horizontal="center" vertical="center"/>
    </xf>
    <xf numFmtId="170" fontId="53" fillId="2" borderId="41" xfId="2" applyNumberFormat="1" applyFont="1" applyFill="1" applyBorder="1" applyAlignment="1">
      <alignment horizontal="center" vertical="center"/>
    </xf>
    <xf numFmtId="170" fontId="53" fillId="2" borderId="44" xfId="2" applyNumberFormat="1" applyFont="1" applyFill="1" applyBorder="1" applyAlignment="1">
      <alignment horizontal="center" vertical="center"/>
    </xf>
    <xf numFmtId="170" fontId="53" fillId="2" borderId="20" xfId="2" applyNumberFormat="1" applyFont="1" applyFill="1" applyBorder="1" applyAlignment="1">
      <alignment horizontal="center" vertical="center"/>
    </xf>
    <xf numFmtId="170" fontId="53" fillId="2" borderId="10" xfId="2" applyNumberFormat="1" applyFont="1" applyFill="1" applyBorder="1" applyAlignment="1">
      <alignment horizontal="center" vertical="center"/>
    </xf>
    <xf numFmtId="0" fontId="53" fillId="7" borderId="37" xfId="2" applyFont="1" applyFill="1" applyBorder="1" applyAlignment="1">
      <alignment horizontal="center" vertical="center"/>
    </xf>
    <xf numFmtId="0" fontId="53" fillId="7" borderId="3" xfId="2" applyFont="1" applyFill="1" applyBorder="1" applyAlignment="1">
      <alignment horizontal="center" vertical="center"/>
    </xf>
    <xf numFmtId="0" fontId="81" fillId="7" borderId="57" xfId="2" applyFont="1" applyFill="1" applyBorder="1" applyAlignment="1">
      <alignment horizontal="center" vertical="center"/>
    </xf>
    <xf numFmtId="0" fontId="81" fillId="7" borderId="18" xfId="2" applyFont="1" applyFill="1" applyBorder="1" applyAlignment="1">
      <alignment horizontal="center" vertical="center"/>
    </xf>
    <xf numFmtId="0" fontId="52" fillId="7" borderId="3" xfId="2" applyFont="1" applyFill="1" applyBorder="1" applyAlignment="1">
      <alignment horizontal="center" vertical="center"/>
    </xf>
    <xf numFmtId="170" fontId="53" fillId="2" borderId="14" xfId="2" applyNumberFormat="1" applyFont="1" applyFill="1" applyBorder="1" applyAlignment="1">
      <alignment horizontal="center" vertical="center"/>
    </xf>
    <xf numFmtId="170" fontId="53" fillId="2" borderId="5" xfId="2" applyNumberFormat="1" applyFont="1" applyFill="1" applyBorder="1" applyAlignment="1">
      <alignment horizontal="center" vertical="center"/>
    </xf>
    <xf numFmtId="170" fontId="53" fillId="2" borderId="50" xfId="2" applyNumberFormat="1" applyFont="1" applyFill="1" applyBorder="1" applyAlignment="1">
      <alignment horizontal="center" vertical="center"/>
    </xf>
    <xf numFmtId="170" fontId="53" fillId="2" borderId="6" xfId="2" applyNumberFormat="1" applyFont="1" applyFill="1" applyBorder="1" applyAlignment="1">
      <alignment horizontal="center" vertical="center"/>
    </xf>
    <xf numFmtId="0" fontId="52" fillId="28" borderId="41" xfId="2" applyFont="1" applyFill="1" applyBorder="1" applyAlignment="1">
      <alignment horizontal="center" vertical="center"/>
    </xf>
    <xf numFmtId="0" fontId="52" fillId="28" borderId="50" xfId="2" applyFont="1" applyFill="1" applyBorder="1" applyAlignment="1">
      <alignment horizontal="center" vertical="center"/>
    </xf>
    <xf numFmtId="0" fontId="53" fillId="28" borderId="41" xfId="1" applyFont="1" applyFill="1" applyBorder="1" applyAlignment="1">
      <alignment horizontal="center" vertical="center"/>
    </xf>
    <xf numFmtId="0" fontId="53" fillId="28" borderId="50" xfId="1" applyFont="1" applyFill="1" applyBorder="1" applyAlignment="1">
      <alignment horizontal="center" vertical="center"/>
    </xf>
    <xf numFmtId="0" fontId="57" fillId="2" borderId="44" xfId="5" applyFont="1" applyFill="1" applyBorder="1" applyAlignment="1">
      <alignment horizontal="center" vertical="center"/>
    </xf>
    <xf numFmtId="0" fontId="57" fillId="2" borderId="67" xfId="5" applyFont="1" applyFill="1" applyBorder="1" applyAlignment="1">
      <alignment horizontal="center" vertical="center"/>
    </xf>
    <xf numFmtId="0" fontId="53" fillId="2" borderId="57" xfId="6" applyFont="1" applyFill="1" applyBorder="1" applyAlignment="1">
      <alignment horizontal="center" vertical="center"/>
    </xf>
    <xf numFmtId="0" fontId="53" fillId="2" borderId="18" xfId="6" applyFont="1" applyFill="1" applyBorder="1" applyAlignment="1">
      <alignment horizontal="center" vertical="center"/>
    </xf>
    <xf numFmtId="0" fontId="61" fillId="8" borderId="19" xfId="5" applyFont="1" applyFill="1" applyBorder="1" applyAlignment="1">
      <alignment horizontal="center" vertical="center"/>
    </xf>
    <xf numFmtId="0" fontId="52" fillId="28" borderId="57" xfId="1" applyFont="1" applyFill="1" applyBorder="1" applyAlignment="1">
      <alignment horizontal="center" vertical="center"/>
    </xf>
    <xf numFmtId="0" fontId="52" fillId="28" borderId="18" xfId="1" applyFont="1" applyFill="1" applyBorder="1" applyAlignment="1">
      <alignment horizontal="center" vertical="center"/>
    </xf>
    <xf numFmtId="0" fontId="52" fillId="3" borderId="37" xfId="2" applyFont="1" applyFill="1" applyBorder="1" applyAlignment="1">
      <alignment horizontal="left" vertical="center"/>
    </xf>
    <xf numFmtId="0" fontId="52" fillId="3" borderId="3" xfId="2" applyFont="1" applyFill="1" applyBorder="1" applyAlignment="1">
      <alignment horizontal="left" vertical="center"/>
    </xf>
    <xf numFmtId="0" fontId="52" fillId="3" borderId="4" xfId="2" applyFont="1" applyFill="1" applyBorder="1" applyAlignment="1">
      <alignment horizontal="left" vertical="center"/>
    </xf>
    <xf numFmtId="0" fontId="52" fillId="37" borderId="30" xfId="1" applyFont="1" applyFill="1" applyBorder="1" applyAlignment="1">
      <alignment horizontal="center" vertical="center"/>
    </xf>
    <xf numFmtId="0" fontId="52" fillId="37" borderId="34" xfId="1" applyFont="1" applyFill="1" applyBorder="1" applyAlignment="1">
      <alignment horizontal="center" vertical="center"/>
    </xf>
    <xf numFmtId="0" fontId="52" fillId="37" borderId="48" xfId="1" applyFont="1" applyFill="1" applyBorder="1" applyAlignment="1">
      <alignment horizontal="center" vertical="center"/>
    </xf>
    <xf numFmtId="0" fontId="52" fillId="37" borderId="49" xfId="1" applyFont="1" applyFill="1" applyBorder="1" applyAlignment="1">
      <alignment horizontal="center" vertical="center"/>
    </xf>
    <xf numFmtId="0" fontId="52" fillId="37" borderId="24" xfId="1" applyFont="1" applyFill="1" applyBorder="1" applyAlignment="1">
      <alignment horizontal="center" vertical="center"/>
    </xf>
    <xf numFmtId="0" fontId="52" fillId="37" borderId="36" xfId="1" applyFont="1" applyFill="1" applyBorder="1" applyAlignment="1">
      <alignment horizontal="center" vertical="center"/>
    </xf>
    <xf numFmtId="0" fontId="52" fillId="26" borderId="41" xfId="1" applyFont="1" applyFill="1" applyBorder="1" applyAlignment="1">
      <alignment horizontal="center" vertical="center"/>
    </xf>
    <xf numFmtId="0" fontId="52" fillId="26" borderId="50" xfId="1" applyFont="1" applyFill="1" applyBorder="1" applyAlignment="1">
      <alignment horizontal="center" vertical="center"/>
    </xf>
    <xf numFmtId="0" fontId="57" fillId="2" borderId="19" xfId="5" applyFont="1" applyFill="1" applyBorder="1" applyAlignment="1">
      <alignment horizontal="center" vertical="center"/>
    </xf>
    <xf numFmtId="0" fontId="57" fillId="2" borderId="64" xfId="5" applyFont="1" applyFill="1" applyBorder="1" applyAlignment="1">
      <alignment horizontal="center" vertical="center"/>
    </xf>
    <xf numFmtId="0" fontId="57" fillId="2" borderId="21" xfId="5" applyFont="1" applyFill="1" applyBorder="1" applyAlignment="1">
      <alignment horizontal="center" vertical="center"/>
    </xf>
    <xf numFmtId="0" fontId="57" fillId="2" borderId="60" xfId="5" applyFont="1" applyFill="1" applyBorder="1" applyAlignment="1">
      <alignment horizontal="center" vertical="center"/>
    </xf>
    <xf numFmtId="0" fontId="57" fillId="2" borderId="35" xfId="5" applyFont="1" applyFill="1" applyBorder="1" applyAlignment="1">
      <alignment horizontal="center" vertical="center"/>
    </xf>
    <xf numFmtId="0" fontId="53" fillId="2" borderId="60" xfId="5" applyFont="1" applyFill="1" applyBorder="1" applyAlignment="1">
      <alignment horizontal="center" vertical="center"/>
    </xf>
    <xf numFmtId="0" fontId="53" fillId="2" borderId="61" xfId="5" applyFont="1" applyFill="1" applyBorder="1" applyAlignment="1">
      <alignment horizontal="center" vertical="center"/>
    </xf>
    <xf numFmtId="0" fontId="53" fillId="2" borderId="59" xfId="5" applyFont="1" applyFill="1" applyBorder="1" applyAlignment="1">
      <alignment horizontal="center" vertical="center"/>
    </xf>
    <xf numFmtId="0" fontId="53" fillId="2" borderId="55" xfId="5" applyFont="1" applyFill="1" applyBorder="1" applyAlignment="1">
      <alignment horizontal="center" vertical="center"/>
    </xf>
    <xf numFmtId="0" fontId="61" fillId="0" borderId="57" xfId="5" applyFont="1" applyBorder="1" applyAlignment="1">
      <alignment horizontal="center" vertical="center"/>
    </xf>
    <xf numFmtId="0" fontId="61" fillId="0" borderId="18" xfId="5" applyFont="1" applyBorder="1" applyAlignment="1">
      <alignment horizontal="center" vertical="center"/>
    </xf>
    <xf numFmtId="0" fontId="128" fillId="40" borderId="18" xfId="5" applyFont="1" applyFill="1" applyBorder="1" applyAlignment="1">
      <alignment horizontal="center" vertical="center"/>
    </xf>
    <xf numFmtId="0" fontId="57" fillId="40" borderId="19" xfId="5" applyFont="1" applyFill="1" applyBorder="1" applyAlignment="1">
      <alignment horizontal="center" vertical="center"/>
    </xf>
    <xf numFmtId="0" fontId="57" fillId="2" borderId="61" xfId="5" applyFont="1" applyFill="1" applyBorder="1" applyAlignment="1">
      <alignment horizontal="center" vertical="center"/>
    </xf>
    <xf numFmtId="0" fontId="57" fillId="2" borderId="59" xfId="5" applyFont="1" applyFill="1" applyBorder="1" applyAlignment="1">
      <alignment horizontal="center" vertical="center"/>
    </xf>
    <xf numFmtId="0" fontId="57" fillId="2" borderId="55" xfId="5" applyFont="1" applyFill="1" applyBorder="1" applyAlignment="1">
      <alignment horizontal="center" vertical="center"/>
    </xf>
    <xf numFmtId="0" fontId="89" fillId="2" borderId="57" xfId="0" applyFont="1" applyFill="1" applyBorder="1" applyAlignment="1">
      <alignment horizontal="center" vertical="center"/>
    </xf>
    <xf numFmtId="0" fontId="89" fillId="2" borderId="19" xfId="0" applyFont="1" applyFill="1" applyBorder="1" applyAlignment="1">
      <alignment horizontal="center" vertical="center"/>
    </xf>
    <xf numFmtId="0" fontId="90" fillId="29" borderId="59" xfId="0" applyFont="1" applyFill="1" applyBorder="1" applyAlignment="1">
      <alignment horizontal="center" vertical="center" wrapText="1"/>
    </xf>
    <xf numFmtId="0" fontId="90" fillId="29" borderId="55" xfId="0" applyFont="1" applyFill="1" applyBorder="1" applyAlignment="1">
      <alignment horizontal="center" vertical="center" wrapText="1"/>
    </xf>
    <xf numFmtId="0" fontId="89" fillId="2" borderId="45" xfId="0" applyFont="1" applyFill="1" applyBorder="1" applyAlignment="1">
      <alignment horizontal="center" vertical="center"/>
    </xf>
    <xf numFmtId="0" fontId="89" fillId="2" borderId="67" xfId="0" applyFont="1" applyFill="1" applyBorder="1" applyAlignment="1">
      <alignment horizontal="center" vertical="center"/>
    </xf>
    <xf numFmtId="0" fontId="85" fillId="32" borderId="60" xfId="6" applyFont="1" applyFill="1" applyBorder="1" applyAlignment="1">
      <alignment horizontal="center" vertical="center"/>
    </xf>
    <xf numFmtId="0" fontId="85" fillId="32" borderId="35" xfId="6" applyFont="1" applyFill="1" applyBorder="1" applyAlignment="1">
      <alignment horizontal="center" vertical="center"/>
    </xf>
    <xf numFmtId="0" fontId="57" fillId="40" borderId="6" xfId="5" applyFont="1" applyFill="1" applyBorder="1" applyAlignment="1">
      <alignment horizontal="center" vertical="center"/>
    </xf>
    <xf numFmtId="0" fontId="57" fillId="40" borderId="54" xfId="5" applyFont="1" applyFill="1" applyBorder="1" applyAlignment="1">
      <alignment horizontal="center" vertical="center"/>
    </xf>
    <xf numFmtId="0" fontId="89" fillId="2" borderId="44" xfId="5" applyFont="1" applyFill="1" applyBorder="1" applyAlignment="1">
      <alignment horizontal="center" vertical="center"/>
    </xf>
    <xf numFmtId="0" fontId="89" fillId="2" borderId="67" xfId="5" applyFont="1" applyFill="1" applyBorder="1" applyAlignment="1">
      <alignment horizontal="center" vertical="center"/>
    </xf>
    <xf numFmtId="0" fontId="89" fillId="8" borderId="57" xfId="6" applyFont="1" applyFill="1" applyBorder="1" applyAlignment="1">
      <alignment horizontal="center" vertical="center"/>
    </xf>
    <xf numFmtId="0" fontId="89" fillId="8" borderId="19" xfId="6" applyFont="1" applyFill="1" applyBorder="1" applyAlignment="1">
      <alignment horizontal="center" vertical="center"/>
    </xf>
    <xf numFmtId="0" fontId="52" fillId="37" borderId="59" xfId="2" applyFont="1" applyFill="1" applyBorder="1" applyAlignment="1">
      <alignment horizontal="center" vertical="center"/>
    </xf>
    <xf numFmtId="0" fontId="52" fillId="37" borderId="55" xfId="2" applyFont="1" applyFill="1" applyBorder="1" applyAlignment="1">
      <alignment horizontal="center" vertical="center"/>
    </xf>
    <xf numFmtId="166" fontId="52" fillId="27" borderId="37" xfId="2" applyNumberFormat="1" applyFont="1" applyFill="1" applyBorder="1" applyAlignment="1">
      <alignment horizontal="center" vertical="center"/>
    </xf>
    <xf numFmtId="166" fontId="52" fillId="27" borderId="3" xfId="2" applyNumberFormat="1" applyFont="1" applyFill="1" applyBorder="1" applyAlignment="1">
      <alignment horizontal="center" vertical="center"/>
    </xf>
    <xf numFmtId="166" fontId="52" fillId="27" borderId="4" xfId="2" applyNumberFormat="1" applyFont="1" applyFill="1" applyBorder="1" applyAlignment="1">
      <alignment horizontal="center" vertical="center"/>
    </xf>
    <xf numFmtId="0" fontId="52" fillId="37" borderId="57" xfId="2" applyFont="1" applyFill="1" applyBorder="1" applyAlignment="1">
      <alignment horizontal="center" vertical="center"/>
    </xf>
    <xf numFmtId="0" fontId="52" fillId="37" borderId="18" xfId="2" applyFont="1" applyFill="1" applyBorder="1" applyAlignment="1">
      <alignment horizontal="center" vertical="center"/>
    </xf>
    <xf numFmtId="0" fontId="52" fillId="37" borderId="60" xfId="2" applyFont="1" applyFill="1" applyBorder="1" applyAlignment="1">
      <alignment horizontal="center" vertical="center"/>
    </xf>
    <xf numFmtId="0" fontId="52" fillId="37" borderId="61" xfId="2" applyFont="1" applyFill="1" applyBorder="1" applyAlignment="1">
      <alignment horizontal="center" vertical="center"/>
    </xf>
    <xf numFmtId="0" fontId="53" fillId="7" borderId="4" xfId="2" applyFont="1" applyFill="1" applyBorder="1" applyAlignment="1">
      <alignment horizontal="center" vertical="center"/>
    </xf>
    <xf numFmtId="0" fontId="89" fillId="8" borderId="59" xfId="6" applyFont="1" applyFill="1" applyBorder="1" applyAlignment="1">
      <alignment horizontal="center" vertical="center"/>
    </xf>
    <xf numFmtId="0" fontId="89" fillId="8" borderId="54" xfId="6" applyFont="1" applyFill="1" applyBorder="1" applyAlignment="1">
      <alignment horizontal="center" vertical="center"/>
    </xf>
    <xf numFmtId="0" fontId="52" fillId="37" borderId="2" xfId="2" applyFont="1" applyFill="1" applyBorder="1" applyAlignment="1">
      <alignment horizontal="center" vertical="center"/>
    </xf>
    <xf numFmtId="0" fontId="52" fillId="37" borderId="39" xfId="2" applyFont="1" applyFill="1" applyBorder="1" applyAlignment="1">
      <alignment horizontal="center" vertical="center"/>
    </xf>
    <xf numFmtId="0" fontId="89" fillId="8" borderId="37" xfId="5" applyFont="1" applyFill="1" applyBorder="1" applyAlignment="1">
      <alignment horizontal="center" vertical="center"/>
    </xf>
    <xf numFmtId="0" fontId="89" fillId="8" borderId="4" xfId="5" applyFont="1" applyFill="1" applyBorder="1" applyAlignment="1">
      <alignment horizontal="center" vertical="center"/>
    </xf>
    <xf numFmtId="0" fontId="68" fillId="10" borderId="0" xfId="2" applyFont="1" applyFill="1" applyAlignment="1">
      <alignment horizontal="center" vertical="center"/>
    </xf>
    <xf numFmtId="0" fontId="68" fillId="10" borderId="52" xfId="2" applyFont="1" applyFill="1" applyBorder="1" applyAlignment="1">
      <alignment horizontal="center" vertical="center"/>
    </xf>
    <xf numFmtId="0" fontId="68" fillId="10" borderId="51" xfId="2" applyFont="1" applyFill="1" applyBorder="1" applyAlignment="1">
      <alignment horizontal="center" vertical="center"/>
    </xf>
    <xf numFmtId="0" fontId="89" fillId="8" borderId="37" xfId="6" applyFont="1" applyFill="1" applyBorder="1" applyAlignment="1">
      <alignment horizontal="center" vertical="center"/>
    </xf>
    <xf numFmtId="0" fontId="89" fillId="8" borderId="3" xfId="6" applyFont="1" applyFill="1" applyBorder="1" applyAlignment="1">
      <alignment horizontal="center" vertical="center"/>
    </xf>
    <xf numFmtId="0" fontId="85" fillId="2" borderId="37" xfId="5" applyFont="1" applyFill="1" applyBorder="1" applyAlignment="1">
      <alignment horizontal="center" vertical="center"/>
    </xf>
    <xf numFmtId="0" fontId="85" fillId="2" borderId="4" xfId="5" applyFont="1" applyFill="1" applyBorder="1" applyAlignment="1">
      <alignment horizontal="center" vertical="center"/>
    </xf>
    <xf numFmtId="0" fontId="85" fillId="2" borderId="5" xfId="5" applyFont="1" applyFill="1" applyBorder="1" applyAlignment="1">
      <alignment horizontal="center" vertical="center"/>
    </xf>
    <xf numFmtId="0" fontId="85" fillId="2" borderId="3" xfId="5" applyFont="1" applyFill="1" applyBorder="1" applyAlignment="1">
      <alignment horizontal="center" vertical="center"/>
    </xf>
    <xf numFmtId="0" fontId="68" fillId="10" borderId="39" xfId="2" applyFont="1" applyFill="1" applyBorder="1" applyAlignment="1">
      <alignment horizontal="center" vertical="center"/>
    </xf>
    <xf numFmtId="0" fontId="68" fillId="10" borderId="40" xfId="2" applyFont="1" applyFill="1" applyBorder="1" applyAlignment="1">
      <alignment horizontal="center" vertical="center"/>
    </xf>
    <xf numFmtId="0" fontId="68" fillId="10" borderId="38" xfId="2" applyFont="1" applyFill="1" applyBorder="1" applyAlignment="1">
      <alignment horizontal="center" vertical="center"/>
    </xf>
    <xf numFmtId="0" fontId="68" fillId="10" borderId="37" xfId="2" applyFont="1" applyFill="1" applyBorder="1" applyAlignment="1">
      <alignment horizontal="center" vertical="center"/>
    </xf>
    <xf numFmtId="0" fontId="68" fillId="10" borderId="3" xfId="2" applyFont="1" applyFill="1" applyBorder="1" applyAlignment="1">
      <alignment horizontal="center" vertical="center"/>
    </xf>
    <xf numFmtId="0" fontId="68" fillId="10" borderId="4" xfId="2" applyFont="1" applyFill="1" applyBorder="1" applyAlignment="1">
      <alignment horizontal="center" vertical="center"/>
    </xf>
    <xf numFmtId="166" fontId="53" fillId="7" borderId="37" xfId="2" applyNumberFormat="1" applyFont="1" applyFill="1" applyBorder="1" applyAlignment="1">
      <alignment horizontal="center" vertical="center"/>
    </xf>
    <xf numFmtId="166" fontId="53" fillId="7" borderId="3" xfId="2" applyNumberFormat="1" applyFont="1" applyFill="1" applyBorder="1" applyAlignment="1">
      <alignment horizontal="center" vertical="center"/>
    </xf>
    <xf numFmtId="166" fontId="53" fillId="7" borderId="4" xfId="2" applyNumberFormat="1" applyFont="1" applyFill="1" applyBorder="1" applyAlignment="1">
      <alignment horizontal="center" vertical="center"/>
    </xf>
    <xf numFmtId="0" fontId="85" fillId="32" borderId="57" xfId="6" applyFont="1" applyFill="1" applyBorder="1" applyAlignment="1">
      <alignment horizontal="center" vertical="center"/>
    </xf>
    <xf numFmtId="0" fontId="85" fillId="32" borderId="19" xfId="6" applyFont="1" applyFill="1" applyBorder="1" applyAlignment="1">
      <alignment horizontal="center" vertical="center"/>
    </xf>
    <xf numFmtId="0" fontId="85" fillId="2" borderId="60" xfId="6" applyFont="1" applyFill="1" applyBorder="1" applyAlignment="1">
      <alignment horizontal="center" vertical="center"/>
    </xf>
    <xf numFmtId="0" fontId="85" fillId="2" borderId="35" xfId="6" applyFont="1" applyFill="1" applyBorder="1" applyAlignment="1">
      <alignment horizontal="center" vertical="center"/>
    </xf>
    <xf numFmtId="0" fontId="85" fillId="2" borderId="38" xfId="5" applyFont="1" applyFill="1" applyBorder="1" applyAlignment="1">
      <alignment horizontal="center" vertical="center"/>
    </xf>
    <xf numFmtId="0" fontId="85" fillId="2" borderId="40" xfId="5" applyFont="1" applyFill="1" applyBorder="1" applyAlignment="1">
      <alignment horizontal="center" vertical="center"/>
    </xf>
    <xf numFmtId="0" fontId="85" fillId="2" borderId="41" xfId="5" applyFont="1" applyFill="1" applyBorder="1" applyAlignment="1">
      <alignment horizontal="center" vertical="center"/>
    </xf>
    <xf numFmtId="0" fontId="85" fillId="2" borderId="21" xfId="5" applyFont="1" applyFill="1" applyBorder="1" applyAlignment="1">
      <alignment horizontal="center" vertical="center"/>
    </xf>
    <xf numFmtId="0" fontId="57" fillId="8" borderId="57" xfId="6" applyFont="1" applyFill="1" applyBorder="1" applyAlignment="1">
      <alignment horizontal="center" vertical="center"/>
    </xf>
    <xf numFmtId="0" fontId="57" fillId="8" borderId="19" xfId="6" applyFont="1" applyFill="1" applyBorder="1" applyAlignment="1">
      <alignment horizontal="center" vertical="center"/>
    </xf>
    <xf numFmtId="0" fontId="85" fillId="2" borderId="57" xfId="6" applyFont="1" applyFill="1" applyBorder="1" applyAlignment="1">
      <alignment horizontal="center" vertical="center"/>
    </xf>
    <xf numFmtId="0" fontId="85" fillId="2" borderId="19" xfId="6" applyFont="1" applyFill="1" applyBorder="1" applyAlignment="1">
      <alignment horizontal="center" vertical="center"/>
    </xf>
    <xf numFmtId="0" fontId="99" fillId="2" borderId="45" xfId="6" applyFont="1" applyFill="1" applyBorder="1" applyAlignment="1">
      <alignment horizontal="center" vertical="center"/>
    </xf>
    <xf numFmtId="0" fontId="99" fillId="2" borderId="67" xfId="6" applyFont="1" applyFill="1" applyBorder="1" applyAlignment="1">
      <alignment horizontal="center" vertical="center"/>
    </xf>
    <xf numFmtId="0" fontId="60" fillId="8" borderId="57" xfId="6" applyFont="1" applyFill="1" applyBorder="1" applyAlignment="1">
      <alignment horizontal="center" vertical="center"/>
    </xf>
    <xf numFmtId="0" fontId="60" fillId="8" borderId="19" xfId="6" applyFont="1" applyFill="1" applyBorder="1" applyAlignment="1">
      <alignment horizontal="center" vertical="center"/>
    </xf>
    <xf numFmtId="0" fontId="89" fillId="8" borderId="64" xfId="6" applyFont="1" applyFill="1" applyBorder="1" applyAlignment="1">
      <alignment horizontal="center" vertical="center"/>
    </xf>
    <xf numFmtId="0" fontId="89" fillId="8" borderId="21" xfId="6" applyFont="1" applyFill="1" applyBorder="1" applyAlignment="1">
      <alignment horizontal="center" vertical="center"/>
    </xf>
    <xf numFmtId="0" fontId="89" fillId="8" borderId="60" xfId="6" applyFont="1" applyFill="1" applyBorder="1" applyAlignment="1">
      <alignment horizontal="center" vertical="center"/>
    </xf>
    <xf numFmtId="0" fontId="89" fillId="8" borderId="35" xfId="6" applyFont="1" applyFill="1" applyBorder="1" applyAlignment="1">
      <alignment horizontal="center" vertical="center"/>
    </xf>
    <xf numFmtId="171" fontId="58" fillId="2" borderId="39" xfId="1" applyNumberFormat="1" applyFont="1" applyFill="1" applyBorder="1" applyAlignment="1">
      <alignment horizontal="center" vertical="center"/>
    </xf>
    <xf numFmtId="0" fontId="58" fillId="2" borderId="39" xfId="1" applyFont="1" applyFill="1" applyBorder="1" applyAlignment="1">
      <alignment horizontal="center" vertical="center"/>
    </xf>
    <xf numFmtId="0" fontId="99" fillId="2" borderId="57" xfId="6" applyFont="1" applyFill="1" applyBorder="1" applyAlignment="1">
      <alignment horizontal="center" vertical="center"/>
    </xf>
    <xf numFmtId="0" fontId="99" fillId="2" borderId="19" xfId="6" applyFont="1" applyFill="1" applyBorder="1" applyAlignment="1">
      <alignment horizontal="center" vertical="center"/>
    </xf>
    <xf numFmtId="171" fontId="58" fillId="2" borderId="2" xfId="1" applyNumberFormat="1" applyFont="1" applyFill="1" applyBorder="1" applyAlignment="1">
      <alignment horizontal="center" vertical="center"/>
    </xf>
    <xf numFmtId="0" fontId="58" fillId="2" borderId="2" xfId="1" applyFont="1" applyFill="1" applyBorder="1" applyAlignment="1">
      <alignment horizontal="center" vertical="center"/>
    </xf>
    <xf numFmtId="0" fontId="85" fillId="2" borderId="59" xfId="6" applyFont="1" applyFill="1" applyBorder="1" applyAlignment="1">
      <alignment horizontal="center" vertical="center"/>
    </xf>
    <xf numFmtId="0" fontId="85" fillId="2" borderId="54" xfId="6" applyFont="1" applyFill="1" applyBorder="1" applyAlignment="1">
      <alignment horizontal="center" vertical="center"/>
    </xf>
    <xf numFmtId="0" fontId="89" fillId="8" borderId="45" xfId="6" applyFont="1" applyFill="1" applyBorder="1" applyAlignment="1">
      <alignment horizontal="center" vertical="center"/>
    </xf>
    <xf numFmtId="0" fontId="89" fillId="8" borderId="67" xfId="6" applyFont="1" applyFill="1" applyBorder="1" applyAlignment="1">
      <alignment horizontal="center" vertical="center"/>
    </xf>
    <xf numFmtId="0" fontId="85" fillId="22" borderId="57" xfId="6" applyFont="1" applyFill="1" applyBorder="1" applyAlignment="1">
      <alignment horizontal="center" vertical="center"/>
    </xf>
    <xf numFmtId="0" fontId="85" fillId="22" borderId="19" xfId="6" applyFont="1" applyFill="1" applyBorder="1" applyAlignment="1">
      <alignment horizontal="center" vertical="center"/>
    </xf>
    <xf numFmtId="0" fontId="99" fillId="2" borderId="57" xfId="3" applyFont="1" applyFill="1" applyBorder="1" applyAlignment="1">
      <alignment horizontal="center" vertical="center"/>
    </xf>
    <xf numFmtId="0" fontId="99" fillId="2" borderId="19" xfId="3" applyFont="1" applyFill="1" applyBorder="1" applyAlignment="1">
      <alignment horizontal="center" vertical="center"/>
    </xf>
    <xf numFmtId="0" fontId="96" fillId="7" borderId="57" xfId="2" applyFont="1" applyFill="1" applyBorder="1" applyAlignment="1">
      <alignment horizontal="center" vertical="center"/>
    </xf>
    <xf numFmtId="0" fontId="96" fillId="7" borderId="18" xfId="2" applyFont="1" applyFill="1" applyBorder="1" applyAlignment="1">
      <alignment horizontal="center" vertical="center"/>
    </xf>
    <xf numFmtId="0" fontId="85" fillId="2" borderId="57" xfId="5" applyFont="1" applyFill="1" applyBorder="1" applyAlignment="1">
      <alignment horizontal="center" vertical="center"/>
    </xf>
    <xf numFmtId="0" fontId="85" fillId="2" borderId="19" xfId="5" applyFont="1" applyFill="1" applyBorder="1" applyAlignment="1">
      <alignment horizontal="center" vertical="center"/>
    </xf>
    <xf numFmtId="0" fontId="89" fillId="8" borderId="57" xfId="5" applyFont="1" applyFill="1" applyBorder="1" applyAlignment="1">
      <alignment horizontal="center" vertical="center"/>
    </xf>
    <xf numFmtId="0" fontId="89" fillId="8" borderId="19" xfId="5" applyFont="1" applyFill="1" applyBorder="1" applyAlignment="1">
      <alignment horizontal="center" vertical="center"/>
    </xf>
    <xf numFmtId="171" fontId="58" fillId="2" borderId="1" xfId="1" applyNumberFormat="1" applyFont="1" applyFill="1" applyBorder="1" applyAlignment="1">
      <alignment horizontal="center" vertical="center" wrapText="1"/>
    </xf>
    <xf numFmtId="171" fontId="58" fillId="2" borderId="12" xfId="1" applyNumberFormat="1" applyFont="1" applyFill="1" applyBorder="1" applyAlignment="1">
      <alignment horizontal="center" vertical="center" wrapText="1"/>
    </xf>
    <xf numFmtId="0" fontId="99" fillId="32" borderId="38" xfId="5" applyFont="1" applyFill="1" applyBorder="1" applyAlignment="1">
      <alignment horizontal="center" vertical="center"/>
    </xf>
    <xf numFmtId="0" fontId="99" fillId="32" borderId="39" xfId="5" applyFont="1" applyFill="1" applyBorder="1" applyAlignment="1">
      <alignment horizontal="center" vertical="center"/>
    </xf>
    <xf numFmtId="0" fontId="74" fillId="7" borderId="37" xfId="2" applyFont="1" applyFill="1" applyBorder="1" applyAlignment="1">
      <alignment horizontal="center" vertical="center"/>
    </xf>
    <xf numFmtId="0" fontId="74" fillId="7" borderId="4" xfId="2" applyFont="1" applyFill="1" applyBorder="1" applyAlignment="1">
      <alignment horizontal="center" vertical="center"/>
    </xf>
    <xf numFmtId="0" fontId="53" fillId="3" borderId="37" xfId="2" applyFont="1" applyFill="1" applyBorder="1" applyAlignment="1">
      <alignment horizontal="left" vertical="center"/>
    </xf>
    <xf numFmtId="0" fontId="53" fillId="3" borderId="3" xfId="2" applyFont="1" applyFill="1" applyBorder="1" applyAlignment="1">
      <alignment horizontal="left" vertical="center"/>
    </xf>
    <xf numFmtId="0" fontId="53" fillId="3" borderId="4" xfId="2" applyFont="1" applyFill="1" applyBorder="1" applyAlignment="1">
      <alignment horizontal="left" vertical="center"/>
    </xf>
    <xf numFmtId="0" fontId="58" fillId="2" borderId="1" xfId="1" applyFont="1" applyFill="1" applyBorder="1" applyAlignment="1">
      <alignment horizontal="center" vertical="center" wrapText="1"/>
    </xf>
    <xf numFmtId="0" fontId="58" fillId="2" borderId="12" xfId="1" applyFont="1" applyFill="1" applyBorder="1" applyAlignment="1">
      <alignment horizontal="center" vertical="center" wrapText="1"/>
    </xf>
    <xf numFmtId="0" fontId="57" fillId="36" borderId="57" xfId="5" applyFont="1" applyFill="1" applyBorder="1" applyAlignment="1">
      <alignment horizontal="center" vertical="center"/>
    </xf>
    <xf numFmtId="0" fontId="57" fillId="36" borderId="18" xfId="5" applyFont="1" applyFill="1" applyBorder="1" applyAlignment="1">
      <alignment horizontal="center" vertical="center"/>
    </xf>
    <xf numFmtId="171" fontId="58" fillId="2" borderId="59" xfId="1" applyNumberFormat="1" applyFont="1" applyFill="1" applyBorder="1" applyAlignment="1">
      <alignment horizontal="center" vertical="center" wrapText="1"/>
    </xf>
    <xf numFmtId="171" fontId="58" fillId="2" borderId="55" xfId="1" applyNumberFormat="1" applyFont="1" applyFill="1" applyBorder="1" applyAlignment="1">
      <alignment horizontal="center" vertical="center" wrapText="1"/>
    </xf>
    <xf numFmtId="0" fontId="57" fillId="36" borderId="60" xfId="5" applyFont="1" applyFill="1" applyBorder="1" applyAlignment="1">
      <alignment horizontal="center" vertical="center"/>
    </xf>
    <xf numFmtId="0" fontId="57" fillId="36" borderId="61" xfId="5" applyFont="1" applyFill="1" applyBorder="1" applyAlignment="1">
      <alignment horizontal="center" vertical="center"/>
    </xf>
    <xf numFmtId="0" fontId="53" fillId="2" borderId="57" xfId="2" applyFont="1" applyFill="1" applyBorder="1" applyAlignment="1">
      <alignment horizontal="center" vertical="center"/>
    </xf>
    <xf numFmtId="0" fontId="53" fillId="2" borderId="18" xfId="2" applyFont="1" applyFill="1" applyBorder="1" applyAlignment="1">
      <alignment horizontal="center" vertical="center"/>
    </xf>
    <xf numFmtId="0" fontId="60" fillId="8" borderId="57" xfId="5" applyFont="1" applyFill="1" applyBorder="1" applyAlignment="1">
      <alignment horizontal="center" vertical="center"/>
    </xf>
    <xf numFmtId="0" fontId="60" fillId="8" borderId="18" xfId="5" applyFont="1" applyFill="1" applyBorder="1" applyAlignment="1">
      <alignment horizontal="center" vertical="center"/>
    </xf>
    <xf numFmtId="0" fontId="61" fillId="8" borderId="59" xfId="5" applyFont="1" applyFill="1" applyBorder="1" applyAlignment="1">
      <alignment horizontal="center" vertical="center"/>
    </xf>
    <xf numFmtId="0" fontId="61" fillId="8" borderId="55" xfId="5" applyFont="1" applyFill="1" applyBorder="1" applyAlignment="1">
      <alignment horizontal="center" vertical="center"/>
    </xf>
    <xf numFmtId="0" fontId="61" fillId="8" borderId="20" xfId="5" applyFont="1" applyFill="1" applyBorder="1" applyAlignment="1">
      <alignment horizontal="center" vertical="center"/>
    </xf>
    <xf numFmtId="0" fontId="61" fillId="8" borderId="21" xfId="5" applyFont="1" applyFill="1" applyBorder="1" applyAlignment="1">
      <alignment horizontal="center" vertical="center"/>
    </xf>
    <xf numFmtId="0" fontId="52" fillId="3" borderId="37" xfId="2" applyFont="1" applyFill="1" applyBorder="1" applyAlignment="1">
      <alignment horizontal="center" vertical="center"/>
    </xf>
    <xf numFmtId="0" fontId="52" fillId="3" borderId="3" xfId="2" applyFont="1" applyFill="1" applyBorder="1" applyAlignment="1">
      <alignment horizontal="center" vertical="center"/>
    </xf>
    <xf numFmtId="0" fontId="52" fillId="3" borderId="4" xfId="2" applyFont="1" applyFill="1" applyBorder="1" applyAlignment="1">
      <alignment horizontal="center" vertical="center"/>
    </xf>
    <xf numFmtId="0" fontId="53" fillId="2" borderId="57" xfId="5" applyFont="1" applyFill="1" applyBorder="1" applyAlignment="1">
      <alignment horizontal="center" vertical="center"/>
    </xf>
    <xf numFmtId="0" fontId="53" fillId="2" borderId="18" xfId="5" applyFont="1" applyFill="1" applyBorder="1" applyAlignment="1">
      <alignment horizontal="center" vertical="center"/>
    </xf>
    <xf numFmtId="0" fontId="53" fillId="2" borderId="59" xfId="2" applyFont="1" applyFill="1" applyBorder="1" applyAlignment="1">
      <alignment horizontal="center" vertical="center"/>
    </xf>
    <xf numFmtId="0" fontId="53" fillId="2" borderId="55" xfId="2" applyFont="1" applyFill="1" applyBorder="1" applyAlignment="1">
      <alignment horizontal="center" vertical="center"/>
    </xf>
    <xf numFmtId="0" fontId="61" fillId="8" borderId="45" xfId="5" applyFont="1" applyFill="1" applyBorder="1" applyAlignment="1">
      <alignment horizontal="center" vertical="center"/>
    </xf>
    <xf numFmtId="0" fontId="61" fillId="8" borderId="62" xfId="5" applyFont="1" applyFill="1" applyBorder="1" applyAlignment="1">
      <alignment horizontal="center" vertical="center"/>
    </xf>
    <xf numFmtId="0" fontId="53" fillId="36" borderId="57" xfId="5" applyFont="1" applyFill="1" applyBorder="1" applyAlignment="1">
      <alignment horizontal="center" vertical="center"/>
    </xf>
    <xf numFmtId="0" fontId="53" fillId="36" borderId="18" xfId="5" applyFont="1" applyFill="1" applyBorder="1" applyAlignment="1">
      <alignment horizontal="center" vertical="center"/>
    </xf>
    <xf numFmtId="0" fontId="61" fillId="35" borderId="60" xfId="5" applyFont="1" applyFill="1" applyBorder="1" applyAlignment="1">
      <alignment horizontal="center" vertical="center"/>
    </xf>
    <xf numFmtId="0" fontId="61" fillId="35" borderId="61" xfId="5" applyFont="1" applyFill="1" applyBorder="1" applyAlignment="1">
      <alignment horizontal="center" vertical="center"/>
    </xf>
    <xf numFmtId="0" fontId="52" fillId="28" borderId="59" xfId="1" applyFont="1" applyFill="1" applyBorder="1" applyAlignment="1">
      <alignment horizontal="center" vertical="center"/>
    </xf>
    <xf numFmtId="0" fontId="52" fillId="28" borderId="55" xfId="1" applyFont="1" applyFill="1" applyBorder="1" applyAlignment="1">
      <alignment horizontal="center" vertical="center"/>
    </xf>
    <xf numFmtId="0" fontId="52" fillId="28" borderId="60" xfId="1" applyFont="1" applyFill="1" applyBorder="1" applyAlignment="1">
      <alignment horizontal="center" vertical="center"/>
    </xf>
    <xf numFmtId="0" fontId="52" fillId="28" borderId="61" xfId="1" applyFont="1" applyFill="1" applyBorder="1" applyAlignment="1">
      <alignment horizontal="center" vertical="center"/>
    </xf>
    <xf numFmtId="0" fontId="99" fillId="2" borderId="44" xfId="2" applyFont="1" applyFill="1" applyBorder="1" applyAlignment="1">
      <alignment horizontal="center" vertical="center"/>
    </xf>
    <xf numFmtId="0" fontId="99" fillId="2" borderId="62" xfId="2" applyFont="1" applyFill="1" applyBorder="1" applyAlignment="1">
      <alignment horizontal="center" vertical="center"/>
    </xf>
    <xf numFmtId="171" fontId="58" fillId="2" borderId="70" xfId="1" applyNumberFormat="1" applyFont="1" applyFill="1" applyBorder="1" applyAlignment="1">
      <alignment horizontal="center" vertical="center" wrapText="1"/>
    </xf>
    <xf numFmtId="171" fontId="58" fillId="2" borderId="69" xfId="1" applyNumberFormat="1" applyFont="1" applyFill="1" applyBorder="1" applyAlignment="1">
      <alignment horizontal="center" vertical="center" wrapText="1"/>
    </xf>
    <xf numFmtId="0" fontId="58" fillId="2" borderId="33" xfId="1" applyFont="1" applyFill="1" applyBorder="1" applyAlignment="1">
      <alignment horizontal="center" vertical="center" wrapText="1"/>
    </xf>
    <xf numFmtId="0" fontId="58" fillId="2" borderId="34" xfId="1" applyFont="1" applyFill="1" applyBorder="1" applyAlignment="1">
      <alignment horizontal="center" vertical="center" wrapText="1"/>
    </xf>
    <xf numFmtId="0" fontId="85" fillId="2" borderId="18" xfId="5" applyFont="1" applyFill="1" applyBorder="1" applyAlignment="1">
      <alignment horizontal="center" vertical="center"/>
    </xf>
    <xf numFmtId="0" fontId="99" fillId="2" borderId="18" xfId="6" applyFont="1" applyFill="1" applyBorder="1" applyAlignment="1">
      <alignment horizontal="center" vertical="center"/>
    </xf>
    <xf numFmtId="0" fontId="89" fillId="8" borderId="18" xfId="6" applyFont="1" applyFill="1" applyBorder="1" applyAlignment="1">
      <alignment horizontal="center" vertical="center"/>
    </xf>
    <xf numFmtId="0" fontId="99" fillId="2" borderId="57" xfId="2" applyFont="1" applyFill="1" applyBorder="1" applyAlignment="1">
      <alignment horizontal="center" vertical="center"/>
    </xf>
    <xf numFmtId="0" fontId="99" fillId="2" borderId="18" xfId="2" applyFont="1" applyFill="1" applyBorder="1" applyAlignment="1">
      <alignment horizontal="center" vertical="center"/>
    </xf>
    <xf numFmtId="0" fontId="58" fillId="2" borderId="58" xfId="1" applyFont="1" applyFill="1" applyBorder="1" applyAlignment="1">
      <alignment horizontal="center" vertical="center" wrapText="1"/>
    </xf>
    <xf numFmtId="0" fontId="58" fillId="2" borderId="43" xfId="1" applyFont="1" applyFill="1" applyBorder="1" applyAlignment="1">
      <alignment horizontal="center" vertical="center" wrapText="1"/>
    </xf>
    <xf numFmtId="0" fontId="99" fillId="2" borderId="23" xfId="5" applyFont="1" applyFill="1" applyBorder="1" applyAlignment="1">
      <alignment horizontal="center" vertical="center"/>
    </xf>
    <xf numFmtId="0" fontId="99" fillId="2" borderId="61" xfId="5" applyFont="1" applyFill="1" applyBorder="1" applyAlignment="1">
      <alignment horizontal="center" vertical="center"/>
    </xf>
    <xf numFmtId="0" fontId="58" fillId="2" borderId="68" xfId="1" applyFont="1" applyFill="1" applyBorder="1" applyAlignment="1">
      <alignment horizontal="center" vertical="center" wrapText="1"/>
    </xf>
    <xf numFmtId="0" fontId="58" fillId="2" borderId="69" xfId="1" applyFont="1" applyFill="1" applyBorder="1" applyAlignment="1">
      <alignment horizontal="center" vertical="center" wrapText="1"/>
    </xf>
    <xf numFmtId="0" fontId="99" fillId="2" borderId="59" xfId="6" applyFont="1" applyFill="1" applyBorder="1" applyAlignment="1">
      <alignment horizontal="center" vertical="center"/>
    </xf>
    <xf numFmtId="0" fontId="99" fillId="2" borderId="54" xfId="6" applyFont="1" applyFill="1" applyBorder="1" applyAlignment="1">
      <alignment horizontal="center" vertical="center"/>
    </xf>
    <xf numFmtId="0" fontId="99" fillId="2" borderId="38" xfId="6" applyFont="1" applyFill="1" applyBorder="1" applyAlignment="1">
      <alignment horizontal="center" vertical="center"/>
    </xf>
    <xf numFmtId="0" fontId="99" fillId="2" borderId="39" xfId="6" applyFont="1" applyFill="1" applyBorder="1" applyAlignment="1">
      <alignment horizontal="center" vertical="center"/>
    </xf>
    <xf numFmtId="0" fontId="85" fillId="2" borderId="59" xfId="5" applyFont="1" applyFill="1" applyBorder="1" applyAlignment="1">
      <alignment horizontal="center" vertical="center"/>
    </xf>
    <xf numFmtId="0" fontId="85" fillId="2" borderId="55" xfId="5" applyFont="1" applyFill="1" applyBorder="1" applyAlignment="1">
      <alignment horizontal="center" vertical="center"/>
    </xf>
    <xf numFmtId="0" fontId="85" fillId="2" borderId="44" xfId="5" applyFont="1" applyFill="1" applyBorder="1" applyAlignment="1">
      <alignment horizontal="center" vertical="center"/>
    </xf>
    <xf numFmtId="0" fontId="85" fillId="2" borderId="62" xfId="5" applyFont="1" applyFill="1" applyBorder="1" applyAlignment="1">
      <alignment horizontal="center" vertical="center"/>
    </xf>
    <xf numFmtId="0" fontId="85" fillId="2" borderId="10" xfId="5" applyFont="1" applyFill="1" applyBorder="1" applyAlignment="1">
      <alignment horizontal="center" vertical="center"/>
    </xf>
    <xf numFmtId="0" fontId="89" fillId="8" borderId="26" xfId="6" applyFont="1" applyFill="1" applyBorder="1" applyAlignment="1">
      <alignment horizontal="center" vertical="center"/>
    </xf>
    <xf numFmtId="0" fontId="89" fillId="8" borderId="27" xfId="6" applyFont="1" applyFill="1" applyBorder="1" applyAlignment="1">
      <alignment horizontal="center" vertical="center"/>
    </xf>
    <xf numFmtId="171" fontId="58" fillId="2" borderId="48" xfId="1" applyNumberFormat="1" applyFont="1" applyFill="1" applyBorder="1" applyAlignment="1">
      <alignment horizontal="center" vertical="center" wrapText="1"/>
    </xf>
    <xf numFmtId="171" fontId="58" fillId="2" borderId="16" xfId="1" applyNumberFormat="1" applyFont="1" applyFill="1" applyBorder="1" applyAlignment="1">
      <alignment horizontal="center" vertical="center" wrapText="1"/>
    </xf>
    <xf numFmtId="0" fontId="58" fillId="2" borderId="16" xfId="1" applyFont="1" applyFill="1" applyBorder="1" applyAlignment="1">
      <alignment horizontal="center" vertical="center" wrapText="1"/>
    </xf>
    <xf numFmtId="0" fontId="58" fillId="2" borderId="49" xfId="1" applyFont="1" applyFill="1" applyBorder="1" applyAlignment="1">
      <alignment horizontal="center" vertical="center" wrapText="1"/>
    </xf>
    <xf numFmtId="0" fontId="85" fillId="2" borderId="17" xfId="6" applyFont="1" applyFill="1" applyBorder="1" applyAlignment="1">
      <alignment horizontal="center" vertical="center"/>
    </xf>
    <xf numFmtId="0" fontId="85" fillId="2" borderId="15" xfId="6" applyFont="1" applyFill="1" applyBorder="1" applyAlignment="1">
      <alignment horizontal="center" vertical="center"/>
    </xf>
    <xf numFmtId="0" fontId="89" fillId="8" borderId="17" xfId="6" applyFont="1" applyFill="1" applyBorder="1" applyAlignment="1">
      <alignment horizontal="center" vertical="center"/>
    </xf>
    <xf numFmtId="0" fontId="89" fillId="8" borderId="15" xfId="6" applyFont="1" applyFill="1" applyBorder="1" applyAlignment="1">
      <alignment horizontal="center" vertical="center"/>
    </xf>
    <xf numFmtId="0" fontId="89" fillId="8" borderId="32" xfId="6" applyFont="1" applyFill="1" applyBorder="1" applyAlignment="1">
      <alignment horizontal="center" vertical="center"/>
    </xf>
    <xf numFmtId="0" fontId="89" fillId="8" borderId="33" xfId="6" applyFont="1" applyFill="1" applyBorder="1" applyAlignment="1">
      <alignment horizontal="center" vertical="center"/>
    </xf>
    <xf numFmtId="171" fontId="58" fillId="2" borderId="30" xfId="1" applyNumberFormat="1" applyFont="1" applyFill="1" applyBorder="1" applyAlignment="1">
      <alignment horizontal="center" vertical="center" wrapText="1"/>
    </xf>
    <xf numFmtId="171" fontId="58" fillId="2" borderId="31" xfId="1" applyNumberFormat="1" applyFont="1" applyFill="1" applyBorder="1" applyAlignment="1">
      <alignment horizontal="center" vertical="center" wrapText="1"/>
    </xf>
    <xf numFmtId="0" fontId="58" fillId="2" borderId="31" xfId="1" applyFont="1" applyFill="1" applyBorder="1" applyAlignment="1">
      <alignment horizontal="center" vertical="center" wrapText="1"/>
    </xf>
    <xf numFmtId="0" fontId="99" fillId="2" borderId="17" xfId="6" applyFont="1" applyFill="1" applyBorder="1" applyAlignment="1">
      <alignment horizontal="center" vertical="center"/>
    </xf>
    <xf numFmtId="0" fontId="99" fillId="2" borderId="15" xfId="6" applyFont="1" applyFill="1" applyBorder="1" applyAlignment="1">
      <alignment horizontal="center" vertical="center"/>
    </xf>
    <xf numFmtId="171" fontId="58" fillId="2" borderId="24" xfId="1" applyNumberFormat="1" applyFont="1" applyFill="1" applyBorder="1" applyAlignment="1">
      <alignment horizontal="center" vertical="center" wrapText="1"/>
    </xf>
    <xf numFmtId="171" fontId="58" fillId="2" borderId="25" xfId="1" applyNumberFormat="1" applyFont="1" applyFill="1" applyBorder="1" applyAlignment="1">
      <alignment horizontal="center" vertical="center" wrapText="1"/>
    </xf>
    <xf numFmtId="0" fontId="58" fillId="2" borderId="25" xfId="1" applyFont="1" applyFill="1" applyBorder="1" applyAlignment="1">
      <alignment horizontal="center" vertical="center" wrapText="1"/>
    </xf>
    <xf numFmtId="0" fontId="58" fillId="2" borderId="36" xfId="1" applyFont="1" applyFill="1" applyBorder="1" applyAlignment="1">
      <alignment horizontal="center" vertical="center" wrapText="1"/>
    </xf>
    <xf numFmtId="0" fontId="99" fillId="2" borderId="17" xfId="3" applyFont="1" applyFill="1" applyBorder="1" applyAlignment="1">
      <alignment horizontal="center" vertical="center"/>
    </xf>
    <xf numFmtId="0" fontId="99" fillId="2" borderId="15" xfId="3" applyFont="1" applyFill="1" applyBorder="1" applyAlignment="1">
      <alignment horizontal="center" vertical="center"/>
    </xf>
    <xf numFmtId="0" fontId="52" fillId="28" borderId="30" xfId="1" applyFont="1" applyFill="1" applyBorder="1" applyAlignment="1">
      <alignment horizontal="center" vertical="center"/>
    </xf>
    <xf numFmtId="0" fontId="52" fillId="28" borderId="34" xfId="1" applyFont="1" applyFill="1" applyBorder="1" applyAlignment="1">
      <alignment horizontal="center" vertical="center"/>
    </xf>
    <xf numFmtId="0" fontId="61" fillId="24" borderId="57" xfId="5" applyFont="1" applyFill="1" applyBorder="1" applyAlignment="1">
      <alignment horizontal="center" vertical="center"/>
    </xf>
    <xf numFmtId="0" fontId="61" fillId="24" borderId="18" xfId="5" applyFont="1" applyFill="1" applyBorder="1" applyAlignment="1">
      <alignment horizontal="center" vertical="center"/>
    </xf>
    <xf numFmtId="0" fontId="61" fillId="24" borderId="60" xfId="5" applyFont="1" applyFill="1" applyBorder="1" applyAlignment="1">
      <alignment horizontal="center" vertical="center"/>
    </xf>
    <xf numFmtId="0" fontId="61" fillId="24" borderId="61" xfId="5" applyFont="1" applyFill="1" applyBorder="1" applyAlignment="1">
      <alignment horizontal="center" vertical="center"/>
    </xf>
    <xf numFmtId="0" fontId="57" fillId="23" borderId="57" xfId="5" applyFont="1" applyFill="1" applyBorder="1" applyAlignment="1">
      <alignment horizontal="center" vertical="center"/>
    </xf>
    <xf numFmtId="0" fontId="57" fillId="23" borderId="18" xfId="5" applyFont="1" applyFill="1" applyBorder="1" applyAlignment="1">
      <alignment horizontal="center" vertical="center"/>
    </xf>
    <xf numFmtId="0" fontId="99" fillId="2" borderId="18" xfId="3" applyFont="1" applyFill="1" applyBorder="1" applyAlignment="1">
      <alignment horizontal="center" vertical="center"/>
    </xf>
    <xf numFmtId="0" fontId="89" fillId="2" borderId="60" xfId="0" applyFont="1" applyFill="1" applyBorder="1" applyAlignment="1">
      <alignment horizontal="center" vertical="center"/>
    </xf>
    <xf numFmtId="0" fontId="89" fillId="2" borderId="61" xfId="0" applyFont="1" applyFill="1" applyBorder="1" applyAlignment="1">
      <alignment horizontal="center" vertical="center"/>
    </xf>
    <xf numFmtId="0" fontId="90" fillId="29" borderId="37" xfId="0" applyFont="1" applyFill="1" applyBorder="1" applyAlignment="1">
      <alignment horizontal="center" vertical="center" wrapText="1"/>
    </xf>
    <xf numFmtId="0" fontId="90" fillId="29" borderId="4" xfId="0" applyFont="1" applyFill="1" applyBorder="1" applyAlignment="1">
      <alignment horizontal="center" vertical="center" wrapText="1"/>
    </xf>
    <xf numFmtId="0" fontId="57" fillId="23" borderId="59" xfId="5" applyFont="1" applyFill="1" applyBorder="1" applyAlignment="1">
      <alignment horizontal="center" vertical="center"/>
    </xf>
    <xf numFmtId="0" fontId="57" fillId="23" borderId="55" xfId="5" applyFont="1" applyFill="1" applyBorder="1" applyAlignment="1">
      <alignment horizontal="center" vertical="center"/>
    </xf>
    <xf numFmtId="0" fontId="89" fillId="2" borderId="62" xfId="0" applyFont="1" applyFill="1" applyBorder="1" applyAlignment="1">
      <alignment horizontal="center" vertical="center"/>
    </xf>
    <xf numFmtId="0" fontId="89" fillId="2" borderId="18" xfId="0" applyFont="1" applyFill="1" applyBorder="1" applyAlignment="1">
      <alignment horizontal="center" vertical="center"/>
    </xf>
    <xf numFmtId="0" fontId="52" fillId="28" borderId="57" xfId="2" applyFont="1" applyFill="1" applyBorder="1" applyAlignment="1">
      <alignment horizontal="center" vertical="center"/>
    </xf>
    <xf numFmtId="0" fontId="52" fillId="28" borderId="18" xfId="2" applyFont="1" applyFill="1" applyBorder="1" applyAlignment="1">
      <alignment horizontal="center" vertical="center"/>
    </xf>
    <xf numFmtId="0" fontId="52" fillId="28" borderId="60" xfId="2" applyFont="1" applyFill="1" applyBorder="1" applyAlignment="1">
      <alignment horizontal="center" vertical="center"/>
    </xf>
    <xf numFmtId="0" fontId="52" fillId="28" borderId="61" xfId="2" applyFont="1" applyFill="1" applyBorder="1" applyAlignment="1">
      <alignment horizontal="center" vertical="center"/>
    </xf>
    <xf numFmtId="0" fontId="89" fillId="8" borderId="55" xfId="6" applyFont="1" applyFill="1" applyBorder="1" applyAlignment="1">
      <alignment horizontal="center" vertical="center"/>
    </xf>
    <xf numFmtId="0" fontId="57" fillId="2" borderId="5" xfId="5" applyFont="1" applyFill="1" applyBorder="1" applyAlignment="1">
      <alignment horizontal="center" vertical="center"/>
    </xf>
    <xf numFmtId="0" fontId="57" fillId="2" borderId="3" xfId="5" applyFont="1" applyFill="1" applyBorder="1" applyAlignment="1">
      <alignment horizontal="center" vertical="center"/>
    </xf>
    <xf numFmtId="0" fontId="61" fillId="8" borderId="37" xfId="6" applyFont="1" applyFill="1" applyBorder="1" applyAlignment="1">
      <alignment horizontal="center" vertical="center"/>
    </xf>
    <xf numFmtId="0" fontId="61" fillId="8" borderId="3" xfId="6" applyFont="1" applyFill="1" applyBorder="1" applyAlignment="1">
      <alignment horizontal="center" vertical="center"/>
    </xf>
    <xf numFmtId="0" fontId="57" fillId="2" borderId="37" xfId="5" applyFont="1" applyFill="1" applyBorder="1" applyAlignment="1">
      <alignment horizontal="center" vertical="center"/>
    </xf>
    <xf numFmtId="0" fontId="57" fillId="2" borderId="4" xfId="5" applyFont="1" applyFill="1" applyBorder="1" applyAlignment="1">
      <alignment horizontal="center" vertical="center"/>
    </xf>
    <xf numFmtId="0" fontId="57" fillId="2" borderId="51" xfId="6" applyFont="1" applyFill="1" applyBorder="1" applyAlignment="1">
      <alignment horizontal="center" vertical="center"/>
    </xf>
    <xf numFmtId="0" fontId="57" fillId="2" borderId="52" xfId="6" applyFont="1" applyFill="1" applyBorder="1" applyAlignment="1">
      <alignment horizontal="center" vertical="center"/>
    </xf>
    <xf numFmtId="0" fontId="52" fillId="28" borderId="59" xfId="2" applyFont="1" applyFill="1" applyBorder="1" applyAlignment="1">
      <alignment horizontal="center" vertical="center"/>
    </xf>
    <xf numFmtId="0" fontId="52" fillId="28" borderId="55" xfId="2" applyFont="1" applyFill="1" applyBorder="1" applyAlignment="1">
      <alignment horizontal="center" vertical="center"/>
    </xf>
    <xf numFmtId="0" fontId="57" fillId="2" borderId="1" xfId="5" applyFont="1" applyFill="1" applyBorder="1" applyAlignment="1">
      <alignment horizontal="center" vertical="center"/>
    </xf>
    <xf numFmtId="0" fontId="57" fillId="2" borderId="2" xfId="5" applyFont="1" applyFill="1" applyBorder="1" applyAlignment="1">
      <alignment horizontal="center" vertical="center"/>
    </xf>
    <xf numFmtId="0" fontId="57" fillId="2" borderId="41" xfId="5" applyFont="1" applyFill="1" applyBorder="1" applyAlignment="1">
      <alignment horizontal="center" vertical="center"/>
    </xf>
    <xf numFmtId="0" fontId="61" fillId="8" borderId="64" xfId="6" applyFont="1" applyFill="1" applyBorder="1" applyAlignment="1">
      <alignment horizontal="center" vertical="center"/>
    </xf>
    <xf numFmtId="0" fontId="61" fillId="8" borderId="21" xfId="6" applyFont="1" applyFill="1" applyBorder="1" applyAlignment="1">
      <alignment horizontal="center" vertical="center"/>
    </xf>
    <xf numFmtId="0" fontId="57" fillId="2" borderId="35" xfId="6" applyFont="1" applyFill="1" applyBorder="1" applyAlignment="1">
      <alignment horizontal="center" vertical="center"/>
    </xf>
    <xf numFmtId="0" fontId="57" fillId="33" borderId="59" xfId="6" applyFont="1" applyFill="1" applyBorder="1" applyAlignment="1">
      <alignment horizontal="center" vertical="center"/>
    </xf>
    <xf numFmtId="0" fontId="57" fillId="33" borderId="54" xfId="6" applyFont="1" applyFill="1" applyBorder="1" applyAlignment="1">
      <alignment horizontal="center" vertical="center"/>
    </xf>
    <xf numFmtId="0" fontId="57" fillId="2" borderId="10" xfId="5" applyFont="1" applyFill="1" applyBorder="1" applyAlignment="1">
      <alignment horizontal="center" vertical="center"/>
    </xf>
    <xf numFmtId="0" fontId="53" fillId="2" borderId="19" xfId="6" applyFont="1" applyFill="1" applyBorder="1" applyAlignment="1">
      <alignment horizontal="center" vertical="center"/>
    </xf>
    <xf numFmtId="0" fontId="57" fillId="2" borderId="18" xfId="6" applyFont="1" applyFill="1" applyBorder="1" applyAlignment="1">
      <alignment horizontal="center" vertical="center"/>
    </xf>
    <xf numFmtId="0" fontId="61" fillId="8" borderId="45" xfId="6" applyFont="1" applyFill="1" applyBorder="1" applyAlignment="1">
      <alignment horizontal="center" vertical="center"/>
    </xf>
    <xf numFmtId="0" fontId="61" fillId="8" borderId="62" xfId="6" applyFont="1" applyFill="1" applyBorder="1" applyAlignment="1">
      <alignment horizontal="center" vertical="center"/>
    </xf>
    <xf numFmtId="0" fontId="57" fillId="22" borderId="57" xfId="6" applyFont="1" applyFill="1" applyBorder="1" applyAlignment="1">
      <alignment horizontal="center" vertical="center"/>
    </xf>
    <xf numFmtId="0" fontId="57" fillId="22" borderId="18" xfId="6" applyFont="1" applyFill="1" applyBorder="1" applyAlignment="1">
      <alignment horizontal="center" vertical="center"/>
    </xf>
    <xf numFmtId="0" fontId="57" fillId="22" borderId="60" xfId="6" applyFont="1" applyFill="1" applyBorder="1" applyAlignment="1">
      <alignment horizontal="center" vertical="center"/>
    </xf>
    <xf numFmtId="0" fontId="57" fillId="22" borderId="61" xfId="6" applyFont="1" applyFill="1" applyBorder="1" applyAlignment="1">
      <alignment horizontal="center" vertical="center"/>
    </xf>
    <xf numFmtId="0" fontId="61" fillId="8" borderId="59" xfId="6" applyFont="1" applyFill="1" applyBorder="1" applyAlignment="1">
      <alignment horizontal="center" vertical="center"/>
    </xf>
    <xf numFmtId="0" fontId="61" fillId="8" borderId="54" xfId="6" applyFont="1" applyFill="1" applyBorder="1" applyAlignment="1">
      <alignment horizontal="center" vertical="center"/>
    </xf>
    <xf numFmtId="0" fontId="61" fillId="8" borderId="18" xfId="6" applyFont="1" applyFill="1" applyBorder="1" applyAlignment="1">
      <alignment horizontal="center" vertical="center"/>
    </xf>
    <xf numFmtId="0" fontId="53" fillId="2" borderId="62" xfId="3" applyFont="1" applyFill="1" applyBorder="1" applyAlignment="1">
      <alignment horizontal="center" vertical="center"/>
    </xf>
    <xf numFmtId="0" fontId="61" fillId="8" borderId="55" xfId="6" applyFont="1" applyFill="1" applyBorder="1" applyAlignment="1">
      <alignment horizontal="center" vertical="center"/>
    </xf>
    <xf numFmtId="0" fontId="53" fillId="28" borderId="48" xfId="1" applyFont="1" applyFill="1" applyBorder="1" applyAlignment="1">
      <alignment horizontal="center" vertical="center"/>
    </xf>
    <xf numFmtId="0" fontId="53" fillId="28" borderId="49" xfId="1" applyFont="1" applyFill="1" applyBorder="1" applyAlignment="1">
      <alignment horizontal="center" vertical="center"/>
    </xf>
    <xf numFmtId="0" fontId="53" fillId="28" borderId="24" xfId="1" applyFont="1" applyFill="1" applyBorder="1" applyAlignment="1">
      <alignment horizontal="center" vertical="center"/>
    </xf>
    <xf numFmtId="0" fontId="53" fillId="28" borderId="36" xfId="1" applyFont="1" applyFill="1" applyBorder="1" applyAlignment="1">
      <alignment horizontal="center" vertical="center"/>
    </xf>
    <xf numFmtId="0" fontId="53" fillId="28" borderId="30" xfId="1" applyFont="1" applyFill="1" applyBorder="1" applyAlignment="1">
      <alignment horizontal="center" vertical="center"/>
    </xf>
    <xf numFmtId="0" fontId="53" fillId="28" borderId="34" xfId="1" applyFont="1" applyFill="1" applyBorder="1" applyAlignment="1">
      <alignment horizontal="center" vertical="center"/>
    </xf>
    <xf numFmtId="0" fontId="61" fillId="8" borderId="60" xfId="6" applyFont="1" applyFill="1" applyBorder="1" applyAlignment="1">
      <alignment horizontal="center" vertical="center"/>
    </xf>
    <xf numFmtId="0" fontId="61" fillId="8" borderId="61" xfId="6" applyFont="1" applyFill="1" applyBorder="1" applyAlignment="1">
      <alignment horizontal="center" vertical="center"/>
    </xf>
    <xf numFmtId="0" fontId="61" fillId="8" borderId="13" xfId="6" applyFont="1" applyFill="1" applyBorder="1" applyAlignment="1">
      <alignment horizontal="center" vertical="center"/>
    </xf>
    <xf numFmtId="0" fontId="61" fillId="8" borderId="67" xfId="6" applyFont="1" applyFill="1" applyBorder="1" applyAlignment="1">
      <alignment horizontal="center" vertical="center"/>
    </xf>
    <xf numFmtId="0" fontId="57" fillId="2" borderId="64" xfId="6" applyFont="1" applyFill="1" applyBorder="1" applyAlignment="1">
      <alignment horizontal="center" vertical="center"/>
    </xf>
    <xf numFmtId="0" fontId="57" fillId="2" borderId="21" xfId="6" applyFont="1" applyFill="1" applyBorder="1" applyAlignment="1">
      <alignment horizontal="center" vertical="center"/>
    </xf>
    <xf numFmtId="0" fontId="53" fillId="2" borderId="57" xfId="3" applyFont="1" applyFill="1" applyBorder="1" applyAlignment="1">
      <alignment horizontal="center" vertical="center"/>
    </xf>
    <xf numFmtId="0" fontId="53" fillId="2" borderId="19" xfId="3" applyFont="1" applyFill="1" applyBorder="1" applyAlignment="1">
      <alignment horizontal="center" vertical="center"/>
    </xf>
    <xf numFmtId="0" fontId="61" fillId="8" borderId="35" xfId="6" applyFont="1" applyFill="1" applyBorder="1" applyAlignment="1">
      <alignment horizontal="center" vertical="center"/>
    </xf>
    <xf numFmtId="0" fontId="57" fillId="2" borderId="59" xfId="6" applyFont="1" applyFill="1" applyBorder="1" applyAlignment="1">
      <alignment horizontal="center" vertical="center"/>
    </xf>
    <xf numFmtId="0" fontId="57" fillId="2" borderId="55" xfId="6" applyFont="1" applyFill="1" applyBorder="1" applyAlignment="1">
      <alignment horizontal="center" vertical="center"/>
    </xf>
    <xf numFmtId="0" fontId="57" fillId="2" borderId="60" xfId="4" applyFont="1" applyFill="1" applyBorder="1" applyAlignment="1">
      <alignment horizontal="center" vertical="center"/>
    </xf>
    <xf numFmtId="0" fontId="57" fillId="2" borderId="35" xfId="4" applyFont="1" applyFill="1" applyBorder="1" applyAlignment="1">
      <alignment horizontal="center" vertical="center"/>
    </xf>
    <xf numFmtId="0" fontId="61" fillId="8" borderId="48" xfId="5" applyFont="1" applyFill="1" applyBorder="1" applyAlignment="1">
      <alignment horizontal="center" vertical="center"/>
    </xf>
    <xf numFmtId="0" fontId="61" fillId="8" borderId="17" xfId="5" applyFont="1" applyFill="1" applyBorder="1" applyAlignment="1">
      <alignment horizontal="center" vertical="center"/>
    </xf>
    <xf numFmtId="0" fontId="53" fillId="2" borderId="23" xfId="5" applyFont="1" applyFill="1" applyBorder="1" applyAlignment="1">
      <alignment horizontal="center" vertical="center"/>
    </xf>
    <xf numFmtId="0" fontId="53" fillId="2" borderId="35" xfId="5" applyFont="1" applyFill="1" applyBorder="1" applyAlignment="1">
      <alignment horizontal="center" vertical="center"/>
    </xf>
    <xf numFmtId="0" fontId="53" fillId="2" borderId="45" xfId="6" applyFont="1" applyFill="1" applyBorder="1" applyAlignment="1">
      <alignment horizontal="center" vertical="center"/>
    </xf>
    <xf numFmtId="0" fontId="53" fillId="2" borderId="67" xfId="6" applyFont="1" applyFill="1" applyBorder="1" applyAlignment="1">
      <alignment horizontal="center" vertical="center"/>
    </xf>
    <xf numFmtId="0" fontId="57" fillId="2" borderId="54" xfId="5" applyFont="1" applyFill="1" applyBorder="1" applyAlignment="1">
      <alignment horizontal="center" vertical="center"/>
    </xf>
    <xf numFmtId="0" fontId="61" fillId="8" borderId="35" xfId="5" applyFont="1" applyFill="1" applyBorder="1" applyAlignment="1">
      <alignment horizontal="center" vertical="center"/>
    </xf>
    <xf numFmtId="0" fontId="53" fillId="2" borderId="59" xfId="3" applyFont="1" applyFill="1" applyBorder="1" applyAlignment="1">
      <alignment horizontal="center" vertical="center"/>
    </xf>
    <xf numFmtId="0" fontId="53" fillId="2" borderId="55" xfId="3" applyFont="1" applyFill="1" applyBorder="1" applyAlignment="1">
      <alignment horizontal="center" vertical="center"/>
    </xf>
    <xf numFmtId="0" fontId="53" fillId="2" borderId="62" xfId="6" applyFont="1" applyFill="1" applyBorder="1" applyAlignment="1">
      <alignment horizontal="center" vertical="center"/>
    </xf>
    <xf numFmtId="0" fontId="53" fillId="2" borderId="60" xfId="6" applyFont="1" applyFill="1" applyBorder="1" applyAlignment="1">
      <alignment horizontal="center" vertical="center"/>
    </xf>
    <xf numFmtId="0" fontId="53" fillId="2" borderId="35" xfId="6" applyFont="1" applyFill="1" applyBorder="1" applyAlignment="1">
      <alignment horizontal="center" vertical="center"/>
    </xf>
    <xf numFmtId="0" fontId="53" fillId="2" borderId="54" xfId="3" applyFont="1" applyFill="1" applyBorder="1" applyAlignment="1">
      <alignment horizontal="center" vertical="center"/>
    </xf>
    <xf numFmtId="0" fontId="57" fillId="22" borderId="19" xfId="6" applyFont="1" applyFill="1" applyBorder="1" applyAlignment="1">
      <alignment horizontal="center" vertical="center"/>
    </xf>
    <xf numFmtId="0" fontId="53" fillId="2" borderId="62" xfId="2" applyFont="1" applyFill="1" applyBorder="1" applyAlignment="1">
      <alignment horizontal="center" vertical="center"/>
    </xf>
    <xf numFmtId="0" fontId="53" fillId="2" borderId="38" xfId="6" applyFont="1" applyFill="1" applyBorder="1" applyAlignment="1">
      <alignment horizontal="center" vertical="center"/>
    </xf>
    <xf numFmtId="0" fontId="53" fillId="2" borderId="39" xfId="6" applyFont="1" applyFill="1" applyBorder="1" applyAlignment="1">
      <alignment horizontal="center" vertical="center"/>
    </xf>
    <xf numFmtId="0" fontId="57" fillId="2" borderId="62" xfId="5" applyFont="1" applyFill="1" applyBorder="1" applyAlignment="1">
      <alignment horizontal="center" vertical="center"/>
    </xf>
    <xf numFmtId="0" fontId="57" fillId="2" borderId="54" xfId="6" applyFont="1" applyFill="1" applyBorder="1" applyAlignment="1">
      <alignment horizontal="center" vertical="center"/>
    </xf>
    <xf numFmtId="0" fontId="61" fillId="8" borderId="54" xfId="5" applyFont="1" applyFill="1" applyBorder="1" applyAlignment="1">
      <alignment horizontal="center" vertical="center"/>
    </xf>
    <xf numFmtId="0" fontId="57" fillId="8" borderId="18" xfId="6" applyFont="1" applyFill="1" applyBorder="1" applyAlignment="1">
      <alignment horizontal="center" vertical="center"/>
    </xf>
    <xf numFmtId="0" fontId="53" fillId="2" borderId="24" xfId="3" applyFont="1" applyFill="1" applyBorder="1" applyAlignment="1">
      <alignment horizontal="center" vertical="center"/>
    </xf>
    <xf numFmtId="0" fontId="53" fillId="2" borderId="25" xfId="3" applyFont="1" applyFill="1" applyBorder="1" applyAlignment="1">
      <alignment horizontal="center" vertical="center"/>
    </xf>
    <xf numFmtId="0" fontId="61" fillId="8" borderId="48" xfId="6" applyFont="1" applyFill="1" applyBorder="1" applyAlignment="1">
      <alignment horizontal="center" vertical="center"/>
    </xf>
    <xf numFmtId="0" fontId="61" fillId="8" borderId="16" xfId="6" applyFont="1" applyFill="1" applyBorder="1" applyAlignment="1">
      <alignment horizontal="center" vertical="center"/>
    </xf>
    <xf numFmtId="0" fontId="53" fillId="2" borderId="48" xfId="6" applyFont="1" applyFill="1" applyBorder="1" applyAlignment="1">
      <alignment horizontal="center" vertical="center"/>
    </xf>
    <xf numFmtId="0" fontId="53" fillId="2" borderId="16" xfId="6" applyFont="1" applyFill="1" applyBorder="1" applyAlignment="1">
      <alignment horizontal="center" vertical="center"/>
    </xf>
    <xf numFmtId="0" fontId="57" fillId="2" borderId="48" xfId="6" applyFont="1" applyFill="1" applyBorder="1" applyAlignment="1">
      <alignment horizontal="center" vertical="center"/>
    </xf>
    <xf numFmtId="0" fontId="57" fillId="2" borderId="16" xfId="6" applyFont="1" applyFill="1" applyBorder="1" applyAlignment="1">
      <alignment horizontal="center" vertical="center"/>
    </xf>
    <xf numFmtId="0" fontId="53" fillId="2" borderId="30" xfId="3" applyFont="1" applyFill="1" applyBorder="1" applyAlignment="1">
      <alignment horizontal="center" vertical="center"/>
    </xf>
    <xf numFmtId="0" fontId="53" fillId="2" borderId="31" xfId="3" applyFont="1" applyFill="1" applyBorder="1" applyAlignment="1">
      <alignment horizontal="center" vertical="center"/>
    </xf>
    <xf numFmtId="0" fontId="61" fillId="8" borderId="13" xfId="5" applyFont="1" applyFill="1" applyBorder="1" applyAlignment="1">
      <alignment horizontal="center" vertical="center"/>
    </xf>
    <xf numFmtId="0" fontId="53" fillId="23" borderId="45" xfId="5" applyFont="1" applyFill="1" applyBorder="1" applyAlignment="1">
      <alignment horizontal="center" vertical="center"/>
    </xf>
    <xf numFmtId="0" fontId="53" fillId="23" borderId="62" xfId="5" applyFont="1" applyFill="1" applyBorder="1" applyAlignment="1">
      <alignment horizontal="center" vertical="center"/>
    </xf>
    <xf numFmtId="0" fontId="57" fillId="2" borderId="45" xfId="5" applyFont="1" applyFill="1" applyBorder="1" applyAlignment="1">
      <alignment horizontal="center" vertical="center"/>
    </xf>
    <xf numFmtId="0" fontId="89" fillId="2" borderId="62" xfId="5" applyFont="1" applyFill="1" applyBorder="1" applyAlignment="1">
      <alignment horizontal="center" vertical="center"/>
    </xf>
    <xf numFmtId="0" fontId="89" fillId="2" borderId="54" xfId="0" applyFont="1" applyFill="1" applyBorder="1" applyAlignment="1">
      <alignment horizontal="center" vertical="center"/>
    </xf>
    <xf numFmtId="0" fontId="61" fillId="8" borderId="37" xfId="5" applyFont="1" applyFill="1" applyBorder="1" applyAlignment="1">
      <alignment horizontal="center" vertical="center"/>
    </xf>
    <xf numFmtId="0" fontId="61" fillId="8" borderId="4" xfId="5" applyFont="1" applyFill="1" applyBorder="1" applyAlignment="1">
      <alignment horizontal="center" vertical="center"/>
    </xf>
    <xf numFmtId="0" fontId="57" fillId="2" borderId="38" xfId="5" applyFont="1" applyFill="1" applyBorder="1" applyAlignment="1">
      <alignment horizontal="center" vertical="center"/>
    </xf>
    <xf numFmtId="0" fontId="57" fillId="2" borderId="40" xfId="5" applyFont="1" applyFill="1" applyBorder="1" applyAlignment="1">
      <alignment horizontal="center" vertical="center"/>
    </xf>
    <xf numFmtId="0" fontId="60" fillId="0" borderId="57" xfId="5" applyFont="1" applyBorder="1" applyAlignment="1">
      <alignment horizontal="center" vertical="center"/>
    </xf>
    <xf numFmtId="0" fontId="60" fillId="0" borderId="18" xfId="5" applyFont="1" applyBorder="1" applyAlignment="1">
      <alignment horizontal="center" vertical="center"/>
    </xf>
    <xf numFmtId="0" fontId="52" fillId="26" borderId="1" xfId="1" applyFont="1" applyFill="1" applyBorder="1" applyAlignment="1">
      <alignment horizontal="center" vertical="center"/>
    </xf>
    <xf numFmtId="0" fontId="52" fillId="26" borderId="12" xfId="1" applyFont="1" applyFill="1" applyBorder="1" applyAlignment="1">
      <alignment horizontal="center" vertical="center"/>
    </xf>
    <xf numFmtId="0" fontId="52" fillId="26" borderId="38" xfId="1" applyFont="1" applyFill="1" applyBorder="1" applyAlignment="1">
      <alignment horizontal="center" vertical="center"/>
    </xf>
    <xf numFmtId="0" fontId="52" fillId="26" borderId="40" xfId="1" applyFont="1" applyFill="1" applyBorder="1" applyAlignment="1">
      <alignment horizontal="center" vertical="center"/>
    </xf>
    <xf numFmtId="0" fontId="52" fillId="26" borderId="59" xfId="1" applyFont="1" applyFill="1" applyBorder="1" applyAlignment="1">
      <alignment horizontal="center" vertical="center"/>
    </xf>
    <xf numFmtId="0" fontId="52" fillId="26" borderId="55" xfId="1" applyFont="1" applyFill="1" applyBorder="1" applyAlignment="1">
      <alignment horizontal="center" vertical="center"/>
    </xf>
    <xf numFmtId="0" fontId="52" fillId="26" borderId="57" xfId="1" applyFont="1" applyFill="1" applyBorder="1" applyAlignment="1">
      <alignment horizontal="center" vertical="center"/>
    </xf>
    <xf numFmtId="0" fontId="52" fillId="26" borderId="18" xfId="1" applyFont="1" applyFill="1" applyBorder="1" applyAlignment="1">
      <alignment horizontal="center" vertical="center"/>
    </xf>
    <xf numFmtId="0" fontId="52" fillId="26" borderId="60" xfId="1" applyFont="1" applyFill="1" applyBorder="1" applyAlignment="1">
      <alignment horizontal="center" vertical="center"/>
    </xf>
    <xf numFmtId="0" fontId="52" fillId="26" borderId="61" xfId="1" applyFont="1" applyFill="1" applyBorder="1" applyAlignment="1">
      <alignment horizontal="center" vertical="center"/>
    </xf>
    <xf numFmtId="0" fontId="53" fillId="23" borderId="57" xfId="5" applyFont="1" applyFill="1" applyBorder="1" applyAlignment="1">
      <alignment horizontal="center" vertical="center"/>
    </xf>
    <xf numFmtId="0" fontId="53" fillId="23" borderId="18" xfId="5" applyFont="1" applyFill="1" applyBorder="1" applyAlignment="1">
      <alignment horizontal="center" vertical="center"/>
    </xf>
    <xf numFmtId="0" fontId="60" fillId="8" borderId="60" xfId="5" applyFont="1" applyFill="1" applyBorder="1" applyAlignment="1">
      <alignment horizontal="center" vertical="center"/>
    </xf>
    <xf numFmtId="0" fontId="60" fillId="8" borderId="61" xfId="5" applyFont="1" applyFill="1" applyBorder="1" applyAlignment="1">
      <alignment horizontal="center" vertical="center"/>
    </xf>
    <xf numFmtId="0" fontId="60" fillId="23" borderId="57" xfId="5" applyFont="1" applyFill="1" applyBorder="1" applyAlignment="1">
      <alignment horizontal="center" vertical="center"/>
    </xf>
    <xf numFmtId="0" fontId="60" fillId="23" borderId="18" xfId="5" applyFont="1" applyFill="1" applyBorder="1" applyAlignment="1">
      <alignment horizontal="center" vertical="center"/>
    </xf>
    <xf numFmtId="0" fontId="60" fillId="8" borderId="59" xfId="5" applyFont="1" applyFill="1" applyBorder="1" applyAlignment="1">
      <alignment horizontal="center" vertical="center"/>
    </xf>
    <xf numFmtId="0" fontId="60" fillId="8" borderId="55" xfId="5" applyFont="1" applyFill="1" applyBorder="1" applyAlignment="1">
      <alignment horizontal="center" vertical="center"/>
    </xf>
    <xf numFmtId="0" fontId="60" fillId="24" borderId="57" xfId="5" applyFont="1" applyFill="1" applyBorder="1" applyAlignment="1">
      <alignment horizontal="center" vertical="center"/>
    </xf>
    <xf numFmtId="0" fontId="60" fillId="24" borderId="18" xfId="5" applyFont="1" applyFill="1" applyBorder="1" applyAlignment="1">
      <alignment horizontal="center" vertical="center"/>
    </xf>
    <xf numFmtId="0" fontId="129" fillId="2" borderId="1" xfId="2" applyFont="1" applyFill="1" applyBorder="1" applyAlignment="1">
      <alignment horizontal="center" vertical="center"/>
    </xf>
    <xf numFmtId="0" fontId="129" fillId="2" borderId="2" xfId="2" applyFont="1" applyFill="1" applyBorder="1" applyAlignment="1">
      <alignment horizontal="center" vertical="center"/>
    </xf>
    <xf numFmtId="0" fontId="129" fillId="2" borderId="12" xfId="2" applyFont="1" applyFill="1" applyBorder="1" applyAlignment="1">
      <alignment horizontal="center" vertical="center"/>
    </xf>
    <xf numFmtId="0" fontId="129" fillId="2" borderId="38" xfId="2" applyFont="1" applyFill="1" applyBorder="1" applyAlignment="1">
      <alignment horizontal="center" vertical="center"/>
    </xf>
    <xf numFmtId="0" fontId="129" fillId="2" borderId="39" xfId="2" applyFont="1" applyFill="1" applyBorder="1" applyAlignment="1">
      <alignment horizontal="center" vertical="center"/>
    </xf>
    <xf numFmtId="0" fontId="129" fillId="2" borderId="40" xfId="2" applyFont="1" applyFill="1" applyBorder="1" applyAlignment="1">
      <alignment horizontal="center" vertical="center"/>
    </xf>
    <xf numFmtId="0" fontId="129" fillId="3" borderId="37" xfId="2" applyFont="1" applyFill="1" applyBorder="1" applyAlignment="1">
      <alignment horizontal="center" vertical="center"/>
    </xf>
    <xf numFmtId="0" fontId="129" fillId="3" borderId="3" xfId="2" applyFont="1" applyFill="1" applyBorder="1" applyAlignment="1">
      <alignment horizontal="center" vertical="center"/>
    </xf>
    <xf numFmtId="0" fontId="129" fillId="3" borderId="4" xfId="2" applyFont="1" applyFill="1" applyBorder="1" applyAlignment="1">
      <alignment horizontal="center" vertical="center"/>
    </xf>
    <xf numFmtId="169" fontId="130" fillId="0" borderId="1" xfId="2" applyNumberFormat="1" applyFont="1" applyBorder="1" applyAlignment="1">
      <alignment horizontal="center" vertical="center"/>
    </xf>
    <xf numFmtId="169" fontId="130" fillId="0" borderId="2" xfId="2" applyNumberFormat="1" applyFont="1" applyBorder="1" applyAlignment="1">
      <alignment horizontal="center" vertical="center"/>
    </xf>
    <xf numFmtId="169" fontId="130" fillId="0" borderId="12" xfId="2" applyNumberFormat="1" applyFont="1" applyBorder="1" applyAlignment="1">
      <alignment horizontal="center" vertical="center"/>
    </xf>
    <xf numFmtId="169" fontId="130" fillId="0" borderId="38" xfId="2" applyNumberFormat="1" applyFont="1" applyBorder="1" applyAlignment="1">
      <alignment horizontal="center" vertical="center"/>
    </xf>
    <xf numFmtId="169" fontId="130" fillId="0" borderId="39" xfId="2" applyNumberFormat="1" applyFont="1" applyBorder="1" applyAlignment="1">
      <alignment horizontal="center" vertical="center"/>
    </xf>
    <xf numFmtId="169" fontId="130" fillId="0" borderId="40" xfId="2" applyNumberFormat="1" applyFont="1" applyBorder="1" applyAlignment="1">
      <alignment horizontal="center" vertical="center"/>
    </xf>
    <xf numFmtId="0" fontId="132" fillId="2" borderId="1" xfId="1" applyFont="1" applyFill="1" applyBorder="1" applyAlignment="1">
      <alignment horizontal="center" vertical="center" wrapText="1"/>
    </xf>
    <xf numFmtId="0" fontId="132" fillId="2" borderId="12" xfId="1" applyFont="1" applyFill="1" applyBorder="1" applyAlignment="1">
      <alignment horizontal="center" vertical="center" wrapText="1"/>
    </xf>
    <xf numFmtId="0" fontId="132" fillId="2" borderId="51" xfId="1" applyFont="1" applyFill="1" applyBorder="1" applyAlignment="1">
      <alignment horizontal="center" vertical="center" wrapText="1"/>
    </xf>
    <xf numFmtId="0" fontId="132" fillId="2" borderId="52" xfId="1" applyFont="1" applyFill="1" applyBorder="1" applyAlignment="1">
      <alignment horizontal="center" vertical="center" wrapText="1"/>
    </xf>
    <xf numFmtId="0" fontId="133" fillId="10" borderId="1" xfId="2" applyFont="1" applyFill="1" applyBorder="1" applyAlignment="1">
      <alignment horizontal="center" vertical="center"/>
    </xf>
    <xf numFmtId="0" fontId="133" fillId="10" borderId="2" xfId="2" applyFont="1" applyFill="1" applyBorder="1" applyAlignment="1">
      <alignment horizontal="center" vertical="center"/>
    </xf>
    <xf numFmtId="0" fontId="133" fillId="10" borderId="12" xfId="2" applyFont="1" applyFill="1" applyBorder="1" applyAlignment="1">
      <alignment horizontal="center" vertical="center"/>
    </xf>
    <xf numFmtId="0" fontId="133" fillId="10" borderId="51" xfId="2" applyFont="1" applyFill="1" applyBorder="1" applyAlignment="1">
      <alignment horizontal="center" vertical="center"/>
    </xf>
    <xf numFmtId="0" fontId="133" fillId="10" borderId="0" xfId="2" applyFont="1" applyFill="1" applyAlignment="1">
      <alignment horizontal="center" vertical="center"/>
    </xf>
    <xf numFmtId="0" fontId="133" fillId="10" borderId="52" xfId="2" applyFont="1" applyFill="1" applyBorder="1" applyAlignment="1">
      <alignment horizontal="center" vertical="center"/>
    </xf>
    <xf numFmtId="0" fontId="133" fillId="10" borderId="38" xfId="2" applyFont="1" applyFill="1" applyBorder="1" applyAlignment="1">
      <alignment horizontal="center" vertical="center"/>
    </xf>
    <xf numFmtId="0" fontId="133" fillId="10" borderId="39" xfId="2" applyFont="1" applyFill="1" applyBorder="1" applyAlignment="1">
      <alignment horizontal="center" vertical="center"/>
    </xf>
    <xf numFmtId="0" fontId="133" fillId="10" borderId="40" xfId="2" applyFont="1" applyFill="1" applyBorder="1" applyAlignment="1">
      <alignment horizontal="center" vertical="center"/>
    </xf>
    <xf numFmtId="0" fontId="136" fillId="7" borderId="41" xfId="2" applyFont="1" applyFill="1" applyBorder="1" applyAlignment="1">
      <alignment horizontal="center" vertical="center" wrapText="1"/>
    </xf>
    <xf numFmtId="0" fontId="136" fillId="7" borderId="50" xfId="2" applyFont="1" applyFill="1" applyBorder="1" applyAlignment="1">
      <alignment horizontal="center" vertical="center" wrapText="1"/>
    </xf>
    <xf numFmtId="0" fontId="136" fillId="7" borderId="37" xfId="2" applyFont="1" applyFill="1" applyBorder="1" applyAlignment="1">
      <alignment horizontal="center" vertical="center"/>
    </xf>
    <xf numFmtId="0" fontId="136" fillId="7" borderId="4" xfId="2" applyFont="1" applyFill="1" applyBorder="1" applyAlignment="1">
      <alignment horizontal="center" vertical="center"/>
    </xf>
    <xf numFmtId="0" fontId="123" fillId="7" borderId="37" xfId="2" applyFont="1" applyFill="1" applyBorder="1" applyAlignment="1">
      <alignment horizontal="center" vertical="center"/>
    </xf>
    <xf numFmtId="0" fontId="123" fillId="7" borderId="4" xfId="2" applyFont="1" applyFill="1" applyBorder="1" applyAlignment="1">
      <alignment horizontal="center" vertical="center"/>
    </xf>
    <xf numFmtId="0" fontId="132" fillId="10" borderId="1" xfId="1" applyFont="1" applyFill="1" applyBorder="1" applyAlignment="1">
      <alignment horizontal="center" vertical="center" wrapText="1"/>
    </xf>
    <xf numFmtId="0" fontId="132" fillId="10" borderId="12" xfId="1" applyFont="1" applyFill="1" applyBorder="1" applyAlignment="1">
      <alignment horizontal="center" vertical="center" wrapText="1"/>
    </xf>
    <xf numFmtId="0" fontId="132" fillId="10" borderId="51" xfId="1" applyFont="1" applyFill="1" applyBorder="1" applyAlignment="1">
      <alignment horizontal="center" vertical="center" wrapText="1"/>
    </xf>
    <xf numFmtId="0" fontId="132" fillId="10" borderId="52" xfId="1" applyFont="1" applyFill="1" applyBorder="1" applyAlignment="1">
      <alignment horizontal="center" vertical="center" wrapText="1"/>
    </xf>
    <xf numFmtId="0" fontId="128" fillId="2" borderId="59" xfId="5" applyFont="1" applyFill="1" applyBorder="1" applyAlignment="1">
      <alignment horizontal="center" vertical="center"/>
    </xf>
    <xf numFmtId="0" fontId="128" fillId="2" borderId="55" xfId="5" applyFont="1" applyFill="1" applyBorder="1" applyAlignment="1">
      <alignment horizontal="center" vertical="center"/>
    </xf>
    <xf numFmtId="171" fontId="124" fillId="2" borderId="70" xfId="1" applyNumberFormat="1" applyFont="1" applyFill="1" applyBorder="1" applyAlignment="1">
      <alignment horizontal="center" vertical="center" wrapText="1"/>
    </xf>
    <xf numFmtId="171" fontId="124" fillId="2" borderId="69" xfId="1" applyNumberFormat="1" applyFont="1" applyFill="1" applyBorder="1" applyAlignment="1">
      <alignment horizontal="center" vertical="center" wrapText="1"/>
    </xf>
    <xf numFmtId="0" fontId="124" fillId="2" borderId="33" xfId="1" applyFont="1" applyFill="1" applyBorder="1" applyAlignment="1">
      <alignment horizontal="center" vertical="center" wrapText="1"/>
    </xf>
    <xf numFmtId="0" fontId="124" fillId="2" borderId="34" xfId="1" applyFont="1" applyFill="1" applyBorder="1" applyAlignment="1">
      <alignment horizontal="center" vertical="center" wrapText="1"/>
    </xf>
    <xf numFmtId="0" fontId="139" fillId="7" borderId="57" xfId="2" applyFont="1" applyFill="1" applyBorder="1" applyAlignment="1">
      <alignment horizontal="center" vertical="center"/>
    </xf>
    <xf numFmtId="0" fontId="139" fillId="7" borderId="18" xfId="2" applyFont="1" applyFill="1" applyBorder="1" applyAlignment="1">
      <alignment horizontal="center" vertical="center"/>
    </xf>
    <xf numFmtId="0" fontId="125" fillId="8" borderId="20" xfId="5" applyFont="1" applyFill="1" applyBorder="1" applyAlignment="1">
      <alignment horizontal="center" vertical="center"/>
    </xf>
    <xf numFmtId="0" fontId="125" fillId="8" borderId="21" xfId="5" applyFont="1" applyFill="1" applyBorder="1" applyAlignment="1">
      <alignment horizontal="center" vertical="center"/>
    </xf>
    <xf numFmtId="0" fontId="125" fillId="8" borderId="57" xfId="5" applyFont="1" applyFill="1" applyBorder="1" applyAlignment="1">
      <alignment horizontal="center" vertical="center"/>
    </xf>
    <xf numFmtId="0" fontId="125" fillId="8" borderId="18" xfId="5" applyFont="1" applyFill="1" applyBorder="1" applyAlignment="1">
      <alignment horizontal="center" vertical="center"/>
    </xf>
    <xf numFmtId="0" fontId="125" fillId="8" borderId="60" xfId="5" applyFont="1" applyFill="1" applyBorder="1" applyAlignment="1">
      <alignment horizontal="center" vertical="center"/>
    </xf>
    <xf numFmtId="0" fontId="125" fillId="8" borderId="61" xfId="5" applyFont="1" applyFill="1" applyBorder="1" applyAlignment="1">
      <alignment horizontal="center" vertical="center"/>
    </xf>
    <xf numFmtId="0" fontId="124" fillId="2" borderId="68" xfId="1" applyFont="1" applyFill="1" applyBorder="1" applyAlignment="1">
      <alignment horizontal="center" vertical="center" wrapText="1"/>
    </xf>
    <xf numFmtId="0" fontId="124" fillId="2" borderId="69" xfId="1" applyFont="1" applyFill="1" applyBorder="1" applyAlignment="1">
      <alignment horizontal="center" vertical="center" wrapText="1"/>
    </xf>
    <xf numFmtId="0" fontId="142" fillId="8" borderId="59" xfId="5" applyFont="1" applyFill="1" applyBorder="1" applyAlignment="1">
      <alignment horizontal="center" vertical="center"/>
    </xf>
    <xf numFmtId="0" fontId="142" fillId="8" borderId="55" xfId="5" applyFont="1" applyFill="1" applyBorder="1" applyAlignment="1">
      <alignment horizontal="center" vertical="center"/>
    </xf>
    <xf numFmtId="0" fontId="60" fillId="41" borderId="57" xfId="5" applyFont="1" applyFill="1" applyBorder="1" applyAlignment="1">
      <alignment horizontal="center" vertical="center"/>
    </xf>
    <xf numFmtId="0" fontId="142" fillId="41" borderId="18" xfId="5" applyFont="1" applyFill="1" applyBorder="1" applyAlignment="1">
      <alignment horizontal="center" vertical="center"/>
    </xf>
    <xf numFmtId="0" fontId="142" fillId="8" borderId="57" xfId="5" applyFont="1" applyFill="1" applyBorder="1" applyAlignment="1">
      <alignment horizontal="center" vertical="center"/>
    </xf>
    <xf numFmtId="0" fontId="142" fillId="8" borderId="18" xfId="5" applyFont="1" applyFill="1" applyBorder="1" applyAlignment="1">
      <alignment horizontal="center" vertical="center"/>
    </xf>
    <xf numFmtId="0" fontId="142" fillId="8" borderId="60" xfId="5" applyFont="1" applyFill="1" applyBorder="1" applyAlignment="1">
      <alignment horizontal="center" vertical="center"/>
    </xf>
    <xf numFmtId="0" fontId="142" fillId="8" borderId="61" xfId="5" applyFont="1" applyFill="1" applyBorder="1" applyAlignment="1">
      <alignment horizontal="center" vertical="center"/>
    </xf>
    <xf numFmtId="171" fontId="124" fillId="2" borderId="37" xfId="1" applyNumberFormat="1" applyFont="1" applyFill="1" applyBorder="1" applyAlignment="1">
      <alignment horizontal="center" vertical="center" wrapText="1"/>
    </xf>
    <xf numFmtId="171" fontId="124" fillId="2" borderId="4" xfId="1" applyNumberFormat="1" applyFont="1" applyFill="1" applyBorder="1" applyAlignment="1">
      <alignment horizontal="center" vertical="center" wrapText="1"/>
    </xf>
    <xf numFmtId="0" fontId="124" fillId="2" borderId="59" xfId="1" applyFont="1" applyFill="1" applyBorder="1" applyAlignment="1">
      <alignment horizontal="center" vertical="center" wrapText="1"/>
    </xf>
    <xf numFmtId="0" fontId="124" fillId="2" borderId="55" xfId="1" applyFont="1" applyFill="1" applyBorder="1" applyAlignment="1">
      <alignment horizontal="center" vertical="center" wrapText="1"/>
    </xf>
    <xf numFmtId="0" fontId="124" fillId="2" borderId="58" xfId="1" applyFont="1" applyFill="1" applyBorder="1" applyAlignment="1">
      <alignment horizontal="center" vertical="center" wrapText="1"/>
    </xf>
    <xf numFmtId="0" fontId="124" fillId="2" borderId="43" xfId="1" applyFont="1" applyFill="1" applyBorder="1" applyAlignment="1">
      <alignment horizontal="center" vertical="center" wrapText="1"/>
    </xf>
    <xf numFmtId="0" fontId="128" fillId="2" borderId="57" xfId="5" applyFont="1" applyFill="1" applyBorder="1" applyAlignment="1">
      <alignment horizontal="center" vertical="center"/>
    </xf>
    <xf numFmtId="0" fontId="128" fillId="2" borderId="18" xfId="5" applyFont="1" applyFill="1" applyBorder="1" applyAlignment="1">
      <alignment horizontal="center" vertical="center"/>
    </xf>
    <xf numFmtId="0" fontId="123" fillId="2" borderId="59" xfId="5" applyFont="1" applyFill="1" applyBorder="1" applyAlignment="1">
      <alignment horizontal="center" vertical="center"/>
    </xf>
    <xf numFmtId="0" fontId="123" fillId="2" borderId="55" xfId="5" applyFont="1" applyFill="1" applyBorder="1" applyAlignment="1">
      <alignment horizontal="center" vertical="center"/>
    </xf>
    <xf numFmtId="0" fontId="128" fillId="2" borderId="10" xfId="5" applyFont="1" applyFill="1" applyBorder="1" applyAlignment="1">
      <alignment horizontal="center" vertical="center"/>
    </xf>
    <xf numFmtId="0" fontId="128" fillId="2" borderId="19" xfId="5" applyFont="1" applyFill="1" applyBorder="1" applyAlignment="1">
      <alignment horizontal="center" vertical="center"/>
    </xf>
    <xf numFmtId="0" fontId="123" fillId="2" borderId="44" xfId="2" applyFont="1" applyFill="1" applyBorder="1" applyAlignment="1">
      <alignment horizontal="center" vertical="center"/>
    </xf>
    <xf numFmtId="0" fontId="123" fillId="2" borderId="67" xfId="2" applyFont="1" applyFill="1" applyBorder="1" applyAlignment="1">
      <alignment horizontal="center" vertical="center"/>
    </xf>
    <xf numFmtId="0" fontId="123" fillId="2" borderId="57" xfId="2" applyFont="1" applyFill="1" applyBorder="1" applyAlignment="1">
      <alignment horizontal="center" vertical="center"/>
    </xf>
    <xf numFmtId="0" fontId="123" fillId="2" borderId="18" xfId="2" applyFont="1" applyFill="1" applyBorder="1" applyAlignment="1">
      <alignment horizontal="center" vertical="center"/>
    </xf>
    <xf numFmtId="0" fontId="123" fillId="2" borderId="23" xfId="5" applyFont="1" applyFill="1" applyBorder="1" applyAlignment="1">
      <alignment horizontal="center" vertical="center"/>
    </xf>
    <xf numFmtId="0" fontId="123" fillId="2" borderId="35" xfId="5" applyFont="1" applyFill="1" applyBorder="1" applyAlignment="1">
      <alignment horizontal="center" vertical="center"/>
    </xf>
    <xf numFmtId="165" fontId="132" fillId="10" borderId="51" xfId="1" applyNumberFormat="1" applyFont="1" applyFill="1" applyBorder="1" applyAlignment="1">
      <alignment horizontal="center" vertical="center"/>
    </xf>
    <xf numFmtId="165" fontId="132" fillId="10" borderId="52" xfId="1" applyNumberFormat="1" applyFont="1" applyFill="1" applyBorder="1" applyAlignment="1">
      <alignment horizontal="center" vertical="center"/>
    </xf>
    <xf numFmtId="165" fontId="132" fillId="10" borderId="38" xfId="1" applyNumberFormat="1" applyFont="1" applyFill="1" applyBorder="1" applyAlignment="1">
      <alignment horizontal="center" vertical="center"/>
    </xf>
    <xf numFmtId="165" fontId="132" fillId="10" borderId="40" xfId="1" applyNumberFormat="1" applyFont="1" applyFill="1" applyBorder="1" applyAlignment="1">
      <alignment horizontal="center" vertical="center"/>
    </xf>
    <xf numFmtId="0" fontId="132" fillId="10" borderId="51" xfId="1" applyFont="1" applyFill="1" applyBorder="1" applyAlignment="1">
      <alignment horizontal="center" vertical="center"/>
    </xf>
    <xf numFmtId="0" fontId="132" fillId="10" borderId="52" xfId="1" applyFont="1" applyFill="1" applyBorder="1" applyAlignment="1">
      <alignment horizontal="center" vertical="center"/>
    </xf>
    <xf numFmtId="0" fontId="132" fillId="10" borderId="38" xfId="1" applyFont="1" applyFill="1" applyBorder="1" applyAlignment="1">
      <alignment horizontal="center" vertical="center"/>
    </xf>
    <xf numFmtId="0" fontId="132" fillId="10" borderId="40" xfId="1" applyFont="1" applyFill="1" applyBorder="1" applyAlignment="1">
      <alignment horizontal="center" vertical="center"/>
    </xf>
    <xf numFmtId="0" fontId="136" fillId="7" borderId="3" xfId="2" applyFont="1" applyFill="1" applyBorder="1" applyAlignment="1">
      <alignment horizontal="center" vertical="center"/>
    </xf>
    <xf numFmtId="0" fontId="136" fillId="3" borderId="37" xfId="2" applyFont="1" applyFill="1" applyBorder="1" applyAlignment="1">
      <alignment horizontal="left" vertical="center"/>
    </xf>
    <xf numFmtId="0" fontId="136" fillId="3" borderId="3" xfId="2" applyFont="1" applyFill="1" applyBorder="1" applyAlignment="1">
      <alignment horizontal="left" vertical="center"/>
    </xf>
    <xf numFmtId="0" fontId="136" fillId="3" borderId="4" xfId="2" applyFont="1" applyFill="1" applyBorder="1" applyAlignment="1">
      <alignment horizontal="left" vertical="center"/>
    </xf>
    <xf numFmtId="0" fontId="136" fillId="7" borderId="1" xfId="2" applyFont="1" applyFill="1" applyBorder="1" applyAlignment="1">
      <alignment horizontal="center" vertical="center"/>
    </xf>
    <xf numFmtId="0" fontId="136" fillId="7" borderId="2" xfId="2" applyFont="1" applyFill="1" applyBorder="1" applyAlignment="1">
      <alignment horizontal="center" vertical="center"/>
    </xf>
    <xf numFmtId="0" fontId="136" fillId="7" borderId="38" xfId="2" applyFont="1" applyFill="1" applyBorder="1" applyAlignment="1">
      <alignment horizontal="center" vertical="center"/>
    </xf>
    <xf numFmtId="0" fontId="136" fillId="7" borderId="39" xfId="2" applyFont="1" applyFill="1" applyBorder="1" applyAlignment="1">
      <alignment horizontal="center" vertical="center"/>
    </xf>
    <xf numFmtId="1" fontId="136" fillId="7" borderId="2" xfId="2" applyNumberFormat="1" applyFont="1" applyFill="1" applyBorder="1" applyAlignment="1">
      <alignment horizontal="center" vertical="center"/>
    </xf>
    <xf numFmtId="1" fontId="136" fillId="7" borderId="39" xfId="2" applyNumberFormat="1" applyFont="1" applyFill="1" applyBorder="1" applyAlignment="1">
      <alignment horizontal="center" vertical="center"/>
    </xf>
    <xf numFmtId="1" fontId="136" fillId="7" borderId="12" xfId="2" applyNumberFormat="1" applyFont="1" applyFill="1" applyBorder="1" applyAlignment="1">
      <alignment horizontal="center" vertical="center"/>
    </xf>
    <xf numFmtId="1" fontId="136" fillId="7" borderId="40" xfId="2" applyNumberFormat="1" applyFont="1" applyFill="1" applyBorder="1" applyAlignment="1">
      <alignment horizontal="center" vertical="center"/>
    </xf>
    <xf numFmtId="166" fontId="132" fillId="4" borderId="59" xfId="2" applyNumberFormat="1" applyFont="1" applyFill="1" applyBorder="1" applyAlignment="1">
      <alignment horizontal="center" vertical="center"/>
    </xf>
    <xf numFmtId="166" fontId="132" fillId="4" borderId="54" xfId="2" applyNumberFormat="1" applyFont="1" applyFill="1" applyBorder="1" applyAlignment="1">
      <alignment horizontal="center" vertical="center"/>
    </xf>
    <xf numFmtId="166" fontId="132" fillId="4" borderId="55" xfId="2" applyNumberFormat="1" applyFont="1" applyFill="1" applyBorder="1" applyAlignment="1">
      <alignment horizontal="center" vertical="center"/>
    </xf>
    <xf numFmtId="0" fontId="146" fillId="10" borderId="51" xfId="1" applyFont="1" applyFill="1" applyBorder="1" applyAlignment="1">
      <alignment horizontal="center" vertical="center"/>
    </xf>
    <xf numFmtId="0" fontId="146" fillId="10" borderId="52" xfId="1" applyFont="1" applyFill="1" applyBorder="1" applyAlignment="1">
      <alignment horizontal="center" vertical="center"/>
    </xf>
    <xf numFmtId="0" fontId="146" fillId="10" borderId="38" xfId="1" applyFont="1" applyFill="1" applyBorder="1" applyAlignment="1">
      <alignment horizontal="center" vertical="center"/>
    </xf>
    <xf numFmtId="0" fontId="146" fillId="10" borderId="40" xfId="1" applyFont="1" applyFill="1" applyBorder="1" applyAlignment="1">
      <alignment horizontal="center" vertical="center"/>
    </xf>
    <xf numFmtId="0" fontId="146" fillId="10" borderId="51" xfId="1" applyFont="1" applyFill="1" applyBorder="1" applyAlignment="1">
      <alignment horizontal="center" vertical="center" wrapText="1"/>
    </xf>
    <xf numFmtId="0" fontId="146" fillId="10" borderId="52" xfId="1" applyFont="1" applyFill="1" applyBorder="1" applyAlignment="1">
      <alignment horizontal="center" vertical="center" wrapText="1"/>
    </xf>
    <xf numFmtId="0" fontId="146" fillId="10" borderId="38" xfId="1" applyFont="1" applyFill="1" applyBorder="1" applyAlignment="1">
      <alignment horizontal="center" vertical="center" wrapText="1"/>
    </xf>
    <xf numFmtId="0" fontId="146" fillId="10" borderId="40" xfId="1" applyFont="1" applyFill="1" applyBorder="1" applyAlignment="1">
      <alignment horizontal="center" vertical="center" wrapText="1"/>
    </xf>
    <xf numFmtId="0" fontId="136" fillId="43" borderId="41" xfId="1" applyFont="1" applyFill="1" applyBorder="1" applyAlignment="1">
      <alignment horizontal="center" vertical="center"/>
    </xf>
    <xf numFmtId="0" fontId="136" fillId="43" borderId="50" xfId="1" applyFont="1" applyFill="1" applyBorder="1" applyAlignment="1">
      <alignment horizontal="center" vertical="center"/>
    </xf>
    <xf numFmtId="0" fontId="136" fillId="43" borderId="1" xfId="1" applyFont="1" applyFill="1" applyBorder="1" applyAlignment="1">
      <alignment horizontal="center" vertical="center"/>
    </xf>
    <xf numFmtId="0" fontId="136" fillId="43" borderId="12" xfId="1" applyFont="1" applyFill="1" applyBorder="1" applyAlignment="1">
      <alignment horizontal="center" vertical="center"/>
    </xf>
    <xf numFmtId="0" fontId="136" fillId="43" borderId="38" xfId="1" applyFont="1" applyFill="1" applyBorder="1" applyAlignment="1">
      <alignment horizontal="center" vertical="center"/>
    </xf>
    <xf numFmtId="0" fontId="136" fillId="43" borderId="40" xfId="1" applyFont="1" applyFill="1" applyBorder="1" applyAlignment="1">
      <alignment horizontal="center" vertical="center"/>
    </xf>
    <xf numFmtId="0" fontId="122" fillId="4" borderId="1" xfId="2" applyFont="1" applyFill="1" applyBorder="1" applyAlignment="1">
      <alignment horizontal="center" vertical="center"/>
    </xf>
    <xf numFmtId="0" fontId="122" fillId="4" borderId="2" xfId="2" applyFont="1" applyFill="1" applyBorder="1" applyAlignment="1">
      <alignment horizontal="center" vertical="center"/>
    </xf>
    <xf numFmtId="0" fontId="122" fillId="4" borderId="12" xfId="2" applyFont="1" applyFill="1" applyBorder="1" applyAlignment="1">
      <alignment horizontal="center" vertical="center"/>
    </xf>
    <xf numFmtId="0" fontId="122" fillId="4" borderId="51" xfId="2" applyFont="1" applyFill="1" applyBorder="1" applyAlignment="1">
      <alignment horizontal="center" vertical="center"/>
    </xf>
    <xf numFmtId="0" fontId="122" fillId="4" borderId="0" xfId="2" applyFont="1" applyFill="1" applyAlignment="1">
      <alignment horizontal="center" vertical="center"/>
    </xf>
    <xf numFmtId="0" fontId="122" fillId="4" borderId="52" xfId="2" applyFont="1" applyFill="1" applyBorder="1" applyAlignment="1">
      <alignment horizontal="center" vertical="center"/>
    </xf>
    <xf numFmtId="0" fontId="122" fillId="4" borderId="38" xfId="2" applyFont="1" applyFill="1" applyBorder="1" applyAlignment="1">
      <alignment horizontal="center" vertical="center"/>
    </xf>
    <xf numFmtId="0" fontId="122" fillId="4" borderId="39" xfId="2" applyFont="1" applyFill="1" applyBorder="1" applyAlignment="1">
      <alignment horizontal="center" vertical="center"/>
    </xf>
    <xf numFmtId="0" fontId="122" fillId="4" borderId="40" xfId="2" applyFont="1" applyFill="1" applyBorder="1" applyAlignment="1">
      <alignment horizontal="center" vertical="center"/>
    </xf>
    <xf numFmtId="0" fontId="147" fillId="4" borderId="57" xfId="2" applyFont="1" applyFill="1" applyBorder="1" applyAlignment="1">
      <alignment horizontal="center" vertical="center"/>
    </xf>
    <xf numFmtId="0" fontId="132" fillId="4" borderId="19" xfId="2" applyFont="1" applyFill="1" applyBorder="1" applyAlignment="1">
      <alignment horizontal="center" vertical="center"/>
    </xf>
    <xf numFmtId="0" fontId="132" fillId="4" borderId="18" xfId="2" applyFont="1" applyFill="1" applyBorder="1" applyAlignment="1">
      <alignment horizontal="center" vertical="center"/>
    </xf>
    <xf numFmtId="0" fontId="147" fillId="4" borderId="38" xfId="2" applyFont="1" applyFill="1" applyBorder="1" applyAlignment="1">
      <alignment horizontal="center" vertical="center"/>
    </xf>
    <xf numFmtId="0" fontId="132" fillId="4" borderId="39" xfId="2" applyFont="1" applyFill="1" applyBorder="1" applyAlignment="1">
      <alignment horizontal="center" vertical="center"/>
    </xf>
    <xf numFmtId="0" fontId="132" fillId="4" borderId="40" xfId="2" applyFont="1" applyFill="1" applyBorder="1" applyAlignment="1">
      <alignment horizontal="center" vertical="center"/>
    </xf>
    <xf numFmtId="0" fontId="136" fillId="43" borderId="59" xfId="1" applyFont="1" applyFill="1" applyBorder="1" applyAlignment="1">
      <alignment horizontal="center" vertical="center"/>
    </xf>
    <xf numFmtId="0" fontId="136" fillId="43" borderId="55" xfId="1" applyFont="1" applyFill="1" applyBorder="1" applyAlignment="1">
      <alignment horizontal="center" vertical="center"/>
    </xf>
    <xf numFmtId="166" fontId="136" fillId="27" borderId="1" xfId="2" applyNumberFormat="1" applyFont="1" applyFill="1" applyBorder="1" applyAlignment="1">
      <alignment horizontal="center" vertical="center"/>
    </xf>
    <xf numFmtId="166" fontId="136" fillId="27" borderId="2" xfId="2" applyNumberFormat="1" applyFont="1" applyFill="1" applyBorder="1" applyAlignment="1">
      <alignment horizontal="center" vertical="center"/>
    </xf>
    <xf numFmtId="166" fontId="136" fillId="27" borderId="12" xfId="2" applyNumberFormat="1" applyFont="1" applyFill="1" applyBorder="1" applyAlignment="1">
      <alignment horizontal="center" vertical="center"/>
    </xf>
    <xf numFmtId="0" fontId="136" fillId="43" borderId="57" xfId="1" applyFont="1" applyFill="1" applyBorder="1" applyAlignment="1">
      <alignment horizontal="center" vertical="center"/>
    </xf>
    <xf numFmtId="0" fontId="136" fillId="43" borderId="18" xfId="1" applyFont="1" applyFill="1" applyBorder="1" applyAlignment="1">
      <alignment horizontal="center" vertical="center"/>
    </xf>
    <xf numFmtId="0" fontId="124" fillId="4" borderId="1" xfId="2" applyFont="1" applyFill="1" applyBorder="1" applyAlignment="1">
      <alignment horizontal="center" vertical="center"/>
    </xf>
    <xf numFmtId="0" fontId="124" fillId="4" borderId="2" xfId="2" applyFont="1" applyFill="1" applyBorder="1" applyAlignment="1">
      <alignment horizontal="center" vertical="center"/>
    </xf>
    <xf numFmtId="0" fontId="124" fillId="4" borderId="12" xfId="2" applyFont="1" applyFill="1" applyBorder="1" applyAlignment="1">
      <alignment horizontal="center" vertical="center"/>
    </xf>
    <xf numFmtId="0" fontId="124" fillId="4" borderId="38" xfId="2" applyFont="1" applyFill="1" applyBorder="1" applyAlignment="1">
      <alignment horizontal="center" vertical="center"/>
    </xf>
    <xf numFmtId="0" fontId="124" fillId="4" borderId="39" xfId="2" applyFont="1" applyFill="1" applyBorder="1" applyAlignment="1">
      <alignment horizontal="center" vertical="center"/>
    </xf>
    <xf numFmtId="0" fontId="124" fillId="4" borderId="40" xfId="2" applyFont="1" applyFill="1" applyBorder="1" applyAlignment="1">
      <alignment horizontal="center" vertical="center"/>
    </xf>
    <xf numFmtId="0" fontId="123" fillId="7" borderId="1" xfId="2" applyFont="1" applyFill="1" applyBorder="1" applyAlignment="1">
      <alignment horizontal="center" vertical="center" wrapText="1"/>
    </xf>
    <xf numFmtId="0" fontId="123" fillId="7" borderId="2" xfId="2" applyFont="1" applyFill="1" applyBorder="1" applyAlignment="1">
      <alignment horizontal="center" vertical="center" wrapText="1"/>
    </xf>
    <xf numFmtId="0" fontId="123" fillId="7" borderId="12" xfId="2" applyFont="1" applyFill="1" applyBorder="1" applyAlignment="1">
      <alignment horizontal="center" vertical="center" wrapText="1"/>
    </xf>
    <xf numFmtId="0" fontId="123" fillId="7" borderId="51" xfId="2" applyFont="1" applyFill="1" applyBorder="1" applyAlignment="1">
      <alignment horizontal="center" vertical="center" wrapText="1"/>
    </xf>
    <xf numFmtId="0" fontId="123" fillId="7" borderId="0" xfId="2" applyFont="1" applyFill="1" applyAlignment="1">
      <alignment horizontal="center" vertical="center" wrapText="1"/>
    </xf>
    <xf numFmtId="0" fontId="123" fillId="7" borderId="52" xfId="2" applyFont="1" applyFill="1" applyBorder="1" applyAlignment="1">
      <alignment horizontal="center" vertical="center" wrapText="1"/>
    </xf>
    <xf numFmtId="0" fontId="123" fillId="7" borderId="38" xfId="2" applyFont="1" applyFill="1" applyBorder="1" applyAlignment="1">
      <alignment horizontal="center" vertical="center" wrapText="1"/>
    </xf>
    <xf numFmtId="0" fontId="123" fillId="7" borderId="39" xfId="2" applyFont="1" applyFill="1" applyBorder="1" applyAlignment="1">
      <alignment horizontal="center" vertical="center" wrapText="1"/>
    </xf>
    <xf numFmtId="0" fontId="123" fillId="7" borderId="40" xfId="2" applyFont="1" applyFill="1" applyBorder="1" applyAlignment="1">
      <alignment horizontal="center" vertical="center" wrapText="1"/>
    </xf>
    <xf numFmtId="0" fontId="129" fillId="10" borderId="1" xfId="2" applyFont="1" applyFill="1" applyBorder="1" applyAlignment="1">
      <alignment horizontal="center" vertical="center" wrapText="1"/>
    </xf>
    <xf numFmtId="0" fontId="129" fillId="10" borderId="2" xfId="2" applyFont="1" applyFill="1" applyBorder="1" applyAlignment="1">
      <alignment horizontal="center" vertical="center" wrapText="1"/>
    </xf>
    <xf numFmtId="0" fontId="129" fillId="10" borderId="12" xfId="2" applyFont="1" applyFill="1" applyBorder="1" applyAlignment="1">
      <alignment horizontal="center" vertical="center" wrapText="1"/>
    </xf>
    <xf numFmtId="0" fontId="129" fillId="10" borderId="51" xfId="2" applyFont="1" applyFill="1" applyBorder="1" applyAlignment="1">
      <alignment horizontal="center" vertical="center" wrapText="1"/>
    </xf>
    <xf numFmtId="0" fontId="129" fillId="10" borderId="0" xfId="2" applyFont="1" applyFill="1" applyAlignment="1">
      <alignment horizontal="center" vertical="center" wrapText="1"/>
    </xf>
    <xf numFmtId="0" fontId="129" fillId="10" borderId="52" xfId="2" applyFont="1" applyFill="1" applyBorder="1" applyAlignment="1">
      <alignment horizontal="center" vertical="center" wrapText="1"/>
    </xf>
    <xf numFmtId="0" fontId="129" fillId="10" borderId="38" xfId="2" applyFont="1" applyFill="1" applyBorder="1" applyAlignment="1">
      <alignment horizontal="center" vertical="center" wrapText="1"/>
    </xf>
    <xf numFmtId="0" fontId="129" fillId="10" borderId="39" xfId="2" applyFont="1" applyFill="1" applyBorder="1" applyAlignment="1">
      <alignment horizontal="center" vertical="center" wrapText="1"/>
    </xf>
    <xf numFmtId="0" fontId="129" fillId="10" borderId="40" xfId="2" applyFont="1" applyFill="1" applyBorder="1" applyAlignment="1">
      <alignment horizontal="center" vertical="center" wrapText="1"/>
    </xf>
    <xf numFmtId="0" fontId="124" fillId="4" borderId="51" xfId="2" applyFont="1" applyFill="1" applyBorder="1" applyAlignment="1">
      <alignment horizontal="center" vertical="center" wrapText="1"/>
    </xf>
    <xf numFmtId="0" fontId="124" fillId="4" borderId="0" xfId="2" applyFont="1" applyFill="1" applyAlignment="1">
      <alignment horizontal="center" vertical="center" wrapText="1"/>
    </xf>
    <xf numFmtId="0" fontId="124" fillId="4" borderId="52" xfId="2" applyFont="1" applyFill="1" applyBorder="1" applyAlignment="1">
      <alignment horizontal="center" vertical="center" wrapText="1"/>
    </xf>
    <xf numFmtId="0" fontId="124" fillId="4" borderId="38" xfId="2" applyFont="1" applyFill="1" applyBorder="1" applyAlignment="1">
      <alignment horizontal="center" vertical="center" wrapText="1"/>
    </xf>
    <xf numFmtId="0" fontId="124" fillId="4" borderId="39" xfId="2" applyFont="1" applyFill="1" applyBorder="1" applyAlignment="1">
      <alignment horizontal="center" vertical="center" wrapText="1"/>
    </xf>
    <xf numFmtId="0" fontId="124" fillId="4" borderId="40" xfId="2" applyFont="1" applyFill="1" applyBorder="1" applyAlignment="1">
      <alignment horizontal="center" vertical="center" wrapText="1"/>
    </xf>
    <xf numFmtId="0" fontId="136" fillId="43" borderId="60" xfId="1" applyFont="1" applyFill="1" applyBorder="1" applyAlignment="1">
      <alignment horizontal="center" vertical="center"/>
    </xf>
    <xf numFmtId="0" fontId="136" fillId="43" borderId="61" xfId="1" applyFont="1" applyFill="1" applyBorder="1" applyAlignment="1">
      <alignment horizontal="center" vertical="center"/>
    </xf>
    <xf numFmtId="0" fontId="128" fillId="7" borderId="51" xfId="2" applyFont="1" applyFill="1" applyBorder="1" applyAlignment="1">
      <alignment horizontal="center" vertical="center" wrapText="1"/>
    </xf>
    <xf numFmtId="0" fontId="128" fillId="7" borderId="0" xfId="2" applyFont="1" applyFill="1" applyAlignment="1">
      <alignment horizontal="center" vertical="center" wrapText="1"/>
    </xf>
    <xf numFmtId="0" fontId="128" fillId="7" borderId="52" xfId="2" applyFont="1" applyFill="1" applyBorder="1" applyAlignment="1">
      <alignment horizontal="center" vertical="center" wrapText="1"/>
    </xf>
    <xf numFmtId="0" fontId="128" fillId="7" borderId="38" xfId="2" applyFont="1" applyFill="1" applyBorder="1" applyAlignment="1">
      <alignment horizontal="center" vertical="center" wrapText="1"/>
    </xf>
    <xf numFmtId="0" fontId="128" fillId="7" borderId="39" xfId="2" applyFont="1" applyFill="1" applyBorder="1" applyAlignment="1">
      <alignment horizontal="center" vertical="center" wrapText="1"/>
    </xf>
    <xf numFmtId="0" fontId="128" fillId="7" borderId="40" xfId="2" applyFont="1" applyFill="1" applyBorder="1" applyAlignment="1">
      <alignment horizontal="center" vertical="center" wrapText="1"/>
    </xf>
    <xf numFmtId="0" fontId="129" fillId="10" borderId="1" xfId="2" applyFont="1" applyFill="1" applyBorder="1" applyAlignment="1">
      <alignment horizontal="center" vertical="center"/>
    </xf>
    <xf numFmtId="0" fontId="129" fillId="10" borderId="2" xfId="2" applyFont="1" applyFill="1" applyBorder="1" applyAlignment="1">
      <alignment horizontal="center" vertical="center"/>
    </xf>
    <xf numFmtId="0" fontId="129" fillId="10" borderId="51" xfId="2" applyFont="1" applyFill="1" applyBorder="1" applyAlignment="1">
      <alignment horizontal="center" vertical="center"/>
    </xf>
    <xf numFmtId="0" fontId="129" fillId="10" borderId="0" xfId="2" applyFont="1" applyFill="1" applyAlignment="1">
      <alignment horizontal="center" vertical="center"/>
    </xf>
    <xf numFmtId="0" fontId="129" fillId="10" borderId="38" xfId="2" applyFont="1" applyFill="1" applyBorder="1" applyAlignment="1">
      <alignment horizontal="center" vertical="center"/>
    </xf>
    <xf numFmtId="0" fontId="129" fillId="10" borderId="39" xfId="2" applyFont="1" applyFill="1" applyBorder="1" applyAlignment="1">
      <alignment horizontal="center" vertical="center"/>
    </xf>
    <xf numFmtId="3" fontId="129" fillId="10" borderId="2" xfId="2" applyNumberFormat="1" applyFont="1" applyFill="1" applyBorder="1" applyAlignment="1">
      <alignment horizontal="center" vertical="center"/>
    </xf>
    <xf numFmtId="3" fontId="129" fillId="10" borderId="12" xfId="2" applyNumberFormat="1" applyFont="1" applyFill="1" applyBorder="1" applyAlignment="1">
      <alignment horizontal="center" vertical="center"/>
    </xf>
    <xf numFmtId="3" fontId="129" fillId="10" borderId="0" xfId="2" applyNumberFormat="1" applyFont="1" applyFill="1" applyAlignment="1">
      <alignment horizontal="center" vertical="center"/>
    </xf>
    <xf numFmtId="3" fontId="129" fillId="10" borderId="52" xfId="2" applyNumberFormat="1" applyFont="1" applyFill="1" applyBorder="1" applyAlignment="1">
      <alignment horizontal="center" vertical="center"/>
    </xf>
    <xf numFmtId="3" fontId="129" fillId="10" borderId="39" xfId="2" applyNumberFormat="1" applyFont="1" applyFill="1" applyBorder="1" applyAlignment="1">
      <alignment horizontal="center" vertical="center"/>
    </xf>
    <xf numFmtId="3" fontId="129" fillId="10" borderId="40" xfId="2" applyNumberFormat="1" applyFont="1" applyFill="1" applyBorder="1" applyAlignment="1">
      <alignment horizontal="center" vertical="center"/>
    </xf>
    <xf numFmtId="0" fontId="124" fillId="4" borderId="1" xfId="2" applyFont="1" applyFill="1" applyBorder="1" applyAlignment="1">
      <alignment horizontal="center" vertical="center" wrapText="1"/>
    </xf>
    <xf numFmtId="0" fontId="124" fillId="4" borderId="2" xfId="2" applyFont="1" applyFill="1" applyBorder="1" applyAlignment="1">
      <alignment horizontal="center" vertical="center" wrapText="1"/>
    </xf>
    <xf numFmtId="0" fontId="124" fillId="4" borderId="12" xfId="2" applyFont="1" applyFill="1" applyBorder="1" applyAlignment="1">
      <alignment horizontal="center" vertical="center" wrapText="1"/>
    </xf>
    <xf numFmtId="0" fontId="132" fillId="4" borderId="37" xfId="2" applyFont="1" applyFill="1" applyBorder="1" applyAlignment="1">
      <alignment horizontal="center" vertical="center"/>
    </xf>
    <xf numFmtId="0" fontId="132" fillId="4" borderId="3" xfId="2" applyFont="1" applyFill="1" applyBorder="1" applyAlignment="1">
      <alignment horizontal="center" vertical="center"/>
    </xf>
    <xf numFmtId="0" fontId="132" fillId="4" borderId="4" xfId="2" applyFont="1" applyFill="1" applyBorder="1" applyAlignment="1">
      <alignment horizontal="center" vertical="center"/>
    </xf>
    <xf numFmtId="0" fontId="125" fillId="8" borderId="19" xfId="5" applyFont="1" applyFill="1" applyBorder="1" applyAlignment="1">
      <alignment horizontal="center" vertical="center"/>
    </xf>
    <xf numFmtId="171" fontId="124" fillId="2" borderId="59" xfId="1" applyNumberFormat="1" applyFont="1" applyFill="1" applyBorder="1" applyAlignment="1">
      <alignment horizontal="center" vertical="center" wrapText="1"/>
    </xf>
    <xf numFmtId="171" fontId="124" fillId="2" borderId="55" xfId="1" applyNumberFormat="1" applyFont="1" applyFill="1" applyBorder="1" applyAlignment="1">
      <alignment horizontal="center" vertical="center" wrapText="1"/>
    </xf>
    <xf numFmtId="171" fontId="124" fillId="2" borderId="1" xfId="1" applyNumberFormat="1" applyFont="1" applyFill="1" applyBorder="1" applyAlignment="1">
      <alignment horizontal="center" vertical="center" wrapText="1"/>
    </xf>
    <xf numFmtId="171" fontId="124" fillId="2" borderId="12" xfId="1" applyNumberFormat="1" applyFont="1" applyFill="1" applyBorder="1" applyAlignment="1">
      <alignment horizontal="center" vertical="center" wrapText="1"/>
    </xf>
    <xf numFmtId="0" fontId="124" fillId="2" borderId="1" xfId="1" applyFont="1" applyFill="1" applyBorder="1" applyAlignment="1">
      <alignment horizontal="center" vertical="center" wrapText="1"/>
    </xf>
    <xf numFmtId="0" fontId="124" fillId="2" borderId="12" xfId="1" applyFont="1" applyFill="1" applyBorder="1" applyAlignment="1">
      <alignment horizontal="center" vertical="center" wrapText="1"/>
    </xf>
    <xf numFmtId="0" fontId="124" fillId="2" borderId="37" xfId="1" applyFont="1" applyFill="1" applyBorder="1" applyAlignment="1">
      <alignment horizontal="center" vertical="center" wrapText="1"/>
    </xf>
    <xf numFmtId="0" fontId="124" fillId="2" borderId="4" xfId="1" applyFont="1" applyFill="1" applyBorder="1" applyAlignment="1">
      <alignment horizontal="center" vertical="center" wrapText="1"/>
    </xf>
    <xf numFmtId="0" fontId="125" fillId="8" borderId="59" xfId="5" applyFont="1" applyFill="1" applyBorder="1" applyAlignment="1">
      <alignment horizontal="center" vertical="center"/>
    </xf>
    <xf numFmtId="0" fontId="125" fillId="8" borderId="55" xfId="5" applyFont="1" applyFill="1" applyBorder="1" applyAlignment="1">
      <alignment horizontal="center" vertical="center"/>
    </xf>
    <xf numFmtId="0" fontId="125" fillId="8" borderId="45" xfId="5" applyFont="1" applyFill="1" applyBorder="1" applyAlignment="1">
      <alignment horizontal="center" vertical="center"/>
    </xf>
    <xf numFmtId="0" fontId="125" fillId="8" borderId="62" xfId="5" applyFont="1" applyFill="1" applyBorder="1" applyAlignment="1">
      <alignment horizontal="center" vertical="center"/>
    </xf>
    <xf numFmtId="0" fontId="123" fillId="2" borderId="57" xfId="5" applyFont="1" applyFill="1" applyBorder="1" applyAlignment="1">
      <alignment horizontal="center" vertical="center"/>
    </xf>
    <xf numFmtId="0" fontId="123" fillId="2" borderId="18" xfId="5" applyFont="1" applyFill="1" applyBorder="1" applyAlignment="1">
      <alignment horizontal="center" vertical="center"/>
    </xf>
    <xf numFmtId="0" fontId="128" fillId="2" borderId="45" xfId="5" applyFont="1" applyFill="1" applyBorder="1" applyAlignment="1">
      <alignment horizontal="center" vertical="center"/>
    </xf>
    <xf numFmtId="0" fontId="128" fillId="2" borderId="62" xfId="5" applyFont="1" applyFill="1" applyBorder="1" applyAlignment="1">
      <alignment horizontal="center" vertical="center"/>
    </xf>
    <xf numFmtId="0" fontId="128" fillId="2" borderId="60" xfId="5" applyFont="1" applyFill="1" applyBorder="1" applyAlignment="1">
      <alignment horizontal="center" vertical="center"/>
    </xf>
    <xf numFmtId="0" fontId="128" fillId="2" borderId="61" xfId="5" applyFont="1" applyFill="1" applyBorder="1" applyAlignment="1">
      <alignment horizontal="center" vertical="center"/>
    </xf>
    <xf numFmtId="165" fontId="132" fillId="10" borderId="1" xfId="1" applyNumberFormat="1" applyFont="1" applyFill="1" applyBorder="1" applyAlignment="1">
      <alignment horizontal="center" vertical="center"/>
    </xf>
    <xf numFmtId="165" fontId="132" fillId="10" borderId="12" xfId="1" applyNumberFormat="1" applyFont="1" applyFill="1" applyBorder="1" applyAlignment="1">
      <alignment horizontal="center" vertical="center"/>
    </xf>
    <xf numFmtId="0" fontId="132" fillId="10" borderId="1" xfId="1" applyFont="1" applyFill="1" applyBorder="1" applyAlignment="1">
      <alignment horizontal="center" vertical="center"/>
    </xf>
    <xf numFmtId="0" fontId="132" fillId="10" borderId="12" xfId="1" applyFont="1" applyFill="1" applyBorder="1" applyAlignment="1">
      <alignment horizontal="center" vertical="center"/>
    </xf>
    <xf numFmtId="0" fontId="136" fillId="43" borderId="51" xfId="1" applyFont="1" applyFill="1" applyBorder="1" applyAlignment="1">
      <alignment horizontal="center" vertical="center"/>
    </xf>
    <xf numFmtId="0" fontId="136" fillId="43" borderId="52" xfId="1" applyFont="1" applyFill="1" applyBorder="1" applyAlignment="1">
      <alignment horizontal="center" vertical="center"/>
    </xf>
    <xf numFmtId="0" fontId="136" fillId="43" borderId="30" xfId="1" applyFont="1" applyFill="1" applyBorder="1" applyAlignment="1">
      <alignment horizontal="center" vertical="center"/>
    </xf>
    <xf numFmtId="0" fontId="136" fillId="43" borderId="34" xfId="1" applyFont="1" applyFill="1" applyBorder="1" applyAlignment="1">
      <alignment horizontal="center" vertical="center"/>
    </xf>
    <xf numFmtId="0" fontId="136" fillId="43" borderId="48" xfId="1" applyFont="1" applyFill="1" applyBorder="1" applyAlignment="1">
      <alignment horizontal="center" vertical="center"/>
    </xf>
    <xf numFmtId="0" fontId="136" fillId="43" borderId="49" xfId="1" applyFont="1" applyFill="1" applyBorder="1" applyAlignment="1">
      <alignment horizontal="center" vertical="center"/>
    </xf>
    <xf numFmtId="0" fontId="136" fillId="43" borderId="24" xfId="1" applyFont="1" applyFill="1" applyBorder="1" applyAlignment="1">
      <alignment horizontal="center" vertical="center"/>
    </xf>
    <xf numFmtId="0" fontId="136" fillId="43" borderId="36" xfId="1" applyFont="1" applyFill="1" applyBorder="1" applyAlignment="1">
      <alignment horizontal="center" vertical="center"/>
    </xf>
    <xf numFmtId="0" fontId="136" fillId="2" borderId="1" xfId="2" applyFont="1" applyFill="1" applyBorder="1" applyAlignment="1">
      <alignment horizontal="center" vertical="center"/>
    </xf>
    <xf numFmtId="0" fontId="136" fillId="2" borderId="2" xfId="2" applyFont="1" applyFill="1" applyBorder="1" applyAlignment="1">
      <alignment horizontal="center" vertical="center"/>
    </xf>
    <xf numFmtId="0" fontId="136" fillId="2" borderId="12" xfId="2" applyFont="1" applyFill="1" applyBorder="1" applyAlignment="1">
      <alignment horizontal="center" vertical="center"/>
    </xf>
    <xf numFmtId="0" fontId="136" fillId="2" borderId="38" xfId="2" applyFont="1" applyFill="1" applyBorder="1" applyAlignment="1">
      <alignment horizontal="center" vertical="center"/>
    </xf>
    <xf numFmtId="0" fontId="136" fillId="2" borderId="39" xfId="2" applyFont="1" applyFill="1" applyBorder="1" applyAlignment="1">
      <alignment horizontal="center" vertical="center"/>
    </xf>
    <xf numFmtId="0" fontId="136" fillId="2" borderId="40" xfId="2" applyFont="1" applyFill="1" applyBorder="1" applyAlignment="1">
      <alignment horizontal="center" vertical="center"/>
    </xf>
    <xf numFmtId="0" fontId="136" fillId="3" borderId="37" xfId="2" applyFont="1" applyFill="1" applyBorder="1" applyAlignment="1">
      <alignment horizontal="center" vertical="center"/>
    </xf>
    <xf numFmtId="0" fontId="136" fillId="3" borderId="3" xfId="2" applyFont="1" applyFill="1" applyBorder="1" applyAlignment="1">
      <alignment horizontal="center" vertical="center"/>
    </xf>
    <xf numFmtId="0" fontId="136" fillId="3" borderId="4" xfId="2" applyFont="1" applyFill="1" applyBorder="1" applyAlignment="1">
      <alignment horizontal="center" vertical="center"/>
    </xf>
    <xf numFmtId="0" fontId="132" fillId="10" borderId="38" xfId="1" applyFont="1" applyFill="1" applyBorder="1" applyAlignment="1">
      <alignment horizontal="center" vertical="center" wrapText="1"/>
    </xf>
    <xf numFmtId="0" fontId="132" fillId="10" borderId="40" xfId="1" applyFont="1" applyFill="1" applyBorder="1" applyAlignment="1">
      <alignment horizontal="center" vertical="center" wrapText="1"/>
    </xf>
    <xf numFmtId="0" fontId="125" fillId="8" borderId="38" xfId="5" applyFont="1" applyFill="1" applyBorder="1" applyAlignment="1">
      <alignment horizontal="center" vertical="center"/>
    </xf>
    <xf numFmtId="0" fontId="125" fillId="8" borderId="40" xfId="5" applyFont="1" applyFill="1" applyBorder="1" applyAlignment="1">
      <alignment horizontal="center" vertical="center"/>
    </xf>
    <xf numFmtId="0" fontId="123" fillId="2" borderId="45" xfId="5" applyFont="1" applyFill="1" applyBorder="1" applyAlignment="1">
      <alignment horizontal="center" vertical="center"/>
    </xf>
    <xf numFmtId="0" fontId="123" fillId="2" borderId="62" xfId="5" applyFont="1" applyFill="1" applyBorder="1" applyAlignment="1">
      <alignment horizontal="center" vertical="center"/>
    </xf>
    <xf numFmtId="0" fontId="123" fillId="2" borderId="59" xfId="2" applyFont="1" applyFill="1" applyBorder="1" applyAlignment="1">
      <alignment horizontal="center" vertical="center"/>
    </xf>
    <xf numFmtId="0" fontId="123" fillId="2" borderId="55" xfId="2" applyFont="1" applyFill="1" applyBorder="1" applyAlignment="1">
      <alignment horizontal="center" vertical="center"/>
    </xf>
    <xf numFmtId="0" fontId="123" fillId="7" borderId="3" xfId="2" applyFont="1" applyFill="1" applyBorder="1" applyAlignment="1">
      <alignment horizontal="center" vertical="center"/>
    </xf>
    <xf numFmtId="0" fontId="123" fillId="3" borderId="37" xfId="2" applyFont="1" applyFill="1" applyBorder="1" applyAlignment="1">
      <alignment horizontal="left" vertical="center"/>
    </xf>
    <xf numFmtId="0" fontId="123" fillId="3" borderId="3" xfId="2" applyFont="1" applyFill="1" applyBorder="1" applyAlignment="1">
      <alignment horizontal="left" vertical="center"/>
    </xf>
    <xf numFmtId="0" fontId="123" fillId="3" borderId="4" xfId="2" applyFont="1" applyFill="1" applyBorder="1" applyAlignment="1">
      <alignment horizontal="left" vertical="center"/>
    </xf>
    <xf numFmtId="0" fontId="123" fillId="7" borderId="1" xfId="2" applyFont="1" applyFill="1" applyBorder="1" applyAlignment="1">
      <alignment horizontal="center" vertical="center"/>
    </xf>
    <xf numFmtId="0" fontId="123" fillId="7" borderId="2" xfId="2" applyFont="1" applyFill="1" applyBorder="1" applyAlignment="1">
      <alignment horizontal="center" vertical="center"/>
    </xf>
    <xf numFmtId="0" fontId="123" fillId="7" borderId="38" xfId="2" applyFont="1" applyFill="1" applyBorder="1" applyAlignment="1">
      <alignment horizontal="center" vertical="center"/>
    </xf>
    <xf numFmtId="0" fontId="123" fillId="7" borderId="39" xfId="2" applyFont="1" applyFill="1" applyBorder="1" applyAlignment="1">
      <alignment horizontal="center" vertical="center"/>
    </xf>
    <xf numFmtId="1" fontId="123" fillId="7" borderId="2" xfId="2" applyNumberFormat="1" applyFont="1" applyFill="1" applyBorder="1" applyAlignment="1">
      <alignment horizontal="center" vertical="center"/>
    </xf>
    <xf numFmtId="1" fontId="123" fillId="7" borderId="39" xfId="2" applyNumberFormat="1" applyFont="1" applyFill="1" applyBorder="1" applyAlignment="1">
      <alignment horizontal="center" vertical="center"/>
    </xf>
    <xf numFmtId="1" fontId="123" fillId="7" borderId="12" xfId="2" applyNumberFormat="1" applyFont="1" applyFill="1" applyBorder="1" applyAlignment="1">
      <alignment horizontal="center" vertical="center"/>
    </xf>
    <xf numFmtId="1" fontId="123" fillId="7" borderId="40" xfId="2" applyNumberFormat="1" applyFont="1" applyFill="1" applyBorder="1" applyAlignment="1">
      <alignment horizontal="center" vertical="center"/>
    </xf>
    <xf numFmtId="0" fontId="123" fillId="43" borderId="41" xfId="1" applyFont="1" applyFill="1" applyBorder="1" applyAlignment="1">
      <alignment horizontal="center" vertical="center"/>
    </xf>
    <xf numFmtId="0" fontId="123" fillId="43" borderId="50" xfId="1" applyFont="1" applyFill="1" applyBorder="1" applyAlignment="1">
      <alignment horizontal="center" vertical="center"/>
    </xf>
    <xf numFmtId="0" fontId="123" fillId="43" borderId="1" xfId="1" applyFont="1" applyFill="1" applyBorder="1" applyAlignment="1">
      <alignment horizontal="center" vertical="center"/>
    </xf>
    <xf numFmtId="0" fontId="123" fillId="43" borderId="12" xfId="1" applyFont="1" applyFill="1" applyBorder="1" applyAlignment="1">
      <alignment horizontal="center" vertical="center"/>
    </xf>
    <xf numFmtId="0" fontId="123" fillId="43" borderId="51" xfId="1" applyFont="1" applyFill="1" applyBorder="1" applyAlignment="1">
      <alignment horizontal="center" vertical="center"/>
    </xf>
    <xf numFmtId="0" fontId="123" fillId="43" borderId="52" xfId="1" applyFont="1" applyFill="1" applyBorder="1" applyAlignment="1">
      <alignment horizontal="center" vertical="center"/>
    </xf>
    <xf numFmtId="0" fontId="123" fillId="43" borderId="30" xfId="1" applyFont="1" applyFill="1" applyBorder="1" applyAlignment="1">
      <alignment horizontal="center" vertical="center"/>
    </xf>
    <xf numFmtId="0" fontId="123" fillId="43" borderId="34" xfId="1" applyFont="1" applyFill="1" applyBorder="1" applyAlignment="1">
      <alignment horizontal="center" vertical="center"/>
    </xf>
    <xf numFmtId="0" fontId="123" fillId="43" borderId="48" xfId="1" applyFont="1" applyFill="1" applyBorder="1" applyAlignment="1">
      <alignment horizontal="center" vertical="center"/>
    </xf>
    <xf numFmtId="0" fontId="123" fillId="43" borderId="49" xfId="1" applyFont="1" applyFill="1" applyBorder="1" applyAlignment="1">
      <alignment horizontal="center" vertical="center"/>
    </xf>
    <xf numFmtId="0" fontId="123" fillId="43" borderId="24" xfId="1" applyFont="1" applyFill="1" applyBorder="1" applyAlignment="1">
      <alignment horizontal="center" vertical="center"/>
    </xf>
    <xf numFmtId="0" fontId="123" fillId="43" borderId="36" xfId="1" applyFont="1" applyFill="1" applyBorder="1" applyAlignment="1">
      <alignment horizontal="center" vertical="center"/>
    </xf>
    <xf numFmtId="0" fontId="123" fillId="43" borderId="38" xfId="1" applyFont="1" applyFill="1" applyBorder="1" applyAlignment="1">
      <alignment horizontal="center" vertical="center"/>
    </xf>
    <xf numFmtId="0" fontId="123" fillId="43" borderId="40" xfId="1" applyFont="1" applyFill="1" applyBorder="1" applyAlignment="1">
      <alignment horizontal="center" vertical="center"/>
    </xf>
    <xf numFmtId="0" fontId="125" fillId="0" borderId="45" xfId="5" applyFont="1" applyBorder="1" applyAlignment="1">
      <alignment horizontal="center" vertical="center"/>
    </xf>
    <xf numFmtId="0" fontId="125" fillId="0" borderId="62" xfId="5" applyFont="1" applyBorder="1" applyAlignment="1">
      <alignment horizontal="center" vertical="center"/>
    </xf>
    <xf numFmtId="0" fontId="128" fillId="2" borderId="21" xfId="5" applyFont="1" applyFill="1" applyBorder="1" applyAlignment="1">
      <alignment horizontal="center" vertical="center"/>
    </xf>
    <xf numFmtId="0" fontId="128" fillId="2" borderId="35" xfId="5" applyFont="1" applyFill="1" applyBorder="1" applyAlignment="1">
      <alignment horizontal="center" vertical="center"/>
    </xf>
    <xf numFmtId="0" fontId="152" fillId="2" borderId="1" xfId="2" applyFont="1" applyFill="1" applyBorder="1" applyAlignment="1">
      <alignment horizontal="center" vertical="center"/>
    </xf>
    <xf numFmtId="0" fontId="152" fillId="2" borderId="2" xfId="2" applyFont="1" applyFill="1" applyBorder="1" applyAlignment="1">
      <alignment horizontal="center" vertical="center"/>
    </xf>
    <xf numFmtId="0" fontId="152" fillId="2" borderId="12" xfId="2" applyFont="1" applyFill="1" applyBorder="1" applyAlignment="1">
      <alignment horizontal="center" vertical="center"/>
    </xf>
    <xf numFmtId="0" fontId="152" fillId="2" borderId="38" xfId="2" applyFont="1" applyFill="1" applyBorder="1" applyAlignment="1">
      <alignment horizontal="center" vertical="center"/>
    </xf>
    <xf numFmtId="0" fontId="152" fillId="2" borderId="39" xfId="2" applyFont="1" applyFill="1" applyBorder="1" applyAlignment="1">
      <alignment horizontal="center" vertical="center"/>
    </xf>
    <xf numFmtId="0" fontId="152" fillId="2" borderId="40" xfId="2" applyFont="1" applyFill="1" applyBorder="1" applyAlignment="1">
      <alignment horizontal="center" vertical="center"/>
    </xf>
    <xf numFmtId="0" fontId="123" fillId="3" borderId="37" xfId="2" applyFont="1" applyFill="1" applyBorder="1" applyAlignment="1">
      <alignment horizontal="center" vertical="center"/>
    </xf>
    <xf numFmtId="0" fontId="123" fillId="3" borderId="3" xfId="2" applyFont="1" applyFill="1" applyBorder="1" applyAlignment="1">
      <alignment horizontal="center" vertical="center"/>
    </xf>
    <xf numFmtId="0" fontId="123" fillId="3" borderId="4" xfId="2" applyFont="1" applyFill="1" applyBorder="1" applyAlignment="1">
      <alignment horizontal="center" vertical="center"/>
    </xf>
    <xf numFmtId="0" fontId="136" fillId="0" borderId="1" xfId="1" applyFont="1" applyBorder="1" applyAlignment="1">
      <alignment horizontal="center" vertical="center"/>
    </xf>
    <xf numFmtId="0" fontId="136" fillId="0" borderId="2" xfId="1" applyFont="1" applyBorder="1" applyAlignment="1">
      <alignment horizontal="center" vertical="center"/>
    </xf>
    <xf numFmtId="0" fontId="136" fillId="0" borderId="12" xfId="1" applyFont="1" applyBorder="1" applyAlignment="1">
      <alignment horizontal="center" vertical="center"/>
    </xf>
    <xf numFmtId="0" fontId="136" fillId="0" borderId="38" xfId="1" applyFont="1" applyBorder="1" applyAlignment="1">
      <alignment horizontal="center" vertical="center"/>
    </xf>
    <xf numFmtId="0" fontId="136" fillId="0" borderId="39" xfId="1" applyFont="1" applyBorder="1" applyAlignment="1">
      <alignment horizontal="center" vertical="center"/>
    </xf>
    <xf numFmtId="0" fontId="136" fillId="0" borderId="40" xfId="1" applyFont="1" applyBorder="1" applyAlignment="1">
      <alignment horizontal="center" vertical="center"/>
    </xf>
    <xf numFmtId="0" fontId="156" fillId="7" borderId="37" xfId="2" applyFont="1" applyFill="1" applyBorder="1" applyAlignment="1">
      <alignment horizontal="center" vertical="center"/>
    </xf>
    <xf numFmtId="0" fontId="156" fillId="7" borderId="4" xfId="2" applyFont="1" applyFill="1" applyBorder="1" applyAlignment="1">
      <alignment horizontal="center" vertical="center"/>
    </xf>
    <xf numFmtId="0" fontId="128" fillId="2" borderId="6" xfId="5" applyFont="1" applyFill="1" applyBorder="1" applyAlignment="1">
      <alignment horizontal="center" vertical="center"/>
    </xf>
    <xf numFmtId="171" fontId="124" fillId="2" borderId="2" xfId="1" applyNumberFormat="1" applyFont="1" applyFill="1" applyBorder="1" applyAlignment="1">
      <alignment horizontal="center" vertical="center"/>
    </xf>
    <xf numFmtId="0" fontId="124" fillId="2" borderId="2" xfId="1" applyFont="1" applyFill="1" applyBorder="1" applyAlignment="1">
      <alignment horizontal="center" vertical="center"/>
    </xf>
    <xf numFmtId="171" fontId="124" fillId="2" borderId="39" xfId="1" applyNumberFormat="1" applyFont="1" applyFill="1" applyBorder="1" applyAlignment="1">
      <alignment horizontal="center" vertical="center"/>
    </xf>
    <xf numFmtId="0" fontId="124" fillId="2" borderId="39" xfId="1" applyFont="1" applyFill="1" applyBorder="1" applyAlignment="1">
      <alignment horizontal="center" vertical="center"/>
    </xf>
    <xf numFmtId="0" fontId="142" fillId="0" borderId="57" xfId="5" applyFont="1" applyBorder="1" applyAlignment="1">
      <alignment horizontal="center" vertical="center"/>
    </xf>
    <xf numFmtId="0" fontId="142" fillId="0" borderId="18" xfId="5" applyFont="1" applyBorder="1" applyAlignment="1">
      <alignment horizontal="center" vertical="center"/>
    </xf>
    <xf numFmtId="0" fontId="125" fillId="2" borderId="45" xfId="5" applyFont="1" applyFill="1" applyBorder="1" applyAlignment="1">
      <alignment horizontal="center" vertical="center"/>
    </xf>
    <xf numFmtId="0" fontId="125" fillId="2" borderId="62" xfId="5" applyFont="1" applyFill="1" applyBorder="1" applyAlignment="1">
      <alignment horizontal="center" vertical="center"/>
    </xf>
    <xf numFmtId="170" fontId="123" fillId="2" borderId="41" xfId="2" applyNumberFormat="1" applyFont="1" applyFill="1" applyBorder="1" applyAlignment="1">
      <alignment horizontal="center" vertical="center"/>
    </xf>
    <xf numFmtId="170" fontId="123" fillId="2" borderId="44" xfId="2" applyNumberFormat="1" applyFont="1" applyFill="1" applyBorder="1" applyAlignment="1">
      <alignment horizontal="center" vertical="center"/>
    </xf>
    <xf numFmtId="166" fontId="144" fillId="7" borderId="1" xfId="2" applyNumberFormat="1" applyFont="1" applyFill="1" applyBorder="1" applyAlignment="1">
      <alignment horizontal="center" vertical="center"/>
    </xf>
    <xf numFmtId="166" fontId="144" fillId="7" borderId="45" xfId="2" applyNumberFormat="1" applyFont="1" applyFill="1" applyBorder="1" applyAlignment="1">
      <alignment horizontal="center" vertical="center"/>
    </xf>
    <xf numFmtId="0" fontId="128" fillId="2" borderId="1" xfId="2" applyFont="1" applyFill="1" applyBorder="1" applyAlignment="1">
      <alignment horizontal="center" vertical="center"/>
    </xf>
    <xf numFmtId="0" fontId="128" fillId="2" borderId="6" xfId="2" applyFont="1" applyFill="1" applyBorder="1" applyAlignment="1">
      <alignment horizontal="center" vertical="center"/>
    </xf>
    <xf numFmtId="166" fontId="143" fillId="7" borderId="1" xfId="2" applyNumberFormat="1" applyFont="1" applyFill="1" applyBorder="1" applyAlignment="1">
      <alignment horizontal="center" vertical="center"/>
    </xf>
    <xf numFmtId="166" fontId="143" fillId="7" borderId="67" xfId="2" applyNumberFormat="1" applyFont="1" applyFill="1" applyBorder="1" applyAlignment="1">
      <alignment horizontal="center" vertical="center"/>
    </xf>
    <xf numFmtId="0" fontId="123" fillId="0" borderId="41" xfId="2" applyFont="1" applyBorder="1" applyAlignment="1">
      <alignment horizontal="center" vertical="center"/>
    </xf>
    <xf numFmtId="0" fontId="123" fillId="0" borderId="44" xfId="2" applyFont="1" applyBorder="1" applyAlignment="1">
      <alignment horizontal="center" vertical="center"/>
    </xf>
    <xf numFmtId="166" fontId="123" fillId="7" borderId="2" xfId="2" applyNumberFormat="1" applyFont="1" applyFill="1" applyBorder="1" applyAlignment="1">
      <alignment horizontal="center" vertical="center"/>
    </xf>
    <xf numFmtId="166" fontId="123" fillId="7" borderId="67" xfId="2" applyNumberFormat="1" applyFont="1" applyFill="1" applyBorder="1" applyAlignment="1">
      <alignment horizontal="center" vertical="center"/>
    </xf>
    <xf numFmtId="0" fontId="123" fillId="2" borderId="41" xfId="2" applyFont="1" applyFill="1" applyBorder="1" applyAlignment="1">
      <alignment horizontal="center" vertical="center"/>
    </xf>
    <xf numFmtId="0" fontId="123" fillId="2" borderId="2" xfId="2" applyFont="1" applyFill="1" applyBorder="1" applyAlignment="1">
      <alignment horizontal="center" vertical="center"/>
    </xf>
    <xf numFmtId="1" fontId="123" fillId="2" borderId="41" xfId="2" applyNumberFormat="1" applyFont="1" applyFill="1" applyBorder="1" applyAlignment="1">
      <alignment horizontal="center" vertical="center"/>
    </xf>
    <xf numFmtId="1" fontId="123" fillId="2" borderId="44" xfId="2" applyNumberFormat="1" applyFont="1" applyFill="1" applyBorder="1" applyAlignment="1">
      <alignment horizontal="center" vertical="center"/>
    </xf>
    <xf numFmtId="0" fontId="125" fillId="8" borderId="37" xfId="5" applyFont="1" applyFill="1" applyBorder="1" applyAlignment="1">
      <alignment horizontal="center" vertical="center"/>
    </xf>
    <xf numFmtId="0" fontId="125" fillId="8" borderId="4" xfId="5" applyFont="1" applyFill="1" applyBorder="1" applyAlignment="1">
      <alignment horizontal="center" vertical="center"/>
    </xf>
    <xf numFmtId="171" fontId="124" fillId="2" borderId="30" xfId="1" applyNumberFormat="1" applyFont="1" applyFill="1" applyBorder="1" applyAlignment="1">
      <alignment horizontal="center" vertical="center"/>
    </xf>
    <xf numFmtId="171" fontId="124" fillId="2" borderId="31" xfId="1" applyNumberFormat="1" applyFont="1" applyFill="1" applyBorder="1" applyAlignment="1">
      <alignment horizontal="center" vertical="center"/>
    </xf>
    <xf numFmtId="171" fontId="124" fillId="2" borderId="48" xfId="1" applyNumberFormat="1" applyFont="1" applyFill="1" applyBorder="1" applyAlignment="1">
      <alignment horizontal="center" vertical="center"/>
    </xf>
    <xf numFmtId="171" fontId="124" fillId="2" borderId="16" xfId="1" applyNumberFormat="1" applyFont="1" applyFill="1" applyBorder="1" applyAlignment="1">
      <alignment horizontal="center" vertical="center"/>
    </xf>
    <xf numFmtId="165" fontId="124" fillId="2" borderId="30" xfId="1" applyNumberFormat="1" applyFont="1" applyFill="1" applyBorder="1" applyAlignment="1">
      <alignment horizontal="center" vertical="center"/>
    </xf>
    <xf numFmtId="165" fontId="124" fillId="2" borderId="34" xfId="1" applyNumberFormat="1" applyFont="1" applyFill="1" applyBorder="1" applyAlignment="1">
      <alignment horizontal="center" vertical="center"/>
    </xf>
    <xf numFmtId="165" fontId="124" fillId="2" borderId="48" xfId="1" applyNumberFormat="1" applyFont="1" applyFill="1" applyBorder="1" applyAlignment="1">
      <alignment horizontal="center" vertical="center"/>
    </xf>
    <xf numFmtId="165" fontId="124" fillId="2" borderId="49" xfId="1" applyNumberFormat="1" applyFont="1" applyFill="1" applyBorder="1" applyAlignment="1">
      <alignment horizontal="center" vertical="center"/>
    </xf>
    <xf numFmtId="0" fontId="146" fillId="10" borderId="37" xfId="2" applyFont="1" applyFill="1" applyBorder="1" applyAlignment="1">
      <alignment horizontal="center" vertical="center"/>
    </xf>
    <xf numFmtId="0" fontId="146" fillId="10" borderId="3" xfId="2" applyFont="1" applyFill="1" applyBorder="1" applyAlignment="1">
      <alignment horizontal="center" vertical="center"/>
    </xf>
    <xf numFmtId="0" fontId="146" fillId="10" borderId="4" xfId="2" applyFont="1" applyFill="1" applyBorder="1" applyAlignment="1">
      <alignment horizontal="center" vertical="center"/>
    </xf>
    <xf numFmtId="170" fontId="123" fillId="2" borderId="20" xfId="2" applyNumberFormat="1" applyFont="1" applyFill="1" applyBorder="1" applyAlignment="1">
      <alignment horizontal="center" vertical="center"/>
    </xf>
    <xf numFmtId="166" fontId="144" fillId="7" borderId="64" xfId="2" applyNumberFormat="1" applyFont="1" applyFill="1" applyBorder="1" applyAlignment="1">
      <alignment horizontal="center" vertical="center"/>
    </xf>
    <xf numFmtId="0" fontId="128" fillId="2" borderId="20" xfId="2" applyFont="1" applyFill="1" applyBorder="1" applyAlignment="1">
      <alignment horizontal="center" vertical="center"/>
    </xf>
    <xf numFmtId="0" fontId="128" fillId="2" borderId="44" xfId="2" applyFont="1" applyFill="1" applyBorder="1" applyAlignment="1">
      <alignment horizontal="center" vertical="center"/>
    </xf>
    <xf numFmtId="166" fontId="145" fillId="7" borderId="21" xfId="2" applyNumberFormat="1" applyFont="1" applyFill="1" applyBorder="1" applyAlignment="1">
      <alignment horizontal="center" vertical="center"/>
    </xf>
    <xf numFmtId="166" fontId="145" fillId="7" borderId="67" xfId="2" applyNumberFormat="1" applyFont="1" applyFill="1" applyBorder="1" applyAlignment="1">
      <alignment horizontal="center" vertical="center"/>
    </xf>
    <xf numFmtId="0" fontId="128" fillId="0" borderId="20" xfId="2" applyFont="1" applyBorder="1" applyAlignment="1">
      <alignment horizontal="center" vertical="center"/>
    </xf>
    <xf numFmtId="0" fontId="128" fillId="0" borderId="44" xfId="2" applyFont="1" applyBorder="1" applyAlignment="1">
      <alignment horizontal="center" vertical="center"/>
    </xf>
    <xf numFmtId="0" fontId="162" fillId="7" borderId="21" xfId="0" applyFont="1" applyFill="1" applyBorder="1" applyAlignment="1">
      <alignment horizontal="center" vertical="center"/>
    </xf>
    <xf numFmtId="0" fontId="162" fillId="7" borderId="67" xfId="0" applyFont="1" applyFill="1" applyBorder="1" applyAlignment="1">
      <alignment horizontal="center" vertical="center"/>
    </xf>
    <xf numFmtId="0" fontId="123" fillId="2" borderId="21" xfId="2" applyFont="1" applyFill="1" applyBorder="1" applyAlignment="1">
      <alignment horizontal="center" vertical="center"/>
    </xf>
    <xf numFmtId="1" fontId="123" fillId="0" borderId="20" xfId="2" applyNumberFormat="1" applyFont="1" applyBorder="1" applyAlignment="1">
      <alignment horizontal="center" vertical="center"/>
    </xf>
    <xf numFmtId="1" fontId="123" fillId="0" borderId="44" xfId="2" applyNumberFormat="1" applyFont="1" applyBorder="1" applyAlignment="1">
      <alignment horizontal="center" vertical="center"/>
    </xf>
    <xf numFmtId="0" fontId="123" fillId="0" borderId="20" xfId="2" applyFont="1" applyBorder="1" applyAlignment="1">
      <alignment horizontal="center" vertical="center"/>
    </xf>
    <xf numFmtId="0" fontId="128" fillId="2" borderId="38" xfId="5" applyFont="1" applyFill="1" applyBorder="1" applyAlignment="1">
      <alignment horizontal="center" vertical="center"/>
    </xf>
    <xf numFmtId="0" fontId="128" fillId="2" borderId="40" xfId="5" applyFont="1" applyFill="1" applyBorder="1" applyAlignment="1">
      <alignment horizontal="center" vertical="center"/>
    </xf>
    <xf numFmtId="0" fontId="146" fillId="10" borderId="0" xfId="2" applyFont="1" applyFill="1" applyAlignment="1">
      <alignment horizontal="center" vertical="center"/>
    </xf>
    <xf numFmtId="0" fontId="128" fillId="2" borderId="41" xfId="5" applyFont="1" applyFill="1" applyBorder="1" applyAlignment="1">
      <alignment horizontal="center" vertical="center"/>
    </xf>
    <xf numFmtId="170" fontId="123" fillId="2" borderId="10" xfId="2" applyNumberFormat="1" applyFont="1" applyFill="1" applyBorder="1" applyAlignment="1">
      <alignment horizontal="center" vertical="center"/>
    </xf>
    <xf numFmtId="166" fontId="139" fillId="7" borderId="21" xfId="2" applyNumberFormat="1" applyFont="1" applyFill="1" applyBorder="1" applyAlignment="1">
      <alignment horizontal="center" vertical="center"/>
    </xf>
    <xf numFmtId="166" fontId="139" fillId="7" borderId="67" xfId="2" applyNumberFormat="1" applyFont="1" applyFill="1" applyBorder="1" applyAlignment="1">
      <alignment horizontal="center" vertical="center"/>
    </xf>
    <xf numFmtId="0" fontId="128" fillId="0" borderId="14" xfId="2" applyFont="1" applyBorder="1" applyAlignment="1">
      <alignment horizontal="center" vertical="center"/>
    </xf>
    <xf numFmtId="0" fontId="145" fillId="7" borderId="21" xfId="2" applyFont="1" applyFill="1" applyBorder="1" applyAlignment="1">
      <alignment horizontal="center" vertical="center"/>
    </xf>
    <xf numFmtId="0" fontId="145" fillId="7" borderId="67" xfId="2" applyFont="1" applyFill="1" applyBorder="1" applyAlignment="1">
      <alignment horizontal="center" vertical="center"/>
    </xf>
    <xf numFmtId="0" fontId="128" fillId="2" borderId="5" xfId="5" applyFont="1" applyFill="1" applyBorder="1" applyAlignment="1">
      <alignment horizontal="center" vertical="center"/>
    </xf>
    <xf numFmtId="0" fontId="128" fillId="2" borderId="4" xfId="5" applyFont="1" applyFill="1" applyBorder="1" applyAlignment="1">
      <alignment horizontal="center" vertical="center"/>
    </xf>
    <xf numFmtId="0" fontId="146" fillId="10" borderId="52" xfId="2" applyFont="1" applyFill="1" applyBorder="1" applyAlignment="1">
      <alignment horizontal="center" vertical="center"/>
    </xf>
    <xf numFmtId="0" fontId="146" fillId="10" borderId="51" xfId="2" applyFont="1" applyFill="1" applyBorder="1" applyAlignment="1">
      <alignment horizontal="center" vertical="center"/>
    </xf>
    <xf numFmtId="166" fontId="144" fillId="7" borderId="57" xfId="2" applyNumberFormat="1" applyFont="1" applyFill="1" applyBorder="1" applyAlignment="1">
      <alignment horizontal="center" vertical="center"/>
    </xf>
    <xf numFmtId="0" fontId="128" fillId="2" borderId="10" xfId="2" applyFont="1" applyFill="1" applyBorder="1" applyAlignment="1">
      <alignment horizontal="center" vertical="center"/>
    </xf>
    <xf numFmtId="166" fontId="145" fillId="7" borderId="19" xfId="2" applyNumberFormat="1" applyFont="1" applyFill="1" applyBorder="1" applyAlignment="1">
      <alignment horizontal="center" vertical="center"/>
    </xf>
    <xf numFmtId="0" fontId="128" fillId="0" borderId="10" xfId="2" applyFont="1" applyBorder="1" applyAlignment="1">
      <alignment horizontal="center" vertical="center"/>
    </xf>
    <xf numFmtId="0" fontId="145" fillId="7" borderId="19" xfId="2" applyFont="1" applyFill="1" applyBorder="1" applyAlignment="1">
      <alignment horizontal="center" vertical="center"/>
    </xf>
    <xf numFmtId="0" fontId="123" fillId="2" borderId="19" xfId="2" applyFont="1" applyFill="1" applyBorder="1" applyAlignment="1">
      <alignment horizontal="center" vertical="center"/>
    </xf>
    <xf numFmtId="1" fontId="123" fillId="0" borderId="10" xfId="2" applyNumberFormat="1" applyFont="1" applyBorder="1" applyAlignment="1">
      <alignment horizontal="center" vertical="center"/>
    </xf>
    <xf numFmtId="0" fontId="123" fillId="0" borderId="10" xfId="2" applyFont="1" applyBorder="1" applyAlignment="1">
      <alignment horizontal="center" vertical="center"/>
    </xf>
    <xf numFmtId="0" fontId="128" fillId="2" borderId="3" xfId="5" applyFont="1" applyFill="1" applyBorder="1" applyAlignment="1">
      <alignment horizontal="center" vertical="center"/>
    </xf>
    <xf numFmtId="0" fontId="128" fillId="2" borderId="37" xfId="5" applyFont="1" applyFill="1" applyBorder="1" applyAlignment="1">
      <alignment horizontal="center" vertical="center"/>
    </xf>
    <xf numFmtId="170" fontId="123" fillId="2" borderId="50" xfId="2" applyNumberFormat="1" applyFont="1" applyFill="1" applyBorder="1" applyAlignment="1">
      <alignment horizontal="center" vertical="center"/>
    </xf>
    <xf numFmtId="166" fontId="144" fillId="7" borderId="38" xfId="2" applyNumberFormat="1" applyFont="1" applyFill="1" applyBorder="1" applyAlignment="1">
      <alignment horizontal="center" vertical="center"/>
    </xf>
    <xf numFmtId="0" fontId="128" fillId="2" borderId="50" xfId="2" applyFont="1" applyFill="1" applyBorder="1" applyAlignment="1">
      <alignment horizontal="center" vertical="center"/>
    </xf>
    <xf numFmtId="166" fontId="145" fillId="7" borderId="39" xfId="2" applyNumberFormat="1" applyFont="1" applyFill="1" applyBorder="1" applyAlignment="1">
      <alignment horizontal="center" vertical="center"/>
    </xf>
    <xf numFmtId="0" fontId="128" fillId="0" borderId="50" xfId="2" applyFont="1" applyBorder="1" applyAlignment="1">
      <alignment horizontal="center" vertical="center"/>
    </xf>
    <xf numFmtId="0" fontId="145" fillId="7" borderId="39" xfId="2" applyFont="1" applyFill="1" applyBorder="1" applyAlignment="1">
      <alignment horizontal="center" vertical="center"/>
    </xf>
    <xf numFmtId="0" fontId="123" fillId="2" borderId="39" xfId="2" applyFont="1" applyFill="1" applyBorder="1" applyAlignment="1">
      <alignment horizontal="center" vertical="center"/>
    </xf>
    <xf numFmtId="1" fontId="123" fillId="0" borderId="50" xfId="2" applyNumberFormat="1" applyFont="1" applyBorder="1" applyAlignment="1">
      <alignment horizontal="center" vertical="center"/>
    </xf>
    <xf numFmtId="0" fontId="123" fillId="0" borderId="50" xfId="2" applyFont="1" applyBorder="1" applyAlignment="1">
      <alignment horizontal="center" vertical="center"/>
    </xf>
    <xf numFmtId="171" fontId="124" fillId="2" borderId="24" xfId="1" applyNumberFormat="1" applyFont="1" applyFill="1" applyBorder="1" applyAlignment="1">
      <alignment horizontal="center" vertical="center"/>
    </xf>
    <xf numFmtId="171" fontId="124" fillId="2" borderId="25" xfId="1" applyNumberFormat="1" applyFont="1" applyFill="1" applyBorder="1" applyAlignment="1">
      <alignment horizontal="center" vertical="center"/>
    </xf>
    <xf numFmtId="165" fontId="124" fillId="2" borderId="24" xfId="1" applyNumberFormat="1" applyFont="1" applyFill="1" applyBorder="1" applyAlignment="1">
      <alignment horizontal="center" vertical="center"/>
    </xf>
    <xf numFmtId="165" fontId="124" fillId="2" borderId="36" xfId="1" applyNumberFormat="1" applyFont="1" applyFill="1" applyBorder="1" applyAlignment="1">
      <alignment horizontal="center" vertical="center"/>
    </xf>
    <xf numFmtId="0" fontId="146" fillId="10" borderId="39" xfId="2" applyFont="1" applyFill="1" applyBorder="1" applyAlignment="1">
      <alignment horizontal="center" vertical="center"/>
    </xf>
    <xf numFmtId="0" fontId="146" fillId="10" borderId="40" xfId="2" applyFont="1" applyFill="1" applyBorder="1" applyAlignment="1">
      <alignment horizontal="center" vertical="center"/>
    </xf>
    <xf numFmtId="0" fontId="146" fillId="10" borderId="38" xfId="2" applyFont="1" applyFill="1" applyBorder="1" applyAlignment="1">
      <alignment horizontal="center" vertical="center"/>
    </xf>
    <xf numFmtId="170" fontId="123" fillId="2" borderId="6" xfId="2" applyNumberFormat="1" applyFont="1" applyFill="1" applyBorder="1" applyAlignment="1">
      <alignment horizontal="center" vertical="center"/>
    </xf>
    <xf numFmtId="170" fontId="123" fillId="2" borderId="14" xfId="2" applyNumberFormat="1" applyFont="1" applyFill="1" applyBorder="1" applyAlignment="1">
      <alignment horizontal="center" vertical="center"/>
    </xf>
    <xf numFmtId="166" fontId="164" fillId="7" borderId="59" xfId="2" applyNumberFormat="1" applyFont="1" applyFill="1" applyBorder="1" applyAlignment="1">
      <alignment horizontal="center" vertical="center"/>
    </xf>
    <xf numFmtId="166" fontId="164" fillId="7" borderId="51" xfId="2" applyNumberFormat="1" applyFont="1" applyFill="1" applyBorder="1" applyAlignment="1">
      <alignment horizontal="center" vertical="center"/>
    </xf>
    <xf numFmtId="0" fontId="128" fillId="2" borderId="14" xfId="2" applyFont="1" applyFill="1" applyBorder="1" applyAlignment="1">
      <alignment horizontal="center" vertical="center"/>
    </xf>
    <xf numFmtId="166" fontId="164" fillId="7" borderId="54" xfId="2" applyNumberFormat="1" applyFont="1" applyFill="1" applyBorder="1" applyAlignment="1">
      <alignment horizontal="center" vertical="center"/>
    </xf>
    <xf numFmtId="166" fontId="164" fillId="7" borderId="0" xfId="2" applyNumberFormat="1" applyFont="1" applyFill="1" applyAlignment="1">
      <alignment horizontal="center" vertical="center"/>
    </xf>
    <xf numFmtId="0" fontId="128" fillId="0" borderId="5" xfId="2" applyFont="1" applyBorder="1" applyAlignment="1">
      <alignment horizontal="center" vertical="center"/>
    </xf>
    <xf numFmtId="0" fontId="128" fillId="0" borderId="41" xfId="2" applyFont="1" applyBorder="1" applyAlignment="1">
      <alignment horizontal="center" vertical="center"/>
    </xf>
    <xf numFmtId="0" fontId="145" fillId="7" borderId="54" xfId="2" applyFont="1" applyFill="1" applyBorder="1" applyAlignment="1">
      <alignment horizontal="center" vertical="center"/>
    </xf>
    <xf numFmtId="0" fontId="145" fillId="7" borderId="0" xfId="2" applyFont="1" applyFill="1" applyAlignment="1">
      <alignment horizontal="center" vertical="center"/>
    </xf>
    <xf numFmtId="0" fontId="128" fillId="0" borderId="6" xfId="2" applyFont="1" applyBorder="1" applyAlignment="1">
      <alignment horizontal="center" vertical="center"/>
    </xf>
    <xf numFmtId="0" fontId="123" fillId="2" borderId="54" xfId="2" applyFont="1" applyFill="1" applyBorder="1" applyAlignment="1">
      <alignment horizontal="center" vertical="center"/>
    </xf>
    <xf numFmtId="0" fontId="123" fillId="2" borderId="0" xfId="2" applyFont="1" applyFill="1" applyAlignment="1">
      <alignment horizontal="center" vertical="center"/>
    </xf>
    <xf numFmtId="1" fontId="123" fillId="0" borderId="6" xfId="2" applyNumberFormat="1" applyFont="1" applyBorder="1" applyAlignment="1">
      <alignment horizontal="center" vertical="center"/>
    </xf>
    <xf numFmtId="1" fontId="123" fillId="0" borderId="14" xfId="2" applyNumberFormat="1" applyFont="1" applyBorder="1" applyAlignment="1">
      <alignment horizontal="center" vertical="center"/>
    </xf>
    <xf numFmtId="0" fontId="123" fillId="0" borderId="54" xfId="2" applyFont="1" applyBorder="1" applyAlignment="1">
      <alignment horizontal="center" vertical="center"/>
    </xf>
    <xf numFmtId="0" fontId="123" fillId="0" borderId="0" xfId="2" applyFont="1" applyAlignment="1">
      <alignment horizontal="center" vertical="center"/>
    </xf>
    <xf numFmtId="171" fontId="124" fillId="2" borderId="34" xfId="1" applyNumberFormat="1" applyFont="1" applyFill="1" applyBorder="1" applyAlignment="1">
      <alignment horizontal="center" vertical="center"/>
    </xf>
    <xf numFmtId="171" fontId="124" fillId="2" borderId="49" xfId="1" applyNumberFormat="1" applyFont="1" applyFill="1" applyBorder="1" applyAlignment="1">
      <alignment horizontal="center" vertical="center"/>
    </xf>
    <xf numFmtId="166" fontId="164" fillId="7" borderId="57" xfId="2" applyNumberFormat="1" applyFont="1" applyFill="1" applyBorder="1" applyAlignment="1">
      <alignment horizontal="center" vertical="center"/>
    </xf>
    <xf numFmtId="166" fontId="164" fillId="7" borderId="38" xfId="2" applyNumberFormat="1" applyFont="1" applyFill="1" applyBorder="1" applyAlignment="1">
      <alignment horizontal="center" vertical="center"/>
    </xf>
    <xf numFmtId="166" fontId="164" fillId="7" borderId="19" xfId="2" applyNumberFormat="1" applyFont="1" applyFill="1" applyBorder="1" applyAlignment="1">
      <alignment horizontal="center" vertical="center"/>
    </xf>
    <xf numFmtId="166" fontId="164" fillId="7" borderId="39" xfId="2" applyNumberFormat="1" applyFont="1" applyFill="1" applyBorder="1" applyAlignment="1">
      <alignment horizontal="center" vertical="center"/>
    </xf>
    <xf numFmtId="0" fontId="123" fillId="0" borderId="19" xfId="2" applyFont="1" applyBorder="1" applyAlignment="1">
      <alignment horizontal="center" vertical="center"/>
    </xf>
    <xf numFmtId="0" fontId="123" fillId="0" borderId="39" xfId="2" applyFont="1" applyBorder="1" applyAlignment="1">
      <alignment horizontal="center" vertical="center"/>
    </xf>
    <xf numFmtId="166" fontId="123" fillId="7" borderId="37" xfId="2" applyNumberFormat="1" applyFont="1" applyFill="1" applyBorder="1" applyAlignment="1">
      <alignment horizontal="center" vertical="center"/>
    </xf>
    <xf numFmtId="166" fontId="123" fillId="7" borderId="3" xfId="2" applyNumberFormat="1" applyFont="1" applyFill="1" applyBorder="1" applyAlignment="1">
      <alignment horizontal="center" vertical="center"/>
    </xf>
    <xf numFmtId="166" fontId="123" fillId="7" borderId="4" xfId="2" applyNumberFormat="1" applyFont="1" applyFill="1" applyBorder="1" applyAlignment="1">
      <alignment horizontal="center" vertical="center"/>
    </xf>
    <xf numFmtId="1" fontId="136" fillId="7" borderId="1" xfId="2" applyNumberFormat="1" applyFont="1" applyFill="1" applyBorder="1" applyAlignment="1">
      <alignment horizontal="center" vertical="center"/>
    </xf>
    <xf numFmtId="1" fontId="136" fillId="7" borderId="38" xfId="2" applyNumberFormat="1" applyFont="1" applyFill="1" applyBorder="1" applyAlignment="1">
      <alignment horizontal="center" vertical="center"/>
    </xf>
    <xf numFmtId="0" fontId="136" fillId="43" borderId="41" xfId="2" applyFont="1" applyFill="1" applyBorder="1" applyAlignment="1">
      <alignment horizontal="center" vertical="center"/>
    </xf>
    <xf numFmtId="0" fontId="136" fillId="43" borderId="50" xfId="2" applyFont="1" applyFill="1" applyBorder="1" applyAlignment="1">
      <alignment horizontal="center" vertical="center"/>
    </xf>
    <xf numFmtId="0" fontId="136" fillId="43" borderId="1" xfId="2" applyFont="1" applyFill="1" applyBorder="1" applyAlignment="1">
      <alignment horizontal="center" vertical="center"/>
    </xf>
    <xf numFmtId="0" fontId="136" fillId="43" borderId="12" xfId="2" applyFont="1" applyFill="1" applyBorder="1" applyAlignment="1">
      <alignment horizontal="center" vertical="center"/>
    </xf>
    <xf numFmtId="0" fontId="136" fillId="43" borderId="38" xfId="2" applyFont="1" applyFill="1" applyBorder="1" applyAlignment="1">
      <alignment horizontal="center" vertical="center"/>
    </xf>
    <xf numFmtId="0" fontId="136" fillId="43" borderId="40" xfId="2" applyFont="1" applyFill="1" applyBorder="1" applyAlignment="1">
      <alignment horizontal="center" vertical="center"/>
    </xf>
    <xf numFmtId="0" fontId="167" fillId="4" borderId="51" xfId="2" applyFont="1" applyFill="1" applyBorder="1" applyAlignment="1">
      <alignment horizontal="center" vertical="center"/>
    </xf>
    <xf numFmtId="0" fontId="167" fillId="4" borderId="0" xfId="2" applyFont="1" applyFill="1" applyAlignment="1">
      <alignment horizontal="center" vertical="center"/>
    </xf>
    <xf numFmtId="0" fontId="167" fillId="4" borderId="52" xfId="2" applyFont="1" applyFill="1" applyBorder="1" applyAlignment="1">
      <alignment horizontal="center" vertical="center"/>
    </xf>
    <xf numFmtId="0" fontId="167" fillId="4" borderId="38" xfId="2" applyFont="1" applyFill="1" applyBorder="1" applyAlignment="1">
      <alignment horizontal="center" vertical="center"/>
    </xf>
    <xf numFmtId="0" fontId="167" fillId="4" borderId="39" xfId="2" applyFont="1" applyFill="1" applyBorder="1" applyAlignment="1">
      <alignment horizontal="center" vertical="center"/>
    </xf>
    <xf numFmtId="0" fontId="167" fillId="4" borderId="40" xfId="2" applyFont="1" applyFill="1" applyBorder="1" applyAlignment="1">
      <alignment horizontal="center" vertical="center"/>
    </xf>
    <xf numFmtId="0" fontId="136" fillId="43" borderId="59" xfId="2" applyFont="1" applyFill="1" applyBorder="1" applyAlignment="1">
      <alignment horizontal="center" vertical="center"/>
    </xf>
    <xf numFmtId="0" fontId="136" fillId="43" borderId="55" xfId="2" applyFont="1" applyFill="1" applyBorder="1" applyAlignment="1">
      <alignment horizontal="center" vertical="center"/>
    </xf>
    <xf numFmtId="166" fontId="136" fillId="27" borderId="37" xfId="2" applyNumberFormat="1" applyFont="1" applyFill="1" applyBorder="1" applyAlignment="1">
      <alignment horizontal="center" vertical="center"/>
    </xf>
    <xf numFmtId="166" fontId="136" fillId="27" borderId="3" xfId="2" applyNumberFormat="1" applyFont="1" applyFill="1" applyBorder="1" applyAlignment="1">
      <alignment horizontal="center" vertical="center"/>
    </xf>
    <xf numFmtId="166" fontId="136" fillId="27" borderId="4" xfId="2" applyNumberFormat="1" applyFont="1" applyFill="1" applyBorder="1" applyAlignment="1">
      <alignment horizontal="center" vertical="center"/>
    </xf>
    <xf numFmtId="0" fontId="136" fillId="43" borderId="57" xfId="2" applyFont="1" applyFill="1" applyBorder="1" applyAlignment="1">
      <alignment horizontal="center" vertical="center"/>
    </xf>
    <xf numFmtId="0" fontId="136" fillId="43" borderId="18" xfId="2" applyFont="1" applyFill="1" applyBorder="1" applyAlignment="1">
      <alignment horizontal="center" vertical="center"/>
    </xf>
    <xf numFmtId="0" fontId="136" fillId="7" borderId="1" xfId="2" applyFont="1" applyFill="1" applyBorder="1" applyAlignment="1">
      <alignment horizontal="center" vertical="center" wrapText="1"/>
    </xf>
    <xf numFmtId="0" fontId="136" fillId="7" borderId="2" xfId="2" applyFont="1" applyFill="1" applyBorder="1" applyAlignment="1">
      <alignment horizontal="center" vertical="center" wrapText="1"/>
    </xf>
    <xf numFmtId="0" fontId="136" fillId="7" borderId="12" xfId="2" applyFont="1" applyFill="1" applyBorder="1" applyAlignment="1">
      <alignment horizontal="center" vertical="center" wrapText="1"/>
    </xf>
    <xf numFmtId="0" fontId="136" fillId="7" borderId="38" xfId="2" applyFont="1" applyFill="1" applyBorder="1" applyAlignment="1">
      <alignment horizontal="center" vertical="center" wrapText="1"/>
    </xf>
    <xf numFmtId="0" fontId="136" fillId="7" borderId="39" xfId="2" applyFont="1" applyFill="1" applyBorder="1" applyAlignment="1">
      <alignment horizontal="center" vertical="center" wrapText="1"/>
    </xf>
    <xf numFmtId="0" fontId="136" fillId="7" borderId="40" xfId="2" applyFont="1" applyFill="1" applyBorder="1" applyAlignment="1">
      <alignment horizontal="center" vertical="center" wrapText="1"/>
    </xf>
    <xf numFmtId="0" fontId="138" fillId="7" borderId="1" xfId="2" applyFont="1" applyFill="1" applyBorder="1" applyAlignment="1">
      <alignment horizontal="center" vertical="center" wrapText="1"/>
    </xf>
    <xf numFmtId="0" fontId="138" fillId="7" borderId="2" xfId="2" applyFont="1" applyFill="1" applyBorder="1" applyAlignment="1">
      <alignment horizontal="center" vertical="center" wrapText="1"/>
    </xf>
    <xf numFmtId="0" fontId="138" fillId="7" borderId="12" xfId="2" applyFont="1" applyFill="1" applyBorder="1" applyAlignment="1">
      <alignment horizontal="center" vertical="center" wrapText="1"/>
    </xf>
    <xf numFmtId="0" fontId="138" fillId="7" borderId="51" xfId="2" applyFont="1" applyFill="1" applyBorder="1" applyAlignment="1">
      <alignment horizontal="center" vertical="center" wrapText="1"/>
    </xf>
    <xf numFmtId="0" fontId="138" fillId="7" borderId="0" xfId="2" applyFont="1" applyFill="1" applyAlignment="1">
      <alignment horizontal="center" vertical="center" wrapText="1"/>
    </xf>
    <xf numFmtId="0" fontId="138" fillId="7" borderId="52" xfId="2" applyFont="1" applyFill="1" applyBorder="1" applyAlignment="1">
      <alignment horizontal="center" vertical="center" wrapText="1"/>
    </xf>
    <xf numFmtId="0" fontId="138" fillId="7" borderId="38" xfId="2" applyFont="1" applyFill="1" applyBorder="1" applyAlignment="1">
      <alignment horizontal="center" vertical="center" wrapText="1"/>
    </xf>
    <xf numFmtId="0" fontId="138" fillId="7" borderId="39" xfId="2" applyFont="1" applyFill="1" applyBorder="1" applyAlignment="1">
      <alignment horizontal="center" vertical="center" wrapText="1"/>
    </xf>
    <xf numFmtId="0" fontId="138" fillId="7" borderId="40" xfId="2" applyFont="1" applyFill="1" applyBorder="1" applyAlignment="1">
      <alignment horizontal="center" vertical="center" wrapText="1"/>
    </xf>
    <xf numFmtId="0" fontId="136" fillId="43" borderId="60" xfId="2" applyFont="1" applyFill="1" applyBorder="1" applyAlignment="1">
      <alignment horizontal="center" vertical="center"/>
    </xf>
    <xf numFmtId="0" fontId="136" fillId="43" borderId="61" xfId="2" applyFont="1" applyFill="1" applyBorder="1" applyAlignment="1">
      <alignment horizontal="center" vertical="center"/>
    </xf>
    <xf numFmtId="0" fontId="136" fillId="43" borderId="2" xfId="2" applyFont="1" applyFill="1" applyBorder="1" applyAlignment="1">
      <alignment horizontal="center" vertical="center"/>
    </xf>
    <xf numFmtId="0" fontId="136" fillId="43" borderId="39" xfId="2" applyFont="1" applyFill="1" applyBorder="1" applyAlignment="1">
      <alignment horizontal="center" vertical="center"/>
    </xf>
    <xf numFmtId="169" fontId="133" fillId="0" borderId="1" xfId="2" applyNumberFormat="1" applyFont="1" applyBorder="1" applyAlignment="1">
      <alignment horizontal="center" vertical="center"/>
    </xf>
    <xf numFmtId="169" fontId="133" fillId="0" borderId="2" xfId="2" applyNumberFormat="1" applyFont="1" applyBorder="1" applyAlignment="1">
      <alignment horizontal="center" vertical="center"/>
    </xf>
    <xf numFmtId="169" fontId="133" fillId="0" borderId="12" xfId="2" applyNumberFormat="1" applyFont="1" applyBorder="1" applyAlignment="1">
      <alignment horizontal="center" vertical="center"/>
    </xf>
    <xf numFmtId="169" fontId="133" fillId="0" borderId="38" xfId="2" applyNumberFormat="1" applyFont="1" applyBorder="1" applyAlignment="1">
      <alignment horizontal="center" vertical="center"/>
    </xf>
    <xf numFmtId="169" fontId="133" fillId="0" borderId="39" xfId="2" applyNumberFormat="1" applyFont="1" applyBorder="1" applyAlignment="1">
      <alignment horizontal="center" vertical="center"/>
    </xf>
    <xf numFmtId="169" fontId="133" fillId="0" borderId="40" xfId="2" applyNumberFormat="1" applyFont="1" applyBorder="1" applyAlignment="1">
      <alignment horizontal="center" vertical="center"/>
    </xf>
    <xf numFmtId="0" fontId="171" fillId="2" borderId="59" xfId="0" applyFont="1" applyFill="1" applyBorder="1" applyAlignment="1">
      <alignment horizontal="center" vertical="center"/>
    </xf>
    <xf numFmtId="0" fontId="171" fillId="2" borderId="55" xfId="0" applyFont="1" applyFill="1" applyBorder="1" applyAlignment="1">
      <alignment horizontal="center" vertical="center"/>
    </xf>
    <xf numFmtId="0" fontId="171" fillId="2" borderId="57" xfId="0" applyFont="1" applyFill="1" applyBorder="1" applyAlignment="1">
      <alignment horizontal="center" vertical="center"/>
    </xf>
    <xf numFmtId="0" fontId="171" fillId="2" borderId="18" xfId="0" applyFont="1" applyFill="1" applyBorder="1" applyAlignment="1">
      <alignment horizontal="center" vertical="center"/>
    </xf>
    <xf numFmtId="0" fontId="171" fillId="2" borderId="44" xfId="5" applyFont="1" applyFill="1" applyBorder="1" applyAlignment="1">
      <alignment horizontal="center" vertical="center"/>
    </xf>
    <xf numFmtId="0" fontId="171" fillId="2" borderId="62" xfId="5" applyFont="1" applyFill="1" applyBorder="1" applyAlignment="1">
      <alignment horizontal="center" vertical="center"/>
    </xf>
    <xf numFmtId="0" fontId="173" fillId="29" borderId="59" xfId="0" applyFont="1" applyFill="1" applyBorder="1" applyAlignment="1">
      <alignment horizontal="center" vertical="center" wrapText="1"/>
    </xf>
    <xf numFmtId="0" fontId="173" fillId="29" borderId="55" xfId="0" applyFont="1" applyFill="1" applyBorder="1" applyAlignment="1">
      <alignment horizontal="center" vertical="center" wrapText="1"/>
    </xf>
    <xf numFmtId="0" fontId="171" fillId="2" borderId="60" xfId="0" applyFont="1" applyFill="1" applyBorder="1" applyAlignment="1">
      <alignment horizontal="center" vertical="center"/>
    </xf>
    <xf numFmtId="0" fontId="171" fillId="2" borderId="61" xfId="0" applyFont="1" applyFill="1" applyBorder="1" applyAlignment="1">
      <alignment horizontal="center" vertical="center"/>
    </xf>
    <xf numFmtId="0" fontId="128" fillId="2" borderId="54" xfId="5" applyFont="1" applyFill="1" applyBorder="1" applyAlignment="1">
      <alignment horizontal="center" vertical="center"/>
    </xf>
    <xf numFmtId="0" fontId="128" fillId="2" borderId="23" xfId="5" applyFont="1" applyFill="1" applyBorder="1" applyAlignment="1">
      <alignment horizontal="center" vertical="center"/>
    </xf>
    <xf numFmtId="0" fontId="125" fillId="0" borderId="18" xfId="5" applyFont="1" applyBorder="1" applyAlignment="1">
      <alignment horizontal="center" vertical="center"/>
    </xf>
    <xf numFmtId="0" fontId="125" fillId="0" borderId="19" xfId="5" applyFont="1" applyBorder="1" applyAlignment="1">
      <alignment horizontal="center" vertical="center"/>
    </xf>
    <xf numFmtId="0" fontId="128" fillId="2" borderId="44" xfId="5" applyFont="1" applyFill="1" applyBorder="1" applyAlignment="1">
      <alignment horizontal="center" vertical="center"/>
    </xf>
    <xf numFmtId="0" fontId="123" fillId="2" borderId="38" xfId="5" applyFont="1" applyFill="1" applyBorder="1" applyAlignment="1">
      <alignment horizontal="center" vertical="center"/>
    </xf>
    <xf numFmtId="0" fontId="123" fillId="2" borderId="39" xfId="5" applyFont="1" applyFill="1" applyBorder="1" applyAlignment="1">
      <alignment horizontal="center" vertical="center"/>
    </xf>
    <xf numFmtId="0" fontId="123" fillId="2" borderId="19" xfId="5" applyFont="1" applyFill="1" applyBorder="1" applyAlignment="1">
      <alignment horizontal="center" vertical="center"/>
    </xf>
    <xf numFmtId="0" fontId="128" fillId="2" borderId="64" xfId="5" applyFont="1" applyFill="1" applyBorder="1" applyAlignment="1">
      <alignment horizontal="center" vertical="center"/>
    </xf>
    <xf numFmtId="0" fontId="1" fillId="2" borderId="2" xfId="4" applyFill="1" applyBorder="1" applyAlignment="1">
      <alignment horizontal="center" vertical="center"/>
    </xf>
    <xf numFmtId="0" fontId="105" fillId="3" borderId="1" xfId="4" applyFont="1" applyFill="1" applyBorder="1" applyAlignment="1">
      <alignment horizontal="center" vertical="center"/>
    </xf>
    <xf numFmtId="0" fontId="105" fillId="3" borderId="12" xfId="4" applyFont="1" applyFill="1" applyBorder="1" applyAlignment="1">
      <alignment horizontal="center" vertical="center"/>
    </xf>
    <xf numFmtId="0" fontId="105" fillId="3" borderId="38" xfId="4" applyFont="1" applyFill="1" applyBorder="1" applyAlignment="1">
      <alignment horizontal="center" vertical="center"/>
    </xf>
    <xf numFmtId="0" fontId="105" fillId="3" borderId="40" xfId="4" applyFont="1" applyFill="1" applyBorder="1" applyAlignment="1">
      <alignment horizontal="center" vertical="center"/>
    </xf>
    <xf numFmtId="0" fontId="106" fillId="10" borderId="1" xfId="4" applyFont="1" applyFill="1" applyBorder="1" applyAlignment="1">
      <alignment horizontal="center" vertical="center" wrapText="1"/>
    </xf>
    <xf numFmtId="0" fontId="106" fillId="10" borderId="12" xfId="4" applyFont="1" applyFill="1" applyBorder="1" applyAlignment="1">
      <alignment horizontal="center" vertical="center" wrapText="1"/>
    </xf>
    <xf numFmtId="0" fontId="106" fillId="10" borderId="51" xfId="4" applyFont="1" applyFill="1" applyBorder="1" applyAlignment="1">
      <alignment horizontal="center" vertical="center" wrapText="1"/>
    </xf>
    <xf numFmtId="0" fontId="106" fillId="10" borderId="52" xfId="4" applyFont="1" applyFill="1" applyBorder="1" applyAlignment="1">
      <alignment horizontal="center" vertical="center" wrapText="1"/>
    </xf>
    <xf numFmtId="0" fontId="106" fillId="10" borderId="38" xfId="4" applyFont="1" applyFill="1" applyBorder="1" applyAlignment="1">
      <alignment horizontal="center" vertical="center" wrapText="1"/>
    </xf>
    <xf numFmtId="0" fontId="106" fillId="10" borderId="40" xfId="4" applyFont="1" applyFill="1" applyBorder="1" applyAlignment="1">
      <alignment horizontal="center" vertical="center" wrapText="1"/>
    </xf>
    <xf numFmtId="0" fontId="25" fillId="10" borderId="51" xfId="4" applyFont="1" applyFill="1" applyBorder="1" applyAlignment="1">
      <alignment horizontal="center" vertical="center"/>
    </xf>
    <xf numFmtId="0" fontId="25" fillId="10" borderId="52" xfId="4" applyFont="1" applyFill="1" applyBorder="1" applyAlignment="1">
      <alignment horizontal="center" vertical="center"/>
    </xf>
    <xf numFmtId="0" fontId="25" fillId="10" borderId="38" xfId="4" applyFont="1" applyFill="1" applyBorder="1" applyAlignment="1">
      <alignment horizontal="center" vertical="center"/>
    </xf>
    <xf numFmtId="0" fontId="25" fillId="10" borderId="40" xfId="4" applyFont="1" applyFill="1" applyBorder="1" applyAlignment="1">
      <alignment horizontal="center" vertical="center"/>
    </xf>
    <xf numFmtId="0" fontId="2" fillId="2" borderId="0" xfId="4" applyFont="1" applyFill="1" applyAlignment="1">
      <alignment horizontal="center" vertical="center"/>
    </xf>
    <xf numFmtId="0" fontId="3" fillId="3" borderId="37" xfId="4" applyFont="1" applyFill="1" applyBorder="1" applyAlignment="1">
      <alignment horizontal="center" vertical="center"/>
    </xf>
    <xf numFmtId="0" fontId="3" fillId="3" borderId="4" xfId="4" applyFont="1" applyFill="1" applyBorder="1" applyAlignment="1">
      <alignment horizontal="center" vertical="center"/>
    </xf>
    <xf numFmtId="0" fontId="25" fillId="10" borderId="1" xfId="4" applyFont="1" applyFill="1" applyBorder="1" applyAlignment="1">
      <alignment horizontal="center" vertical="center"/>
    </xf>
    <xf numFmtId="0" fontId="25" fillId="10" borderId="12" xfId="4" applyFont="1" applyFill="1" applyBorder="1" applyAlignment="1">
      <alignment horizontal="center" vertical="center"/>
    </xf>
    <xf numFmtId="0" fontId="36" fillId="14" borderId="17" xfId="6" applyFont="1" applyFill="1" applyBorder="1" applyAlignment="1">
      <alignment horizontal="center" vertical="center"/>
    </xf>
    <xf numFmtId="0" fontId="36" fillId="14" borderId="15" xfId="6" applyFont="1" applyFill="1" applyBorder="1" applyAlignment="1">
      <alignment horizontal="center" vertical="center"/>
    </xf>
    <xf numFmtId="0" fontId="36" fillId="3" borderId="1" xfId="6" applyFont="1" applyFill="1" applyBorder="1" applyAlignment="1">
      <alignment horizontal="center" vertical="center" wrapText="1"/>
    </xf>
    <xf numFmtId="0" fontId="36" fillId="3" borderId="2" xfId="6" applyFont="1" applyFill="1" applyBorder="1" applyAlignment="1">
      <alignment horizontal="center" vertical="center" wrapText="1"/>
    </xf>
    <xf numFmtId="0" fontId="36" fillId="3" borderId="12" xfId="6" applyFont="1" applyFill="1" applyBorder="1" applyAlignment="1">
      <alignment horizontal="center" vertical="center" wrapText="1"/>
    </xf>
    <xf numFmtId="0" fontId="36" fillId="3" borderId="51" xfId="6" applyFont="1" applyFill="1" applyBorder="1" applyAlignment="1">
      <alignment horizontal="center" vertical="center" wrapText="1"/>
    </xf>
    <xf numFmtId="0" fontId="36" fillId="3" borderId="0" xfId="6" applyFont="1" applyFill="1" applyAlignment="1">
      <alignment horizontal="center" vertical="center" wrapText="1"/>
    </xf>
    <xf numFmtId="0" fontId="36" fillId="3" borderId="52" xfId="6" applyFont="1" applyFill="1" applyBorder="1" applyAlignment="1">
      <alignment horizontal="center" vertical="center" wrapText="1"/>
    </xf>
    <xf numFmtId="0" fontId="36" fillId="3" borderId="38" xfId="6" applyFont="1" applyFill="1" applyBorder="1" applyAlignment="1">
      <alignment horizontal="center" vertical="center" wrapText="1"/>
    </xf>
    <xf numFmtId="0" fontId="36" fillId="3" borderId="39" xfId="6" applyFont="1" applyFill="1" applyBorder="1" applyAlignment="1">
      <alignment horizontal="center" vertical="center" wrapText="1"/>
    </xf>
    <xf numFmtId="0" fontId="36" fillId="3" borderId="40" xfId="6" applyFont="1" applyFill="1" applyBorder="1" applyAlignment="1">
      <alignment horizontal="center" vertical="center" wrapText="1"/>
    </xf>
    <xf numFmtId="0" fontId="36" fillId="22" borderId="17" xfId="6" applyFont="1" applyFill="1" applyBorder="1" applyAlignment="1">
      <alignment horizontal="center" vertical="center"/>
    </xf>
    <xf numFmtId="0" fontId="36" fillId="22" borderId="15" xfId="6" applyFont="1" applyFill="1" applyBorder="1" applyAlignment="1">
      <alignment horizontal="center" vertical="center"/>
    </xf>
    <xf numFmtId="0" fontId="37" fillId="8" borderId="17" xfId="6" applyFont="1" applyFill="1" applyBorder="1" applyAlignment="1">
      <alignment horizontal="center" vertical="center"/>
    </xf>
    <xf numFmtId="0" fontId="37" fillId="8" borderId="15" xfId="6" applyFont="1" applyFill="1" applyBorder="1" applyAlignment="1">
      <alignment horizontal="center" vertical="center"/>
    </xf>
    <xf numFmtId="0" fontId="36" fillId="2" borderId="17" xfId="6" applyFont="1" applyFill="1" applyBorder="1" applyAlignment="1">
      <alignment horizontal="center" vertical="center"/>
    </xf>
    <xf numFmtId="0" fontId="36" fillId="2" borderId="15" xfId="6" applyFont="1" applyFill="1" applyBorder="1" applyAlignment="1">
      <alignment horizontal="center" vertical="center"/>
    </xf>
    <xf numFmtId="0" fontId="37" fillId="16" borderId="17" xfId="6" applyFont="1" applyFill="1" applyBorder="1" applyAlignment="1">
      <alignment horizontal="center" vertical="center"/>
    </xf>
    <xf numFmtId="0" fontId="37" fillId="16" borderId="15" xfId="6" applyFont="1" applyFill="1" applyBorder="1" applyAlignment="1">
      <alignment horizontal="center" vertical="center"/>
    </xf>
    <xf numFmtId="0" fontId="3" fillId="2" borderId="46" xfId="3" applyFont="1" applyFill="1" applyBorder="1" applyAlignment="1">
      <alignment horizontal="center" vertical="center"/>
    </xf>
    <xf numFmtId="0" fontId="3" fillId="2" borderId="66" xfId="3" applyFont="1" applyFill="1" applyBorder="1" applyAlignment="1">
      <alignment horizontal="center" vertical="center"/>
    </xf>
    <xf numFmtId="0" fontId="37" fillId="16" borderId="9" xfId="6" applyFont="1" applyFill="1" applyBorder="1" applyAlignment="1">
      <alignment horizontal="center" vertical="center"/>
    </xf>
    <xf numFmtId="0" fontId="37" fillId="16" borderId="7" xfId="6" applyFont="1" applyFill="1" applyBorder="1" applyAlignment="1">
      <alignment horizontal="center" vertical="center"/>
    </xf>
    <xf numFmtId="0" fontId="3" fillId="14" borderId="17" xfId="6" applyFont="1" applyFill="1" applyBorder="1" applyAlignment="1">
      <alignment horizontal="center" vertical="center"/>
    </xf>
    <xf numFmtId="0" fontId="3" fillId="14" borderId="15" xfId="6" applyFont="1" applyFill="1" applyBorder="1" applyAlignment="1">
      <alignment horizontal="center" vertical="center"/>
    </xf>
    <xf numFmtId="0" fontId="3" fillId="14" borderId="46" xfId="6" applyFont="1" applyFill="1" applyBorder="1" applyAlignment="1">
      <alignment horizontal="center" vertical="center"/>
    </xf>
    <xf numFmtId="0" fontId="3" fillId="14" borderId="66" xfId="6" applyFont="1" applyFill="1" applyBorder="1" applyAlignment="1">
      <alignment horizontal="center" vertical="center"/>
    </xf>
    <xf numFmtId="0" fontId="36" fillId="8" borderId="17" xfId="6" applyFont="1" applyFill="1" applyBorder="1" applyAlignment="1">
      <alignment horizontal="center" vertical="center"/>
    </xf>
    <xf numFmtId="0" fontId="36" fillId="8" borderId="15" xfId="6" applyFont="1" applyFill="1" applyBorder="1" applyAlignment="1">
      <alignment horizontal="center" vertical="center"/>
    </xf>
    <xf numFmtId="0" fontId="3" fillId="14" borderId="46" xfId="3" applyFont="1" applyFill="1" applyBorder="1" applyAlignment="1">
      <alignment horizontal="center" vertical="center"/>
    </xf>
    <xf numFmtId="0" fontId="3" fillId="14" borderId="66" xfId="3" applyFont="1" applyFill="1" applyBorder="1" applyAlignment="1">
      <alignment horizontal="center" vertical="center"/>
    </xf>
    <xf numFmtId="0" fontId="37" fillId="21" borderId="17" xfId="6" applyFont="1" applyFill="1" applyBorder="1" applyAlignment="1">
      <alignment horizontal="center" vertical="center"/>
    </xf>
    <xf numFmtId="0" fontId="37" fillId="21" borderId="15" xfId="6" applyFont="1" applyFill="1" applyBorder="1" applyAlignment="1">
      <alignment horizontal="center" vertical="center"/>
    </xf>
    <xf numFmtId="0" fontId="37" fillId="2" borderId="0" xfId="6" applyFont="1" applyFill="1" applyAlignment="1">
      <alignment horizontal="left" vertical="center"/>
    </xf>
    <xf numFmtId="0" fontId="42" fillId="8" borderId="17" xfId="6" applyFont="1" applyFill="1" applyBorder="1" applyAlignment="1">
      <alignment horizontal="center" vertical="center"/>
    </xf>
    <xf numFmtId="0" fontId="42" fillId="8" borderId="15" xfId="6" applyFont="1" applyFill="1" applyBorder="1" applyAlignment="1">
      <alignment horizontal="center" vertical="center"/>
    </xf>
    <xf numFmtId="0" fontId="40" fillId="2" borderId="0" xfId="6" applyFont="1" applyFill="1" applyAlignment="1">
      <alignment horizontal="center" vertical="center"/>
    </xf>
    <xf numFmtId="0" fontId="37" fillId="16" borderId="46" xfId="6" applyFont="1" applyFill="1" applyBorder="1" applyAlignment="1">
      <alignment horizontal="center" vertical="center"/>
    </xf>
    <xf numFmtId="0" fontId="37" fillId="16" borderId="66" xfId="6" applyFont="1" applyFill="1" applyBorder="1" applyAlignment="1">
      <alignment horizontal="center" vertical="center"/>
    </xf>
    <xf numFmtId="0" fontId="37" fillId="19" borderId="17" xfId="6" applyFont="1" applyFill="1" applyBorder="1" applyAlignment="1">
      <alignment horizontal="center" vertical="center"/>
    </xf>
    <xf numFmtId="0" fontId="37" fillId="19" borderId="15" xfId="6" applyFont="1" applyFill="1" applyBorder="1" applyAlignment="1">
      <alignment horizontal="center" vertical="center"/>
    </xf>
    <xf numFmtId="0" fontId="37" fillId="0" borderId="17" xfId="6" applyFont="1" applyBorder="1" applyAlignment="1">
      <alignment horizontal="center" vertical="center"/>
    </xf>
    <xf numFmtId="0" fontId="37" fillId="0" borderId="15" xfId="6" applyFont="1" applyBorder="1" applyAlignment="1">
      <alignment horizontal="center" vertical="center"/>
    </xf>
    <xf numFmtId="0" fontId="37" fillId="8" borderId="9" xfId="6" applyFont="1" applyFill="1" applyBorder="1" applyAlignment="1">
      <alignment horizontal="center" vertical="center"/>
    </xf>
    <xf numFmtId="0" fontId="37" fillId="8" borderId="7" xfId="6" applyFont="1" applyFill="1" applyBorder="1" applyAlignment="1">
      <alignment horizontal="center" vertical="center"/>
    </xf>
    <xf numFmtId="0" fontId="3" fillId="18" borderId="17" xfId="6" applyFont="1" applyFill="1" applyBorder="1" applyAlignment="1">
      <alignment horizontal="center" vertical="center"/>
    </xf>
    <xf numFmtId="0" fontId="3" fillId="18" borderId="15" xfId="6" applyFont="1" applyFill="1" applyBorder="1" applyAlignment="1">
      <alignment horizontal="center" vertical="center"/>
    </xf>
    <xf numFmtId="0" fontId="37" fillId="19" borderId="9" xfId="6" applyFont="1" applyFill="1" applyBorder="1" applyAlignment="1">
      <alignment horizontal="center" vertical="center"/>
    </xf>
    <xf numFmtId="0" fontId="37" fillId="19" borderId="7" xfId="6" applyFont="1" applyFill="1" applyBorder="1" applyAlignment="1">
      <alignment horizontal="center" vertical="center"/>
    </xf>
    <xf numFmtId="0" fontId="37" fillId="18" borderId="17" xfId="6" applyFont="1" applyFill="1" applyBorder="1" applyAlignment="1">
      <alignment horizontal="center" vertical="center"/>
    </xf>
    <xf numFmtId="0" fontId="37" fillId="18" borderId="15" xfId="6" applyFont="1" applyFill="1" applyBorder="1" applyAlignment="1">
      <alignment horizontal="center" vertical="center"/>
    </xf>
    <xf numFmtId="0" fontId="3" fillId="12" borderId="37" xfId="6" applyFont="1" applyFill="1" applyBorder="1" applyAlignment="1">
      <alignment horizontal="center" vertical="center"/>
    </xf>
    <xf numFmtId="0" fontId="3" fillId="12" borderId="4" xfId="6" applyFont="1" applyFill="1" applyBorder="1" applyAlignment="1">
      <alignment horizontal="center" vertical="center"/>
    </xf>
    <xf numFmtId="0" fontId="3" fillId="14" borderId="32" xfId="3" applyFont="1" applyFill="1" applyBorder="1" applyAlignment="1">
      <alignment horizontal="center" vertical="center"/>
    </xf>
    <xf numFmtId="0" fontId="3" fillId="14" borderId="33" xfId="3" applyFont="1" applyFill="1" applyBorder="1" applyAlignment="1">
      <alignment horizontal="center" vertical="center"/>
    </xf>
    <xf numFmtId="0" fontId="38" fillId="2" borderId="0" xfId="6" applyFont="1" applyFill="1" applyAlignment="1">
      <alignment horizontal="center"/>
    </xf>
    <xf numFmtId="0" fontId="25" fillId="2" borderId="0" xfId="6" applyFont="1" applyFill="1" applyAlignment="1">
      <alignment horizontal="center" vertical="center" wrapText="1"/>
    </xf>
    <xf numFmtId="0" fontId="14" fillId="3" borderId="37" xfId="6" applyFont="1" applyFill="1" applyBorder="1" applyAlignment="1">
      <alignment horizontal="center" vertical="center"/>
    </xf>
    <xf numFmtId="0" fontId="14" fillId="3" borderId="4" xfId="6" applyFont="1" applyFill="1" applyBorder="1" applyAlignment="1">
      <alignment horizontal="center" vertical="center"/>
    </xf>
    <xf numFmtId="0" fontId="1" fillId="2" borderId="63" xfId="6" applyFill="1" applyBorder="1" applyAlignment="1">
      <alignment horizontal="center"/>
    </xf>
    <xf numFmtId="0" fontId="1" fillId="2" borderId="0" xfId="6" applyFill="1" applyAlignment="1">
      <alignment horizontal="center"/>
    </xf>
    <xf numFmtId="0" fontId="32" fillId="2" borderId="20" xfId="6" applyFont="1" applyFill="1" applyBorder="1" applyAlignment="1">
      <alignment horizontal="center" vertical="center" wrapText="1"/>
    </xf>
    <xf numFmtId="0" fontId="32" fillId="2" borderId="44" xfId="6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" fontId="26" fillId="10" borderId="60" xfId="6" applyNumberFormat="1" applyFont="1" applyFill="1" applyBorder="1" applyAlignment="1">
      <alignment horizontal="center" vertical="center"/>
    </xf>
    <xf numFmtId="3" fontId="26" fillId="10" borderId="35" xfId="6" applyNumberFormat="1" applyFont="1" applyFill="1" applyBorder="1" applyAlignment="1">
      <alignment horizontal="center" vertical="center"/>
    </xf>
    <xf numFmtId="3" fontId="26" fillId="10" borderId="61" xfId="6" applyNumberFormat="1" applyFont="1" applyFill="1" applyBorder="1" applyAlignment="1">
      <alignment horizontal="center" vertical="center"/>
    </xf>
    <xf numFmtId="0" fontId="2" fillId="7" borderId="41" xfId="6" applyFont="1" applyFill="1" applyBorder="1" applyAlignment="1">
      <alignment horizontal="center" vertical="center" wrapText="1"/>
    </xf>
    <xf numFmtId="0" fontId="2" fillId="7" borderId="14" xfId="6" applyFont="1" applyFill="1" applyBorder="1" applyAlignment="1">
      <alignment horizontal="center" vertical="center" wrapText="1"/>
    </xf>
    <xf numFmtId="0" fontId="1" fillId="2" borderId="1" xfId="6" applyFill="1" applyBorder="1" applyAlignment="1">
      <alignment horizontal="center" vertical="center"/>
    </xf>
    <xf numFmtId="0" fontId="1" fillId="2" borderId="2" xfId="6" applyFill="1" applyBorder="1" applyAlignment="1">
      <alignment horizontal="center" vertical="center"/>
    </xf>
    <xf numFmtId="0" fontId="1" fillId="2" borderId="12" xfId="6" applyFill="1" applyBorder="1" applyAlignment="1">
      <alignment horizontal="center" vertical="center"/>
    </xf>
    <xf numFmtId="0" fontId="1" fillId="2" borderId="51" xfId="6" applyFill="1" applyBorder="1" applyAlignment="1">
      <alignment horizontal="center" vertical="center"/>
    </xf>
    <xf numFmtId="0" fontId="1" fillId="2" borderId="0" xfId="6" applyFill="1" applyAlignment="1">
      <alignment horizontal="center" vertical="center"/>
    </xf>
    <xf numFmtId="0" fontId="1" fillId="2" borderId="52" xfId="6" applyFill="1" applyBorder="1" applyAlignment="1">
      <alignment horizontal="center" vertical="center"/>
    </xf>
    <xf numFmtId="0" fontId="1" fillId="2" borderId="38" xfId="6" applyFill="1" applyBorder="1" applyAlignment="1">
      <alignment horizontal="center" vertical="center"/>
    </xf>
    <xf numFmtId="0" fontId="1" fillId="2" borderId="39" xfId="6" applyFill="1" applyBorder="1" applyAlignment="1">
      <alignment horizontal="center" vertical="center"/>
    </xf>
    <xf numFmtId="0" fontId="1" fillId="2" borderId="40" xfId="6" applyFill="1" applyBorder="1" applyAlignment="1">
      <alignment horizontal="center" vertical="center"/>
    </xf>
    <xf numFmtId="0" fontId="4" fillId="3" borderId="1" xfId="6" applyFont="1" applyFill="1" applyBorder="1" applyAlignment="1">
      <alignment horizontal="center" vertical="center"/>
    </xf>
    <xf numFmtId="0" fontId="4" fillId="3" borderId="2" xfId="6" applyFont="1" applyFill="1" applyBorder="1" applyAlignment="1">
      <alignment horizontal="center" vertical="center"/>
    </xf>
    <xf numFmtId="0" fontId="4" fillId="3" borderId="38" xfId="6" applyFont="1" applyFill="1" applyBorder="1" applyAlignment="1">
      <alignment horizontal="center" vertical="center"/>
    </xf>
    <xf numFmtId="0" fontId="4" fillId="3" borderId="39" xfId="6" applyFont="1" applyFill="1" applyBorder="1" applyAlignment="1">
      <alignment horizontal="center" vertical="center"/>
    </xf>
    <xf numFmtId="0" fontId="22" fillId="11" borderId="1" xfId="6" applyFont="1" applyFill="1" applyBorder="1" applyAlignment="1">
      <alignment horizontal="center" vertical="center"/>
    </xf>
    <xf numFmtId="0" fontId="22" fillId="11" borderId="12" xfId="6" applyFont="1" applyFill="1" applyBorder="1" applyAlignment="1">
      <alignment horizontal="center" vertical="center"/>
    </xf>
    <xf numFmtId="0" fontId="22" fillId="11" borderId="38" xfId="6" applyFont="1" applyFill="1" applyBorder="1" applyAlignment="1">
      <alignment horizontal="center" vertical="center"/>
    </xf>
    <xf numFmtId="0" fontId="22" fillId="11" borderId="40" xfId="6" applyFont="1" applyFill="1" applyBorder="1" applyAlignment="1">
      <alignment horizontal="center" vertical="center"/>
    </xf>
    <xf numFmtId="0" fontId="23" fillId="10" borderId="1" xfId="6" applyFont="1" applyFill="1" applyBorder="1" applyAlignment="1">
      <alignment horizontal="center" vertical="center"/>
    </xf>
    <xf numFmtId="0" fontId="23" fillId="10" borderId="2" xfId="6" applyFont="1" applyFill="1" applyBorder="1" applyAlignment="1">
      <alignment horizontal="center" vertical="center"/>
    </xf>
    <xf numFmtId="0" fontId="23" fillId="10" borderId="51" xfId="6" applyFont="1" applyFill="1" applyBorder="1" applyAlignment="1">
      <alignment horizontal="center" vertical="center"/>
    </xf>
    <xf numFmtId="0" fontId="23" fillId="10" borderId="0" xfId="6" applyFont="1" applyFill="1" applyAlignment="1">
      <alignment horizontal="center" vertical="center"/>
    </xf>
    <xf numFmtId="17" fontId="23" fillId="10" borderId="2" xfId="6" applyNumberFormat="1" applyFont="1" applyFill="1" applyBorder="1" applyAlignment="1">
      <alignment horizontal="center" vertical="center"/>
    </xf>
    <xf numFmtId="17" fontId="23" fillId="10" borderId="12" xfId="6" applyNumberFormat="1" applyFont="1" applyFill="1" applyBorder="1" applyAlignment="1">
      <alignment horizontal="center" vertical="center"/>
    </xf>
    <xf numFmtId="17" fontId="23" fillId="10" borderId="0" xfId="6" applyNumberFormat="1" applyFont="1" applyFill="1" applyAlignment="1">
      <alignment horizontal="center" vertical="center"/>
    </xf>
    <xf numFmtId="17" fontId="23" fillId="10" borderId="52" xfId="6" applyNumberFormat="1" applyFont="1" applyFill="1" applyBorder="1" applyAlignment="1">
      <alignment horizontal="center" vertical="center"/>
    </xf>
    <xf numFmtId="0" fontId="2" fillId="7" borderId="30" xfId="6" applyFont="1" applyFill="1" applyBorder="1" applyAlignment="1">
      <alignment horizontal="center" vertical="center"/>
    </xf>
    <xf numFmtId="0" fontId="2" fillId="7" borderId="34" xfId="6" applyFont="1" applyFill="1" applyBorder="1" applyAlignment="1">
      <alignment horizontal="center" vertical="center"/>
    </xf>
    <xf numFmtId="0" fontId="2" fillId="7" borderId="22" xfId="6" applyFont="1" applyFill="1" applyBorder="1" applyAlignment="1">
      <alignment horizontal="center" vertical="center"/>
    </xf>
    <xf numFmtId="0" fontId="2" fillId="7" borderId="53" xfId="6" applyFont="1" applyFill="1" applyBorder="1" applyAlignment="1">
      <alignment horizontal="center" vertical="center"/>
    </xf>
    <xf numFmtId="0" fontId="2" fillId="7" borderId="1" xfId="6" applyFont="1" applyFill="1" applyBorder="1" applyAlignment="1">
      <alignment horizontal="center" vertical="center"/>
    </xf>
    <xf numFmtId="0" fontId="2" fillId="7" borderId="12" xfId="6" applyFont="1" applyFill="1" applyBorder="1" applyAlignment="1">
      <alignment horizontal="center" vertical="center"/>
    </xf>
    <xf numFmtId="0" fontId="2" fillId="7" borderId="38" xfId="6" applyFont="1" applyFill="1" applyBorder="1" applyAlignment="1">
      <alignment horizontal="center" vertical="center"/>
    </xf>
    <xf numFmtId="0" fontId="2" fillId="7" borderId="40" xfId="6" applyFont="1" applyFill="1" applyBorder="1" applyAlignment="1">
      <alignment horizontal="center" vertical="center"/>
    </xf>
    <xf numFmtId="0" fontId="2" fillId="7" borderId="30" xfId="6" applyFont="1" applyFill="1" applyBorder="1" applyAlignment="1">
      <alignment horizontal="center" vertical="center" wrapText="1"/>
    </xf>
    <xf numFmtId="0" fontId="2" fillId="7" borderId="34" xfId="6" applyFont="1" applyFill="1" applyBorder="1" applyAlignment="1">
      <alignment horizontal="center" vertical="center" wrapText="1"/>
    </xf>
    <xf numFmtId="0" fontId="2" fillId="7" borderId="24" xfId="6" applyFont="1" applyFill="1" applyBorder="1" applyAlignment="1">
      <alignment horizontal="center" vertical="center" wrapText="1"/>
    </xf>
    <xf numFmtId="0" fontId="2" fillId="7" borderId="36" xfId="6" applyFont="1" applyFill="1" applyBorder="1" applyAlignment="1">
      <alignment horizontal="center" vertical="center" wrapText="1"/>
    </xf>
    <xf numFmtId="0" fontId="27" fillId="11" borderId="1" xfId="6" applyFont="1" applyFill="1" applyBorder="1" applyAlignment="1">
      <alignment horizontal="center" vertical="center" wrapText="1"/>
    </xf>
    <xf numFmtId="0" fontId="27" fillId="11" borderId="12" xfId="6" applyFont="1" applyFill="1" applyBorder="1" applyAlignment="1">
      <alignment horizontal="center" vertical="center" wrapText="1"/>
    </xf>
    <xf numFmtId="0" fontId="27" fillId="11" borderId="38" xfId="6" applyFont="1" applyFill="1" applyBorder="1" applyAlignment="1">
      <alignment horizontal="center" vertical="center" wrapText="1"/>
    </xf>
    <xf numFmtId="0" fontId="27" fillId="11" borderId="40" xfId="6" applyFont="1" applyFill="1" applyBorder="1" applyAlignment="1">
      <alignment horizontal="center" vertical="center" wrapText="1"/>
    </xf>
    <xf numFmtId="168" fontId="28" fillId="3" borderId="51" xfId="6" applyNumberFormat="1" applyFont="1" applyFill="1" applyBorder="1" applyAlignment="1">
      <alignment horizontal="center" vertical="center"/>
    </xf>
    <xf numFmtId="168" fontId="28" fillId="3" borderId="0" xfId="6" applyNumberFormat="1" applyFont="1" applyFill="1" applyAlignment="1">
      <alignment horizontal="center" vertical="center"/>
    </xf>
    <xf numFmtId="168" fontId="28" fillId="3" borderId="52" xfId="6" applyNumberFormat="1" applyFont="1" applyFill="1" applyBorder="1" applyAlignment="1">
      <alignment horizontal="center" vertical="center"/>
    </xf>
    <xf numFmtId="168" fontId="28" fillId="3" borderId="38" xfId="6" applyNumberFormat="1" applyFont="1" applyFill="1" applyBorder="1" applyAlignment="1">
      <alignment horizontal="center" vertical="center"/>
    </xf>
    <xf numFmtId="168" fontId="28" fillId="3" borderId="39" xfId="6" applyNumberFormat="1" applyFont="1" applyFill="1" applyBorder="1" applyAlignment="1">
      <alignment horizontal="center" vertical="center"/>
    </xf>
    <xf numFmtId="168" fontId="28" fillId="3" borderId="40" xfId="6" applyNumberFormat="1" applyFont="1" applyFill="1" applyBorder="1" applyAlignment="1">
      <alignment horizontal="center" vertical="center"/>
    </xf>
    <xf numFmtId="0" fontId="29" fillId="10" borderId="1" xfId="6" applyFont="1" applyFill="1" applyBorder="1" applyAlignment="1">
      <alignment horizontal="center" vertical="center" wrapText="1"/>
    </xf>
    <xf numFmtId="0" fontId="29" fillId="10" borderId="2" xfId="6" applyFont="1" applyFill="1" applyBorder="1" applyAlignment="1">
      <alignment horizontal="center" vertical="center" wrapText="1"/>
    </xf>
    <xf numFmtId="0" fontId="29" fillId="10" borderId="12" xfId="6" applyFont="1" applyFill="1" applyBorder="1" applyAlignment="1">
      <alignment horizontal="center" vertical="center" wrapText="1"/>
    </xf>
    <xf numFmtId="0" fontId="29" fillId="10" borderId="38" xfId="6" applyFont="1" applyFill="1" applyBorder="1" applyAlignment="1">
      <alignment horizontal="center" vertical="center" wrapText="1"/>
    </xf>
    <xf numFmtId="0" fontId="29" fillId="10" borderId="39" xfId="6" applyFont="1" applyFill="1" applyBorder="1" applyAlignment="1">
      <alignment horizontal="center" vertical="center" wrapText="1"/>
    </xf>
    <xf numFmtId="0" fontId="29" fillId="10" borderId="40" xfId="6" applyFont="1" applyFill="1" applyBorder="1" applyAlignment="1">
      <alignment horizontal="center" vertical="center" wrapText="1"/>
    </xf>
    <xf numFmtId="3" fontId="31" fillId="3" borderId="60" xfId="6" applyNumberFormat="1" applyFont="1" applyFill="1" applyBorder="1" applyAlignment="1">
      <alignment horizontal="center" vertical="center"/>
    </xf>
    <xf numFmtId="3" fontId="31" fillId="3" borderId="35" xfId="6" applyNumberFormat="1" applyFont="1" applyFill="1" applyBorder="1" applyAlignment="1">
      <alignment horizontal="center" vertical="center"/>
    </xf>
    <xf numFmtId="3" fontId="31" fillId="3" borderId="61" xfId="6" applyNumberFormat="1" applyFont="1" applyFill="1" applyBorder="1" applyAlignment="1">
      <alignment horizontal="center" vertical="center"/>
    </xf>
    <xf numFmtId="166" fontId="31" fillId="3" borderId="60" xfId="6" applyNumberFormat="1" applyFont="1" applyFill="1" applyBorder="1" applyAlignment="1">
      <alignment horizontal="center" vertical="center"/>
    </xf>
    <xf numFmtId="166" fontId="31" fillId="3" borderId="61" xfId="6" applyNumberFormat="1" applyFont="1" applyFill="1" applyBorder="1" applyAlignment="1">
      <alignment horizontal="center" vertical="center"/>
    </xf>
    <xf numFmtId="3" fontId="29" fillId="10" borderId="1" xfId="6" applyNumberFormat="1" applyFont="1" applyFill="1" applyBorder="1" applyAlignment="1">
      <alignment horizontal="center" vertical="center"/>
    </xf>
    <xf numFmtId="3" fontId="29" fillId="10" borderId="12" xfId="6" applyNumberFormat="1" applyFont="1" applyFill="1" applyBorder="1" applyAlignment="1">
      <alignment horizontal="center" vertical="center"/>
    </xf>
    <xf numFmtId="3" fontId="29" fillId="10" borderId="59" xfId="6" applyNumberFormat="1" applyFont="1" applyFill="1" applyBorder="1" applyAlignment="1">
      <alignment horizontal="center" vertical="center"/>
    </xf>
    <xf numFmtId="3" fontId="29" fillId="10" borderId="55" xfId="6" applyNumberFormat="1" applyFont="1" applyFill="1" applyBorder="1" applyAlignment="1">
      <alignment horizontal="center" vertical="center"/>
    </xf>
    <xf numFmtId="165" fontId="29" fillId="10" borderId="1" xfId="6" applyNumberFormat="1" applyFont="1" applyFill="1" applyBorder="1" applyAlignment="1">
      <alignment horizontal="center" vertical="center"/>
    </xf>
    <xf numFmtId="165" fontId="29" fillId="10" borderId="12" xfId="6" applyNumberFormat="1" applyFont="1" applyFill="1" applyBorder="1" applyAlignment="1">
      <alignment horizontal="center" vertical="center"/>
    </xf>
    <xf numFmtId="168" fontId="28" fillId="2" borderId="24" xfId="6" applyNumberFormat="1" applyFont="1" applyFill="1" applyBorder="1" applyAlignment="1">
      <alignment horizontal="center"/>
    </xf>
    <xf numFmtId="168" fontId="28" fillId="2" borderId="36" xfId="6" applyNumberFormat="1" applyFont="1" applyFill="1" applyBorder="1" applyAlignment="1">
      <alignment horizontal="center"/>
    </xf>
    <xf numFmtId="3" fontId="28" fillId="2" borderId="19" xfId="6" applyNumberFormat="1" applyFont="1" applyFill="1" applyBorder="1" applyAlignment="1">
      <alignment horizontal="center" vertical="center"/>
    </xf>
    <xf numFmtId="3" fontId="28" fillId="2" borderId="18" xfId="6" applyNumberFormat="1" applyFont="1" applyFill="1" applyBorder="1" applyAlignment="1">
      <alignment horizontal="center" vertical="center"/>
    </xf>
    <xf numFmtId="166" fontId="28" fillId="2" borderId="48" xfId="6" applyNumberFormat="1" applyFont="1" applyFill="1" applyBorder="1" applyAlignment="1">
      <alignment horizontal="center" vertical="center"/>
    </xf>
    <xf numFmtId="166" fontId="28" fillId="2" borderId="17" xfId="6" applyNumberFormat="1" applyFont="1" applyFill="1" applyBorder="1" applyAlignment="1">
      <alignment horizontal="center" vertical="center"/>
    </xf>
    <xf numFmtId="3" fontId="29" fillId="7" borderId="48" xfId="6" applyNumberFormat="1" applyFont="1" applyFill="1" applyBorder="1" applyAlignment="1">
      <alignment horizontal="center" vertical="center"/>
    </xf>
    <xf numFmtId="3" fontId="29" fillId="7" borderId="49" xfId="6" applyNumberFormat="1" applyFont="1" applyFill="1" applyBorder="1" applyAlignment="1">
      <alignment horizontal="center" vertical="center"/>
    </xf>
    <xf numFmtId="165" fontId="28" fillId="7" borderId="48" xfId="6" applyNumberFormat="1" applyFont="1" applyFill="1" applyBorder="1" applyAlignment="1">
      <alignment horizontal="center" vertical="center"/>
    </xf>
    <xf numFmtId="165" fontId="28" fillId="7" borderId="49" xfId="6" applyNumberFormat="1" applyFont="1" applyFill="1" applyBorder="1" applyAlignment="1">
      <alignment horizontal="center" vertical="center"/>
    </xf>
    <xf numFmtId="3" fontId="30" fillId="7" borderId="48" xfId="6" applyNumberFormat="1" applyFont="1" applyFill="1" applyBorder="1" applyAlignment="1">
      <alignment horizontal="center" vertical="center"/>
    </xf>
    <xf numFmtId="3" fontId="30" fillId="7" borderId="49" xfId="6" applyNumberFormat="1" applyFont="1" applyFill="1" applyBorder="1" applyAlignment="1">
      <alignment horizontal="center" vertical="center"/>
    </xf>
    <xf numFmtId="3" fontId="28" fillId="3" borderId="58" xfId="6" applyNumberFormat="1" applyFont="1" applyFill="1" applyBorder="1" applyAlignment="1">
      <alignment horizontal="center" vertical="center"/>
    </xf>
    <xf numFmtId="3" fontId="28" fillId="3" borderId="43" xfId="6" applyNumberFormat="1" applyFont="1" applyFill="1" applyBorder="1" applyAlignment="1">
      <alignment horizontal="center" vertical="center"/>
    </xf>
    <xf numFmtId="166" fontId="28" fillId="3" borderId="1" xfId="6" applyNumberFormat="1" applyFont="1" applyFill="1" applyBorder="1" applyAlignment="1">
      <alignment horizontal="center" vertical="center"/>
    </xf>
    <xf numFmtId="166" fontId="28" fillId="3" borderId="12" xfId="6" applyNumberFormat="1" applyFont="1" applyFill="1" applyBorder="1" applyAlignment="1">
      <alignment horizontal="center" vertical="center"/>
    </xf>
    <xf numFmtId="3" fontId="28" fillId="3" borderId="59" xfId="6" applyNumberFormat="1" applyFont="1" applyFill="1" applyBorder="1" applyAlignment="1">
      <alignment horizontal="center" vertical="center"/>
    </xf>
    <xf numFmtId="3" fontId="28" fillId="3" borderId="55" xfId="6" applyNumberFormat="1" applyFont="1" applyFill="1" applyBorder="1" applyAlignment="1">
      <alignment horizontal="center" vertical="center"/>
    </xf>
    <xf numFmtId="165" fontId="28" fillId="3" borderId="1" xfId="6" applyNumberFormat="1" applyFont="1" applyFill="1" applyBorder="1" applyAlignment="1">
      <alignment horizontal="center" vertical="center"/>
    </xf>
    <xf numFmtId="165" fontId="28" fillId="3" borderId="12" xfId="6" applyNumberFormat="1" applyFont="1" applyFill="1" applyBorder="1" applyAlignment="1">
      <alignment horizontal="center" vertical="center"/>
    </xf>
    <xf numFmtId="3" fontId="28" fillId="3" borderId="1" xfId="6" applyNumberFormat="1" applyFont="1" applyFill="1" applyBorder="1" applyAlignment="1">
      <alignment horizontal="center" vertical="center"/>
    </xf>
    <xf numFmtId="3" fontId="28" fillId="3" borderId="12" xfId="6" applyNumberFormat="1" applyFont="1" applyFill="1" applyBorder="1" applyAlignment="1">
      <alignment horizontal="center" vertical="center"/>
    </xf>
    <xf numFmtId="168" fontId="28" fillId="2" borderId="48" xfId="6" applyNumberFormat="1" applyFont="1" applyFill="1" applyBorder="1" applyAlignment="1">
      <alignment horizontal="center"/>
    </xf>
    <xf numFmtId="168" fontId="28" fillId="2" borderId="49" xfId="6" applyNumberFormat="1" applyFont="1" applyFill="1" applyBorder="1" applyAlignment="1">
      <alignment horizontal="center"/>
    </xf>
    <xf numFmtId="166" fontId="28" fillId="2" borderId="56" xfId="6" applyNumberFormat="1" applyFont="1" applyFill="1" applyBorder="1" applyAlignment="1">
      <alignment horizontal="center" vertical="center"/>
    </xf>
    <xf numFmtId="166" fontId="28" fillId="2" borderId="46" xfId="6" applyNumberFormat="1" applyFont="1" applyFill="1" applyBorder="1" applyAlignment="1">
      <alignment horizontal="center" vertical="center"/>
    </xf>
    <xf numFmtId="165" fontId="28" fillId="7" borderId="57" xfId="6" applyNumberFormat="1" applyFont="1" applyFill="1" applyBorder="1" applyAlignment="1">
      <alignment horizontal="center" vertical="center"/>
    </xf>
    <xf numFmtId="165" fontId="28" fillId="7" borderId="18" xfId="6" applyNumberFormat="1" applyFont="1" applyFill="1" applyBorder="1" applyAlignment="1">
      <alignment horizontal="center" vertical="center"/>
    </xf>
    <xf numFmtId="166" fontId="28" fillId="2" borderId="57" xfId="6" applyNumberFormat="1" applyFont="1" applyFill="1" applyBorder="1" applyAlignment="1">
      <alignment horizontal="center" vertical="center"/>
    </xf>
    <xf numFmtId="166" fontId="28" fillId="2" borderId="18" xfId="6" applyNumberFormat="1" applyFont="1" applyFill="1" applyBorder="1" applyAlignment="1">
      <alignment horizontal="center" vertical="center"/>
    </xf>
    <xf numFmtId="0" fontId="2" fillId="7" borderId="38" xfId="6" applyFont="1" applyFill="1" applyBorder="1" applyAlignment="1">
      <alignment horizontal="center" vertical="center" wrapText="1"/>
    </xf>
    <xf numFmtId="0" fontId="2" fillId="7" borderId="40" xfId="6" applyFont="1" applyFill="1" applyBorder="1" applyAlignment="1">
      <alignment horizontal="center" vertical="center" wrapText="1"/>
    </xf>
    <xf numFmtId="0" fontId="2" fillId="7" borderId="51" xfId="6" applyFont="1" applyFill="1" applyBorder="1" applyAlignment="1">
      <alignment horizontal="center" vertical="center"/>
    </xf>
    <xf numFmtId="0" fontId="2" fillId="7" borderId="52" xfId="6" applyFont="1" applyFill="1" applyBorder="1" applyAlignment="1">
      <alignment horizontal="center" vertical="center"/>
    </xf>
    <xf numFmtId="168" fontId="28" fillId="2" borderId="30" xfId="6" applyNumberFormat="1" applyFont="1" applyFill="1" applyBorder="1" applyAlignment="1">
      <alignment horizontal="center"/>
    </xf>
    <xf numFmtId="168" fontId="28" fillId="2" borderId="34" xfId="6" applyNumberFormat="1" applyFont="1" applyFill="1" applyBorder="1" applyAlignment="1">
      <alignment horizontal="center"/>
    </xf>
    <xf numFmtId="3" fontId="28" fillId="2" borderId="54" xfId="6" applyNumberFormat="1" applyFont="1" applyFill="1" applyBorder="1" applyAlignment="1">
      <alignment horizontal="center" vertical="center"/>
    </xf>
    <xf numFmtId="3" fontId="28" fillId="2" borderId="55" xfId="6" applyNumberFormat="1" applyFont="1" applyFill="1" applyBorder="1" applyAlignment="1">
      <alignment horizontal="center" vertical="center"/>
    </xf>
    <xf numFmtId="166" fontId="28" fillId="2" borderId="30" xfId="6" applyNumberFormat="1" applyFont="1" applyFill="1" applyBorder="1" applyAlignment="1">
      <alignment horizontal="center" vertical="center"/>
    </xf>
    <xf numFmtId="166" fontId="28" fillId="2" borderId="34" xfId="6" applyNumberFormat="1" applyFont="1" applyFill="1" applyBorder="1" applyAlignment="1">
      <alignment horizontal="center" vertical="center"/>
    </xf>
    <xf numFmtId="3" fontId="29" fillId="7" borderId="30" xfId="6" applyNumberFormat="1" applyFont="1" applyFill="1" applyBorder="1" applyAlignment="1">
      <alignment horizontal="center" vertical="center"/>
    </xf>
    <xf numFmtId="3" fontId="29" fillId="7" borderId="34" xfId="6" applyNumberFormat="1" applyFont="1" applyFill="1" applyBorder="1" applyAlignment="1">
      <alignment horizontal="center" vertical="center"/>
    </xf>
    <xf numFmtId="165" fontId="28" fillId="7" borderId="30" xfId="6" applyNumberFormat="1" applyFont="1" applyFill="1" applyBorder="1" applyAlignment="1">
      <alignment horizontal="center" vertical="center"/>
    </xf>
    <xf numFmtId="165" fontId="28" fillId="7" borderId="34" xfId="6" applyNumberFormat="1" applyFont="1" applyFill="1" applyBorder="1" applyAlignment="1">
      <alignment horizontal="center" vertical="center"/>
    </xf>
    <xf numFmtId="3" fontId="30" fillId="7" borderId="30" xfId="6" applyNumberFormat="1" applyFont="1" applyFill="1" applyBorder="1" applyAlignment="1">
      <alignment horizontal="center" vertical="center"/>
    </xf>
    <xf numFmtId="3" fontId="30" fillId="7" borderId="34" xfId="6" applyNumberFormat="1" applyFont="1" applyFill="1" applyBorder="1" applyAlignment="1">
      <alignment horizontal="center" vertical="center"/>
    </xf>
    <xf numFmtId="0" fontId="28" fillId="2" borderId="48" xfId="6" applyFont="1" applyFill="1" applyBorder="1" applyAlignment="1">
      <alignment horizontal="center" vertical="center"/>
    </xf>
    <xf numFmtId="0" fontId="28" fillId="2" borderId="49" xfId="6" applyFont="1" applyFill="1" applyBorder="1" applyAlignment="1">
      <alignment horizontal="center" vertical="center"/>
    </xf>
    <xf numFmtId="0" fontId="18" fillId="3" borderId="1" xfId="6" applyFont="1" applyFill="1" applyBorder="1" applyAlignment="1">
      <alignment horizontal="center" vertical="center"/>
    </xf>
    <xf numFmtId="0" fontId="18" fillId="3" borderId="12" xfId="6" applyFont="1" applyFill="1" applyBorder="1" applyAlignment="1">
      <alignment horizontal="center" vertical="center"/>
    </xf>
    <xf numFmtId="0" fontId="22" fillId="11" borderId="51" xfId="6" applyFont="1" applyFill="1" applyBorder="1" applyAlignment="1">
      <alignment horizontal="center" vertical="center"/>
    </xf>
    <xf numFmtId="0" fontId="22" fillId="11" borderId="52" xfId="6" applyFont="1" applyFill="1" applyBorder="1" applyAlignment="1">
      <alignment horizontal="center" vertical="center"/>
    </xf>
    <xf numFmtId="0" fontId="18" fillId="3" borderId="38" xfId="6" applyFont="1" applyFill="1" applyBorder="1" applyAlignment="1">
      <alignment horizontal="center" vertical="center"/>
    </xf>
    <xf numFmtId="0" fontId="18" fillId="3" borderId="40" xfId="6" applyFont="1" applyFill="1" applyBorder="1" applyAlignment="1">
      <alignment horizontal="center" vertical="center"/>
    </xf>
    <xf numFmtId="0" fontId="24" fillId="11" borderId="38" xfId="6" applyFont="1" applyFill="1" applyBorder="1" applyAlignment="1">
      <alignment horizontal="center" vertical="center"/>
    </xf>
    <xf numFmtId="0" fontId="24" fillId="11" borderId="40" xfId="6" applyFont="1" applyFill="1" applyBorder="1" applyAlignment="1">
      <alignment horizontal="center" vertical="center"/>
    </xf>
    <xf numFmtId="0" fontId="25" fillId="10" borderId="1" xfId="6" applyFont="1" applyFill="1" applyBorder="1" applyAlignment="1">
      <alignment horizontal="center" vertical="center"/>
    </xf>
    <xf numFmtId="0" fontId="25" fillId="10" borderId="12" xfId="6" applyFont="1" applyFill="1" applyBorder="1" applyAlignment="1">
      <alignment horizontal="center" vertical="center"/>
    </xf>
    <xf numFmtId="17" fontId="25" fillId="10" borderId="38" xfId="6" applyNumberFormat="1" applyFont="1" applyFill="1" applyBorder="1" applyAlignment="1">
      <alignment horizontal="center" vertical="center"/>
    </xf>
    <xf numFmtId="17" fontId="25" fillId="10" borderId="40" xfId="6" applyNumberFormat="1" applyFont="1" applyFill="1" applyBorder="1" applyAlignment="1">
      <alignment horizontal="center" vertical="center"/>
    </xf>
    <xf numFmtId="0" fontId="2" fillId="7" borderId="1" xfId="6" applyFont="1" applyFill="1" applyBorder="1" applyAlignment="1">
      <alignment horizontal="center" vertical="center" wrapText="1"/>
    </xf>
    <xf numFmtId="0" fontId="2" fillId="7" borderId="12" xfId="6" applyFont="1" applyFill="1" applyBorder="1" applyAlignment="1">
      <alignment horizontal="center" vertical="center" wrapText="1"/>
    </xf>
    <xf numFmtId="0" fontId="1" fillId="0" borderId="49" xfId="6" applyBorder="1" applyAlignment="1">
      <alignment horizontal="center" vertical="center"/>
    </xf>
    <xf numFmtId="0" fontId="1" fillId="0" borderId="36" xfId="6" applyBorder="1" applyAlignment="1">
      <alignment horizontal="center" vertical="center"/>
    </xf>
    <xf numFmtId="0" fontId="3" fillId="7" borderId="1" xfId="6" applyFont="1" applyFill="1" applyBorder="1" applyAlignment="1">
      <alignment horizontal="center" vertical="center"/>
    </xf>
    <xf numFmtId="0" fontId="3" fillId="7" borderId="2" xfId="6" applyFont="1" applyFill="1" applyBorder="1" applyAlignment="1">
      <alignment horizontal="center" vertical="center"/>
    </xf>
    <xf numFmtId="0" fontId="3" fillId="7" borderId="12" xfId="6" applyFont="1" applyFill="1" applyBorder="1" applyAlignment="1">
      <alignment horizontal="center" vertical="center"/>
    </xf>
    <xf numFmtId="0" fontId="3" fillId="7" borderId="38" xfId="6" applyFont="1" applyFill="1" applyBorder="1" applyAlignment="1">
      <alignment horizontal="center" vertical="center"/>
    </xf>
    <xf numFmtId="0" fontId="3" fillId="7" borderId="39" xfId="6" applyFont="1" applyFill="1" applyBorder="1" applyAlignment="1">
      <alignment horizontal="center" vertical="center"/>
    </xf>
    <xf numFmtId="0" fontId="3" fillId="7" borderId="40" xfId="6" applyFont="1" applyFill="1" applyBorder="1" applyAlignment="1">
      <alignment horizontal="center" vertical="center"/>
    </xf>
    <xf numFmtId="0" fontId="3" fillId="7" borderId="30" xfId="6" applyFont="1" applyFill="1" applyBorder="1" applyAlignment="1">
      <alignment horizontal="center" vertical="center"/>
    </xf>
    <xf numFmtId="0" fontId="3" fillId="7" borderId="31" xfId="6" applyFont="1" applyFill="1" applyBorder="1" applyAlignment="1">
      <alignment horizontal="center" vertical="center"/>
    </xf>
    <xf numFmtId="0" fontId="3" fillId="7" borderId="34" xfId="6" applyFont="1" applyFill="1" applyBorder="1" applyAlignment="1">
      <alignment horizontal="center" vertical="center"/>
    </xf>
    <xf numFmtId="0" fontId="3" fillId="7" borderId="24" xfId="6" applyFont="1" applyFill="1" applyBorder="1" applyAlignment="1">
      <alignment horizontal="center" vertical="center"/>
    </xf>
    <xf numFmtId="0" fontId="3" fillId="7" borderId="25" xfId="6" applyFont="1" applyFill="1" applyBorder="1" applyAlignment="1">
      <alignment horizontal="center" vertical="center"/>
    </xf>
    <xf numFmtId="0" fontId="3" fillId="7" borderId="36" xfId="6" applyFont="1" applyFill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12" xfId="6" applyFont="1" applyBorder="1" applyAlignment="1">
      <alignment horizontal="center" vertical="center"/>
    </xf>
    <xf numFmtId="0" fontId="18" fillId="0" borderId="38" xfId="6" applyFont="1" applyBorder="1" applyAlignment="1">
      <alignment horizontal="center" vertical="center"/>
    </xf>
    <xf numFmtId="0" fontId="18" fillId="0" borderId="39" xfId="6" applyFont="1" applyBorder="1" applyAlignment="1">
      <alignment horizontal="center" vertical="center"/>
    </xf>
    <xf numFmtId="0" fontId="18" fillId="0" borderId="40" xfId="6" applyFont="1" applyBorder="1" applyAlignment="1">
      <alignment horizontal="center" vertical="center"/>
    </xf>
    <xf numFmtId="0" fontId="1" fillId="0" borderId="16" xfId="6" applyBorder="1" applyAlignment="1">
      <alignment horizontal="center" vertical="center"/>
    </xf>
    <xf numFmtId="0" fontId="1" fillId="0" borderId="25" xfId="6" applyBorder="1" applyAlignment="1">
      <alignment horizontal="center" vertical="center"/>
    </xf>
    <xf numFmtId="0" fontId="1" fillId="0" borderId="16" xfId="6" quotePrefix="1" applyBorder="1" applyAlignment="1">
      <alignment horizontal="center" vertical="center"/>
    </xf>
    <xf numFmtId="0" fontId="17" fillId="7" borderId="41" xfId="6" applyFont="1" applyFill="1" applyBorder="1" applyAlignment="1">
      <alignment horizontal="center" vertical="center" textRotation="255"/>
    </xf>
    <xf numFmtId="0" fontId="17" fillId="7" borderId="44" xfId="6" applyFont="1" applyFill="1" applyBorder="1" applyAlignment="1">
      <alignment horizontal="center" vertical="center" textRotation="255"/>
    </xf>
    <xf numFmtId="0" fontId="17" fillId="0" borderId="20" xfId="6" applyFont="1" applyBorder="1" applyAlignment="1">
      <alignment horizontal="center" vertical="center" textRotation="255"/>
    </xf>
    <xf numFmtId="0" fontId="17" fillId="0" borderId="50" xfId="6" applyFont="1" applyBorder="1" applyAlignment="1">
      <alignment horizontal="center" vertical="center" textRotation="255"/>
    </xf>
    <xf numFmtId="0" fontId="1" fillId="0" borderId="48" xfId="6" applyBorder="1" applyAlignment="1">
      <alignment horizontal="center" vertical="center"/>
    </xf>
    <xf numFmtId="0" fontId="1" fillId="0" borderId="24" xfId="6" applyBorder="1" applyAlignment="1">
      <alignment horizontal="center" vertical="center"/>
    </xf>
    <xf numFmtId="14" fontId="3" fillId="3" borderId="3" xfId="6" applyNumberFormat="1" applyFont="1" applyFill="1" applyBorder="1" applyAlignment="1">
      <alignment horizontal="center" vertical="center"/>
    </xf>
    <xf numFmtId="14" fontId="3" fillId="3" borderId="4" xfId="6" applyNumberFormat="1" applyFont="1" applyFill="1" applyBorder="1" applyAlignment="1">
      <alignment horizontal="center" vertical="center"/>
    </xf>
    <xf numFmtId="0" fontId="18" fillId="9" borderId="37" xfId="6" applyFont="1" applyFill="1" applyBorder="1" applyAlignment="1">
      <alignment horizontal="center" vertical="center"/>
    </xf>
    <xf numFmtId="0" fontId="18" fillId="9" borderId="3" xfId="6" applyFont="1" applyFill="1" applyBorder="1" applyAlignment="1">
      <alignment horizontal="center" vertical="center"/>
    </xf>
    <xf numFmtId="0" fontId="19" fillId="9" borderId="3" xfId="6" applyFont="1" applyFill="1" applyBorder="1" applyAlignment="1">
      <alignment horizontal="center" vertical="center"/>
    </xf>
    <xf numFmtId="0" fontId="20" fillId="10" borderId="37" xfId="6" applyFont="1" applyFill="1" applyBorder="1" applyAlignment="1">
      <alignment horizontal="center" vertical="center"/>
    </xf>
    <xf numFmtId="0" fontId="20" fillId="10" borderId="3" xfId="6" applyFont="1" applyFill="1" applyBorder="1" applyAlignment="1">
      <alignment horizontal="center" vertical="center"/>
    </xf>
    <xf numFmtId="167" fontId="20" fillId="10" borderId="3" xfId="6" applyNumberFormat="1" applyFont="1" applyFill="1" applyBorder="1" applyAlignment="1">
      <alignment horizontal="center" vertical="center"/>
    </xf>
    <xf numFmtId="167" fontId="21" fillId="10" borderId="4" xfId="6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center" vertical="center" textRotation="255" wrapText="1"/>
    </xf>
    <xf numFmtId="166" fontId="143" fillId="7" borderId="0" xfId="2" applyNumberFormat="1" applyFont="1" applyFill="1" applyBorder="1" applyAlignment="1">
      <alignment horizontal="center" vertical="center" wrapText="1"/>
    </xf>
    <xf numFmtId="0" fontId="123" fillId="0" borderId="0" xfId="2" applyFont="1" applyBorder="1" applyAlignment="1">
      <alignment horizontal="center" vertical="center"/>
    </xf>
    <xf numFmtId="166" fontId="127" fillId="7" borderId="0" xfId="2" applyNumberFormat="1" applyFont="1" applyFill="1" applyBorder="1" applyAlignment="1">
      <alignment horizontal="center" vertical="center" wrapText="1"/>
    </xf>
    <xf numFmtId="166" fontId="58" fillId="7" borderId="60" xfId="2" applyNumberFormat="1" applyFont="1" applyFill="1" applyBorder="1" applyAlignment="1">
      <alignment horizontal="center" vertical="center" wrapText="1"/>
    </xf>
    <xf numFmtId="166" fontId="126" fillId="7" borderId="39" xfId="2" applyNumberFormat="1" applyFont="1" applyFill="1" applyBorder="1" applyAlignment="1">
      <alignment horizontal="center" vertical="center" wrapText="1"/>
    </xf>
    <xf numFmtId="0" fontId="123" fillId="2" borderId="50" xfId="2" applyFont="1" applyFill="1" applyBorder="1" applyAlignment="1">
      <alignment horizontal="center" vertical="center" wrapText="1"/>
    </xf>
    <xf numFmtId="0" fontId="125" fillId="2" borderId="6" xfId="5" applyFont="1" applyFill="1" applyBorder="1" applyAlignment="1">
      <alignment horizontal="left" vertical="center"/>
    </xf>
    <xf numFmtId="0" fontId="128" fillId="2" borderId="13" xfId="5" applyFont="1" applyFill="1" applyBorder="1" applyAlignment="1">
      <alignment horizontal="left" vertical="center"/>
    </xf>
    <xf numFmtId="0" fontId="128" fillId="2" borderId="67" xfId="5" applyFont="1" applyFill="1" applyBorder="1" applyAlignment="1">
      <alignment horizontal="left" vertical="center"/>
    </xf>
    <xf numFmtId="0" fontId="128" fillId="2" borderId="35" xfId="5" applyFont="1" applyFill="1" applyBorder="1" applyAlignment="1">
      <alignment horizontal="left" vertical="center"/>
    </xf>
    <xf numFmtId="0" fontId="128" fillId="2" borderId="54" xfId="2" applyFont="1" applyFill="1" applyBorder="1" applyAlignment="1">
      <alignment horizontal="left" vertical="center"/>
    </xf>
    <xf numFmtId="0" fontId="125" fillId="2" borderId="67" xfId="5" applyFont="1" applyFill="1" applyBorder="1" applyAlignment="1">
      <alignment horizontal="left" vertical="center"/>
    </xf>
    <xf numFmtId="0" fontId="123" fillId="2" borderId="19" xfId="5" applyFont="1" applyFill="1" applyBorder="1" applyAlignment="1">
      <alignment horizontal="left" vertical="center"/>
    </xf>
  </cellXfs>
  <cellStyles count="8">
    <cellStyle name="Normal" xfId="0" builtinId="0"/>
    <cellStyle name="Normal 2 2 3 2" xfId="1" xr:uid="{00000000-0005-0000-0000-000031000000}"/>
    <cellStyle name="Normal 2 3 2 2 2 2 2 2 2" xfId="2" xr:uid="{00000000-0005-0000-0000-000032000000}"/>
    <cellStyle name="Normal 2 3 2 2 2 2 2 2 2 2" xfId="3" xr:uid="{00000000-0005-0000-0000-000033000000}"/>
    <cellStyle name="Normal 3 2 2 2 2" xfId="4" xr:uid="{00000000-0005-0000-0000-000034000000}"/>
    <cellStyle name="Normal 3 2 2 2 2 2 2 2" xfId="5" xr:uid="{00000000-0005-0000-0000-000035000000}"/>
    <cellStyle name="Normal 3 2 2 2 2 2 2 2 2" xfId="6" xr:uid="{00000000-0005-0000-0000-000036000000}"/>
    <cellStyle name="Normal 3 4 2" xfId="7" xr:uid="{00000000-0005-0000-0000-000037000000}"/>
  </cellStyles>
  <dxfs count="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514984</xdr:colOff>
      <xdr:row>1</xdr:row>
      <xdr:rowOff>186054</xdr:rowOff>
    </xdr:from>
    <xdr:to>
      <xdr:col>8</xdr:col>
      <xdr:colOff>752474</xdr:colOff>
      <xdr:row>2</xdr:row>
      <xdr:rowOff>405129</xdr:rowOff>
    </xdr:to>
    <xdr:pic>
      <xdr:nvPicPr>
        <xdr:cNvPr id="3" name="Picture 102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5687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68</xdr:row>
      <xdr:rowOff>142875</xdr:rowOff>
    </xdr:from>
    <xdr:to>
      <xdr:col>8</xdr:col>
      <xdr:colOff>342900</xdr:colOff>
      <xdr:row>69</xdr:row>
      <xdr:rowOff>382905</xdr:rowOff>
    </xdr:to>
    <xdr:pic>
      <xdr:nvPicPr>
        <xdr:cNvPr id="2" name="Picture 102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35952430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162</xdr:row>
      <xdr:rowOff>186054</xdr:rowOff>
    </xdr:from>
    <xdr:to>
      <xdr:col>8</xdr:col>
      <xdr:colOff>752474</xdr:colOff>
      <xdr:row>163</xdr:row>
      <xdr:rowOff>405129</xdr:rowOff>
    </xdr:to>
    <xdr:pic>
      <xdr:nvPicPr>
        <xdr:cNvPr id="6" name="Picture 102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83706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162</xdr:row>
      <xdr:rowOff>186054</xdr:rowOff>
    </xdr:from>
    <xdr:to>
      <xdr:col>8</xdr:col>
      <xdr:colOff>752474</xdr:colOff>
      <xdr:row>163</xdr:row>
      <xdr:rowOff>405129</xdr:rowOff>
    </xdr:to>
    <xdr:pic>
      <xdr:nvPicPr>
        <xdr:cNvPr id="7" name="Picture 102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83706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245</xdr:row>
      <xdr:rowOff>186054</xdr:rowOff>
    </xdr:from>
    <xdr:to>
      <xdr:col>8</xdr:col>
      <xdr:colOff>752474</xdr:colOff>
      <xdr:row>246</xdr:row>
      <xdr:rowOff>405129</xdr:rowOff>
    </xdr:to>
    <xdr:pic>
      <xdr:nvPicPr>
        <xdr:cNvPr id="4" name="Picture 1027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13029819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312</xdr:row>
      <xdr:rowOff>186054</xdr:rowOff>
    </xdr:from>
    <xdr:to>
      <xdr:col>8</xdr:col>
      <xdr:colOff>752474</xdr:colOff>
      <xdr:row>313</xdr:row>
      <xdr:rowOff>405129</xdr:rowOff>
    </xdr:to>
    <xdr:pic>
      <xdr:nvPicPr>
        <xdr:cNvPr id="5" name="Picture 102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16693642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375</xdr:row>
      <xdr:rowOff>186054</xdr:rowOff>
    </xdr:from>
    <xdr:to>
      <xdr:col>8</xdr:col>
      <xdr:colOff>752474</xdr:colOff>
      <xdr:row>376</xdr:row>
      <xdr:rowOff>405129</xdr:rowOff>
    </xdr:to>
    <xdr:pic>
      <xdr:nvPicPr>
        <xdr:cNvPr id="8" name="Picture 102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20030757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437</xdr:row>
      <xdr:rowOff>114300</xdr:rowOff>
    </xdr:from>
    <xdr:to>
      <xdr:col>8</xdr:col>
      <xdr:colOff>651510</xdr:colOff>
      <xdr:row>438</xdr:row>
      <xdr:rowOff>383540</xdr:rowOff>
    </xdr:to>
    <xdr:pic>
      <xdr:nvPicPr>
        <xdr:cNvPr id="9" name="Picture 102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232998010"/>
          <a:ext cx="753808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501</xdr:row>
      <xdr:rowOff>142875</xdr:rowOff>
    </xdr:from>
    <xdr:to>
      <xdr:col>8</xdr:col>
      <xdr:colOff>342900</xdr:colOff>
      <xdr:row>502</xdr:row>
      <xdr:rowOff>382905</xdr:rowOff>
    </xdr:to>
    <xdr:pic>
      <xdr:nvPicPr>
        <xdr:cNvPr id="11" name="Picture 102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267833475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594</xdr:row>
      <xdr:rowOff>186054</xdr:rowOff>
    </xdr:from>
    <xdr:to>
      <xdr:col>8</xdr:col>
      <xdr:colOff>752474</xdr:colOff>
      <xdr:row>595</xdr:row>
      <xdr:rowOff>405129</xdr:rowOff>
    </xdr:to>
    <xdr:pic>
      <xdr:nvPicPr>
        <xdr:cNvPr id="12" name="Picture 1027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1880683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594</xdr:row>
      <xdr:rowOff>186054</xdr:rowOff>
    </xdr:from>
    <xdr:to>
      <xdr:col>8</xdr:col>
      <xdr:colOff>752474</xdr:colOff>
      <xdr:row>595</xdr:row>
      <xdr:rowOff>405129</xdr:rowOff>
    </xdr:to>
    <xdr:pic>
      <xdr:nvPicPr>
        <xdr:cNvPr id="13" name="Picture 1027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18806830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679</xdr:row>
      <xdr:rowOff>186054</xdr:rowOff>
    </xdr:from>
    <xdr:to>
      <xdr:col>8</xdr:col>
      <xdr:colOff>752474</xdr:colOff>
      <xdr:row>680</xdr:row>
      <xdr:rowOff>405129</xdr:rowOff>
    </xdr:to>
    <xdr:pic>
      <xdr:nvPicPr>
        <xdr:cNvPr id="10" name="Picture 102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36653533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495300</xdr:colOff>
      <xdr:row>749</xdr:row>
      <xdr:rowOff>133350</xdr:rowOff>
    </xdr:from>
    <xdr:to>
      <xdr:col>8</xdr:col>
      <xdr:colOff>876300</xdr:colOff>
      <xdr:row>750</xdr:row>
      <xdr:rowOff>402590</xdr:rowOff>
    </xdr:to>
    <xdr:pic>
      <xdr:nvPicPr>
        <xdr:cNvPr id="14" name="Picture 102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57225" y="403207220"/>
          <a:ext cx="795337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342900</xdr:colOff>
      <xdr:row>811</xdr:row>
      <xdr:rowOff>228600</xdr:rowOff>
    </xdr:from>
    <xdr:to>
      <xdr:col>8</xdr:col>
      <xdr:colOff>819150</xdr:colOff>
      <xdr:row>812</xdr:row>
      <xdr:rowOff>440690</xdr:rowOff>
    </xdr:to>
    <xdr:pic>
      <xdr:nvPicPr>
        <xdr:cNvPr id="15" name="Picture 102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504825" y="435544595"/>
          <a:ext cx="8048625" cy="755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876</xdr:row>
      <xdr:rowOff>114300</xdr:rowOff>
    </xdr:from>
    <xdr:to>
      <xdr:col>8</xdr:col>
      <xdr:colOff>651510</xdr:colOff>
      <xdr:row>877</xdr:row>
      <xdr:rowOff>383540</xdr:rowOff>
    </xdr:to>
    <xdr:pic>
      <xdr:nvPicPr>
        <xdr:cNvPr id="16" name="Picture 102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469605995"/>
          <a:ext cx="7538085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938</xdr:row>
      <xdr:rowOff>142875</xdr:rowOff>
    </xdr:from>
    <xdr:to>
      <xdr:col>8</xdr:col>
      <xdr:colOff>342900</xdr:colOff>
      <xdr:row>939</xdr:row>
      <xdr:rowOff>382905</xdr:rowOff>
    </xdr:to>
    <xdr:pic>
      <xdr:nvPicPr>
        <xdr:cNvPr id="17" name="Picture 102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502698385"/>
          <a:ext cx="7724775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1030</xdr:row>
      <xdr:rowOff>186054</xdr:rowOff>
    </xdr:from>
    <xdr:to>
      <xdr:col>8</xdr:col>
      <xdr:colOff>752474</xdr:colOff>
      <xdr:row>1031</xdr:row>
      <xdr:rowOff>405129</xdr:rowOff>
    </xdr:to>
    <xdr:pic>
      <xdr:nvPicPr>
        <xdr:cNvPr id="18" name="Picture 102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55002366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1030</xdr:row>
      <xdr:rowOff>186054</xdr:rowOff>
    </xdr:from>
    <xdr:to>
      <xdr:col>8</xdr:col>
      <xdr:colOff>752474</xdr:colOff>
      <xdr:row>1031</xdr:row>
      <xdr:rowOff>405129</xdr:rowOff>
    </xdr:to>
    <xdr:pic>
      <xdr:nvPicPr>
        <xdr:cNvPr id="19" name="Picture 102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275" y="550023665"/>
          <a:ext cx="780986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1114</xdr:row>
      <xdr:rowOff>186054</xdr:rowOff>
    </xdr:from>
    <xdr:to>
      <xdr:col>8</xdr:col>
      <xdr:colOff>752474</xdr:colOff>
      <xdr:row>1115</xdr:row>
      <xdr:rowOff>405129</xdr:rowOff>
    </xdr:to>
    <xdr:pic>
      <xdr:nvPicPr>
        <xdr:cNvPr id="20" name="Picture 1027">
          <a:extLst>
            <a:ext uri="{FF2B5EF4-FFF2-40B4-BE49-F238E27FC236}">
              <a16:creationId xmlns:a16="http://schemas.microsoft.com/office/drawing/2014/main" id="{ABE01426-CFD2-456C-8CB5-57126FA98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909" y="271779"/>
          <a:ext cx="732409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495300</xdr:colOff>
      <xdr:row>1183</xdr:row>
      <xdr:rowOff>133350</xdr:rowOff>
    </xdr:from>
    <xdr:to>
      <xdr:col>8</xdr:col>
      <xdr:colOff>876300</xdr:colOff>
      <xdr:row>1184</xdr:row>
      <xdr:rowOff>402590</xdr:rowOff>
    </xdr:to>
    <xdr:pic>
      <xdr:nvPicPr>
        <xdr:cNvPr id="21" name="Picture 1027">
          <a:extLst>
            <a:ext uri="{FF2B5EF4-FFF2-40B4-BE49-F238E27FC236}">
              <a16:creationId xmlns:a16="http://schemas.microsoft.com/office/drawing/2014/main" id="{A64C07C2-6971-44F4-B13B-E83159C6B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57225" y="209550"/>
          <a:ext cx="7467600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342900</xdr:colOff>
      <xdr:row>1248</xdr:row>
      <xdr:rowOff>228600</xdr:rowOff>
    </xdr:from>
    <xdr:to>
      <xdr:col>8</xdr:col>
      <xdr:colOff>819150</xdr:colOff>
      <xdr:row>1249</xdr:row>
      <xdr:rowOff>440690</xdr:rowOff>
    </xdr:to>
    <xdr:pic>
      <xdr:nvPicPr>
        <xdr:cNvPr id="22" name="Picture 1027">
          <a:extLst>
            <a:ext uri="{FF2B5EF4-FFF2-40B4-BE49-F238E27FC236}">
              <a16:creationId xmlns:a16="http://schemas.microsoft.com/office/drawing/2014/main" id="{0763931F-DAF9-4D93-908A-AB5209F3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504825" y="314325"/>
          <a:ext cx="7562850" cy="755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685800</xdr:colOff>
      <xdr:row>1319</xdr:row>
      <xdr:rowOff>114300</xdr:rowOff>
    </xdr:from>
    <xdr:to>
      <xdr:col>8</xdr:col>
      <xdr:colOff>651510</xdr:colOff>
      <xdr:row>1320</xdr:row>
      <xdr:rowOff>383540</xdr:rowOff>
    </xdr:to>
    <xdr:pic>
      <xdr:nvPicPr>
        <xdr:cNvPr id="23" name="Picture 1027">
          <a:extLst>
            <a:ext uri="{FF2B5EF4-FFF2-40B4-BE49-F238E27FC236}">
              <a16:creationId xmlns:a16="http://schemas.microsoft.com/office/drawing/2014/main" id="{A635553A-6500-4458-9FED-1397F52C8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847725" y="161925"/>
          <a:ext cx="7052310" cy="812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190500</xdr:colOff>
      <xdr:row>1383</xdr:row>
      <xdr:rowOff>142875</xdr:rowOff>
    </xdr:from>
    <xdr:to>
      <xdr:col>8</xdr:col>
      <xdr:colOff>342900</xdr:colOff>
      <xdr:row>1384</xdr:row>
      <xdr:rowOff>382905</xdr:rowOff>
    </xdr:to>
    <xdr:pic>
      <xdr:nvPicPr>
        <xdr:cNvPr id="24" name="Picture 1027">
          <a:extLst>
            <a:ext uri="{FF2B5EF4-FFF2-40B4-BE49-F238E27FC236}">
              <a16:creationId xmlns:a16="http://schemas.microsoft.com/office/drawing/2014/main" id="{A0DC4514-0EAB-4F52-99AB-3B6C50A5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352425" y="219075"/>
          <a:ext cx="723900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1478</xdr:row>
      <xdr:rowOff>186054</xdr:rowOff>
    </xdr:from>
    <xdr:to>
      <xdr:col>8</xdr:col>
      <xdr:colOff>752474</xdr:colOff>
      <xdr:row>1479</xdr:row>
      <xdr:rowOff>405129</xdr:rowOff>
    </xdr:to>
    <xdr:pic>
      <xdr:nvPicPr>
        <xdr:cNvPr id="25" name="Picture 1027">
          <a:extLst>
            <a:ext uri="{FF2B5EF4-FFF2-40B4-BE49-F238E27FC236}">
              <a16:creationId xmlns:a16="http://schemas.microsoft.com/office/drawing/2014/main" id="{889E14E1-4F48-4279-8A03-B7D5F8439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909" y="271779"/>
          <a:ext cx="732409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  <xdr:twoCellAnchor>
    <xdr:from>
      <xdr:col>1</xdr:col>
      <xdr:colOff>514984</xdr:colOff>
      <xdr:row>1478</xdr:row>
      <xdr:rowOff>186054</xdr:rowOff>
    </xdr:from>
    <xdr:to>
      <xdr:col>8</xdr:col>
      <xdr:colOff>752474</xdr:colOff>
      <xdr:row>1479</xdr:row>
      <xdr:rowOff>405129</xdr:rowOff>
    </xdr:to>
    <xdr:pic>
      <xdr:nvPicPr>
        <xdr:cNvPr id="26" name="Picture 1027">
          <a:extLst>
            <a:ext uri="{FF2B5EF4-FFF2-40B4-BE49-F238E27FC236}">
              <a16:creationId xmlns:a16="http://schemas.microsoft.com/office/drawing/2014/main" id="{6655D1F1-B363-449B-95AA-8D3E8EE0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22" t="23303" b="21809"/>
        <a:stretch>
          <a:fillRect/>
        </a:stretch>
      </xdr:blipFill>
      <xdr:spPr>
        <a:xfrm>
          <a:off x="676909" y="271779"/>
          <a:ext cx="732409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180976</xdr:colOff>
      <xdr:row>1</xdr:row>
      <xdr:rowOff>114300</xdr:rowOff>
    </xdr:from>
    <xdr:ext cx="1928680" cy="58102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247650"/>
          <a:ext cx="1928495" cy="581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HEUS\Desktop\Arquivos%20Escala\MATRIZ%20ZONA%20SUL%20-%20ZERADA.xlsx" TargetMode="External"/><Relationship Id="rId1" Type="http://schemas.openxmlformats.org/officeDocument/2006/relationships/externalLinkPath" Target="file:///C:\Users\MATHEUS\Desktop\Arquivos%20Escala\MATRIZ%20ZONA%20SUL%20-%20ZER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GUNDA"/>
      <sheetName val="TERÇA"/>
      <sheetName val="QUARTA"/>
      <sheetName val="QUINTA"/>
      <sheetName val="SEXTA"/>
      <sheetName val="SÁBADO"/>
      <sheetName val="TABELA FRETE"/>
      <sheetName val="MADRUGADA - MATRIZ"/>
      <sheetName val="CAR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VEÍCULO</v>
          </cell>
          <cell r="B6" t="str">
            <v>FRETE (R$)</v>
          </cell>
        </row>
        <row r="7">
          <cell r="A7" t="str">
            <v>TRUCK</v>
          </cell>
          <cell r="B7">
            <v>489.5</v>
          </cell>
          <cell r="D7" t="str">
            <v>TRUCK</v>
          </cell>
          <cell r="E7">
            <v>1228.7</v>
          </cell>
        </row>
        <row r="8">
          <cell r="A8" t="str">
            <v>TOCO</v>
          </cell>
          <cell r="B8">
            <v>466.4</v>
          </cell>
          <cell r="D8" t="str">
            <v>TOCO</v>
          </cell>
          <cell r="E8">
            <v>1161.5999999999999</v>
          </cell>
        </row>
        <row r="9">
          <cell r="A9">
            <v>1016</v>
          </cell>
          <cell r="B9">
            <v>425.7</v>
          </cell>
          <cell r="D9">
            <v>1016</v>
          </cell>
          <cell r="E9">
            <v>867.9</v>
          </cell>
        </row>
        <row r="10">
          <cell r="A10" t="str">
            <v>IVECO</v>
          </cell>
          <cell r="B10">
            <v>286</v>
          </cell>
          <cell r="D10" t="str">
            <v>IVECO</v>
          </cell>
          <cell r="E10">
            <v>679.8</v>
          </cell>
        </row>
        <row r="11">
          <cell r="A11" t="str">
            <v>KIA</v>
          </cell>
          <cell r="B11">
            <v>250.8</v>
          </cell>
          <cell r="D11" t="str">
            <v>KIA</v>
          </cell>
          <cell r="E11">
            <v>631.4</v>
          </cell>
        </row>
        <row r="12">
          <cell r="A12" t="str">
            <v>KIA REFRI</v>
          </cell>
          <cell r="B12">
            <v>250.8</v>
          </cell>
          <cell r="D12" t="str">
            <v>TOCO+</v>
          </cell>
          <cell r="E12">
            <v>1161.5999999999999</v>
          </cell>
        </row>
        <row r="25">
          <cell r="D25" t="str">
            <v>TRUCK</v>
          </cell>
          <cell r="E25">
            <v>326.7</v>
          </cell>
        </row>
        <row r="26">
          <cell r="D26" t="str">
            <v>TOCO</v>
          </cell>
          <cell r="E26">
            <v>286</v>
          </cell>
        </row>
        <row r="27">
          <cell r="D27">
            <v>1016</v>
          </cell>
          <cell r="E27">
            <v>247.5</v>
          </cell>
        </row>
        <row r="28">
          <cell r="D28" t="str">
            <v>IVECO</v>
          </cell>
          <cell r="E28">
            <v>202.4</v>
          </cell>
        </row>
        <row r="29">
          <cell r="D29" t="str">
            <v>KIA</v>
          </cell>
          <cell r="E29">
            <v>163.9</v>
          </cell>
        </row>
      </sheetData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E29"/>
  <sheetViews>
    <sheetView topLeftCell="A13" zoomScale="90" zoomScaleNormal="90" workbookViewId="0">
      <selection activeCell="D27" sqref="D27"/>
    </sheetView>
  </sheetViews>
  <sheetFormatPr defaultColWidth="9.140625" defaultRowHeight="15"/>
  <cols>
    <col min="1" max="2" width="30.7109375" style="1" customWidth="1"/>
    <col min="3" max="3" width="9.140625" style="1"/>
    <col min="4" max="5" width="30.7109375" style="1" customWidth="1"/>
    <col min="6" max="16384" width="9.140625" style="1"/>
  </cols>
  <sheetData>
    <row r="1" spans="1:5" s="1772" customFormat="1" ht="30" customHeight="1">
      <c r="A1" s="3735" t="s">
        <v>0</v>
      </c>
      <c r="B1" s="3736"/>
      <c r="D1" s="3750" t="s">
        <v>1</v>
      </c>
      <c r="E1" s="3751"/>
    </row>
    <row r="2" spans="1:5" s="1772" customFormat="1" ht="30" customHeight="1">
      <c r="A2" s="3737"/>
      <c r="B2" s="3738"/>
      <c r="D2" s="3750" t="s">
        <v>2</v>
      </c>
      <c r="E2" s="3751"/>
    </row>
    <row r="3" spans="1:5" s="1772" customFormat="1" ht="6" customHeight="1">
      <c r="A3" s="1774"/>
      <c r="B3" s="1774"/>
      <c r="D3" s="3734"/>
      <c r="E3" s="3734"/>
    </row>
    <row r="4" spans="1:5" s="1772" customFormat="1" ht="30" customHeight="1">
      <c r="A4" s="1775" t="s">
        <v>3</v>
      </c>
      <c r="B4" s="1776">
        <f ca="1">TODAY()</f>
        <v>46162</v>
      </c>
      <c r="D4" s="1775" t="s">
        <v>3</v>
      </c>
      <c r="E4" s="1777">
        <f ca="1">B4</f>
        <v>46162</v>
      </c>
    </row>
    <row r="5" spans="1:5" s="1772" customFormat="1" ht="6" customHeight="1">
      <c r="A5" s="1774"/>
      <c r="B5" s="1774"/>
    </row>
    <row r="6" spans="1:5" s="1772" customFormat="1" ht="30" customHeight="1">
      <c r="A6" s="1773" t="s">
        <v>4</v>
      </c>
      <c r="B6" s="1778" t="s">
        <v>5</v>
      </c>
      <c r="D6" s="1773" t="s">
        <v>4</v>
      </c>
      <c r="E6" s="1778" t="s">
        <v>5</v>
      </c>
    </row>
    <row r="7" spans="1:5" s="1772" customFormat="1" ht="30" customHeight="1">
      <c r="A7" s="1779" t="s">
        <v>6</v>
      </c>
      <c r="B7" s="1780">
        <v>489.5</v>
      </c>
      <c r="D7" s="1779" t="s">
        <v>6</v>
      </c>
      <c r="E7" s="1781">
        <v>1228.7</v>
      </c>
    </row>
    <row r="8" spans="1:5" s="1772" customFormat="1" ht="30" customHeight="1">
      <c r="A8" s="1782" t="s">
        <v>7</v>
      </c>
      <c r="B8" s="1783">
        <v>466.4</v>
      </c>
      <c r="D8" s="1784" t="s">
        <v>7</v>
      </c>
      <c r="E8" s="1785">
        <v>1161.5999999999999</v>
      </c>
    </row>
    <row r="9" spans="1:5" s="1772" customFormat="1" ht="30" customHeight="1">
      <c r="A9" s="1784">
        <v>1016</v>
      </c>
      <c r="B9" s="1786">
        <v>425.7</v>
      </c>
      <c r="D9" s="1784">
        <v>1016</v>
      </c>
      <c r="E9" s="1785">
        <v>867.9</v>
      </c>
    </row>
    <row r="10" spans="1:5" s="1772" customFormat="1" ht="30" customHeight="1">
      <c r="A10" s="1787" t="s">
        <v>8</v>
      </c>
      <c r="B10" s="1786">
        <v>286</v>
      </c>
      <c r="D10" s="1788" t="s">
        <v>8</v>
      </c>
      <c r="E10" s="1789">
        <v>679.8</v>
      </c>
    </row>
    <row r="11" spans="1:5" s="1772" customFormat="1" ht="30" customHeight="1">
      <c r="A11" s="1784" t="s">
        <v>9</v>
      </c>
      <c r="B11" s="1786">
        <v>250.8</v>
      </c>
      <c r="D11" s="1787" t="s">
        <v>9</v>
      </c>
      <c r="E11" s="1789">
        <v>631.4</v>
      </c>
    </row>
    <row r="12" spans="1:5" s="1772" customFormat="1" ht="30" customHeight="1">
      <c r="A12" s="1790" t="s">
        <v>10</v>
      </c>
      <c r="B12" s="1791">
        <v>250.8</v>
      </c>
      <c r="D12" s="1792" t="s">
        <v>11</v>
      </c>
      <c r="E12" s="1793">
        <v>1161.5999999999999</v>
      </c>
    </row>
    <row r="13" spans="1:5" s="1772" customFormat="1" ht="6" customHeight="1">
      <c r="A13" s="1794"/>
      <c r="B13" s="1794"/>
    </row>
    <row r="14" spans="1:5" s="1772" customFormat="1" ht="15" customHeight="1">
      <c r="A14" s="3752" t="s">
        <v>12</v>
      </c>
      <c r="B14" s="3753"/>
      <c r="D14" s="3739"/>
      <c r="E14" s="3740"/>
    </row>
    <row r="15" spans="1:5" s="1772" customFormat="1" ht="15" customHeight="1">
      <c r="A15" s="3745" t="s">
        <v>13</v>
      </c>
      <c r="B15" s="3746"/>
      <c r="D15" s="3741"/>
      <c r="E15" s="3742"/>
    </row>
    <row r="16" spans="1:5" s="1772" customFormat="1" ht="15" customHeight="1">
      <c r="A16" s="3745" t="s">
        <v>14</v>
      </c>
      <c r="B16" s="3746"/>
      <c r="D16" s="3743"/>
      <c r="E16" s="3744"/>
    </row>
    <row r="17" spans="1:5" s="1772" customFormat="1" ht="15" customHeight="1">
      <c r="A17" s="3747" t="s">
        <v>15</v>
      </c>
      <c r="B17" s="3748"/>
    </row>
    <row r="18" spans="1:5" s="1772" customFormat="1" ht="6" customHeight="1">
      <c r="A18" s="3749"/>
      <c r="B18" s="3749"/>
    </row>
    <row r="19" spans="1:5" s="1772" customFormat="1" ht="23.25">
      <c r="D19" s="3750" t="s">
        <v>16</v>
      </c>
      <c r="E19" s="3751"/>
    </row>
    <row r="20" spans="1:5" s="1772" customFormat="1" ht="23.25">
      <c r="D20" s="3750" t="s">
        <v>2</v>
      </c>
      <c r="E20" s="3751"/>
    </row>
    <row r="21" spans="1:5" s="1772" customFormat="1" ht="6" customHeight="1">
      <c r="D21" s="3734"/>
      <c r="E21" s="3734"/>
    </row>
    <row r="22" spans="1:5" s="1772" customFormat="1" ht="23.25">
      <c r="D22" s="1775" t="s">
        <v>3</v>
      </c>
      <c r="E22" s="1777">
        <f ca="1">B4</f>
        <v>46162</v>
      </c>
    </row>
    <row r="23" spans="1:5" s="1772" customFormat="1" ht="6" customHeight="1"/>
    <row r="24" spans="1:5" s="1772" customFormat="1" ht="23.25">
      <c r="D24" s="1773" t="s">
        <v>4</v>
      </c>
      <c r="E24" s="1778" t="s">
        <v>5</v>
      </c>
    </row>
    <row r="25" spans="1:5" s="1772" customFormat="1" ht="23.25">
      <c r="D25" s="1779" t="s">
        <v>6</v>
      </c>
      <c r="E25" s="1781">
        <v>326.7</v>
      </c>
    </row>
    <row r="26" spans="1:5" s="1772" customFormat="1" ht="23.25">
      <c r="D26" s="1784" t="s">
        <v>7</v>
      </c>
      <c r="E26" s="1785">
        <v>286</v>
      </c>
    </row>
    <row r="27" spans="1:5" s="1772" customFormat="1" ht="23.25">
      <c r="D27" s="1784">
        <v>1016</v>
      </c>
      <c r="E27" s="1785">
        <v>247.5</v>
      </c>
    </row>
    <row r="28" spans="1:5" s="1772" customFormat="1" ht="23.25">
      <c r="D28" s="1788" t="s">
        <v>8</v>
      </c>
      <c r="E28" s="1789">
        <v>202.4</v>
      </c>
    </row>
    <row r="29" spans="1:5" s="1772" customFormat="1" ht="23.25">
      <c r="D29" s="1792" t="s">
        <v>9</v>
      </c>
      <c r="E29" s="1793">
        <v>163.9</v>
      </c>
    </row>
  </sheetData>
  <mergeCells count="13">
    <mergeCell ref="D21:E21"/>
    <mergeCell ref="A1:B2"/>
    <mergeCell ref="D14:E16"/>
    <mergeCell ref="A16:B16"/>
    <mergeCell ref="A17:B17"/>
    <mergeCell ref="A18:B18"/>
    <mergeCell ref="D19:E19"/>
    <mergeCell ref="D20:E20"/>
    <mergeCell ref="D1:E1"/>
    <mergeCell ref="D2:E2"/>
    <mergeCell ref="D3:E3"/>
    <mergeCell ref="A14:B14"/>
    <mergeCell ref="A15:B15"/>
  </mergeCells>
  <printOptions horizontalCentered="1" verticalCentered="1"/>
  <pageMargins left="0.511811023622047" right="0.511811023622047" top="0.78740157480314998" bottom="0.78740157480314998" header="0.31496062992126" footer="0.31496062992126"/>
  <pageSetup paperSize="9" scale="8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555"/>
  <sheetViews>
    <sheetView showGridLines="0" tabSelected="1" topLeftCell="A1223" zoomScale="50" zoomScaleNormal="50" workbookViewId="0">
      <selection activeCell="L1229" sqref="L1229:M1229"/>
    </sheetView>
  </sheetViews>
  <sheetFormatPr defaultColWidth="9" defaultRowHeight="12.75"/>
  <cols>
    <col min="1" max="1" width="2.42578125" customWidth="1"/>
    <col min="2" max="2" width="24.85546875" customWidth="1"/>
    <col min="3" max="3" width="2.28515625" customWidth="1"/>
    <col min="4" max="4" width="18.7109375" customWidth="1"/>
    <col min="5" max="6" width="17.140625" customWidth="1"/>
    <col min="7" max="7" width="17.42578125" customWidth="1"/>
    <col min="8" max="8" width="16" customWidth="1"/>
    <col min="9" max="10" width="16.85546875" customWidth="1"/>
    <col min="11" max="11" width="16.42578125" customWidth="1"/>
    <col min="12" max="12" width="11.42578125" customWidth="1"/>
    <col min="13" max="13" width="17.85546875" customWidth="1"/>
    <col min="14" max="14" width="18.42578125" customWidth="1"/>
    <col min="15" max="15" width="23.7109375" customWidth="1"/>
    <col min="16" max="16" width="1.140625" customWidth="1"/>
    <col min="17" max="17" width="17.85546875" customWidth="1"/>
    <col min="18" max="18" width="16.42578125" customWidth="1"/>
    <col min="19" max="19" width="98.7109375" customWidth="1"/>
    <col min="20" max="20" width="20.140625" customWidth="1"/>
    <col min="21" max="21" width="1.7109375" customWidth="1"/>
    <col min="22" max="22" width="14" customWidth="1"/>
    <col min="23" max="23" width="12.28515625" customWidth="1"/>
    <col min="24" max="25" width="12.5703125" customWidth="1"/>
  </cols>
  <sheetData>
    <row r="2" spans="1:26" s="299" customFormat="1" ht="42.75" customHeight="1">
      <c r="A2" s="299" t="s">
        <v>17</v>
      </c>
      <c r="B2" s="2712"/>
      <c r="C2" s="2713"/>
      <c r="D2" s="2713"/>
      <c r="E2" s="2713"/>
      <c r="F2" s="2713"/>
      <c r="G2" s="2713"/>
      <c r="H2" s="2713"/>
      <c r="I2" s="2714"/>
      <c r="J2" s="2850" t="s">
        <v>18</v>
      </c>
      <c r="K2" s="2851"/>
      <c r="L2" s="2851"/>
      <c r="M2" s="2851"/>
      <c r="N2" s="2851"/>
      <c r="O2" s="2851"/>
      <c r="P2" s="2851"/>
      <c r="Q2" s="2852"/>
      <c r="R2" s="2718">
        <v>46143</v>
      </c>
      <c r="S2" s="2719"/>
      <c r="T2" s="2720"/>
      <c r="U2" s="307"/>
      <c r="V2" s="2700" t="s">
        <v>19</v>
      </c>
      <c r="W2" s="2701"/>
      <c r="X2" s="2700" t="s">
        <v>19</v>
      </c>
      <c r="Y2" s="2701"/>
    </row>
    <row r="3" spans="1:26" s="299" customFormat="1" ht="42.75" customHeight="1">
      <c r="B3" s="2715"/>
      <c r="C3" s="2716"/>
      <c r="D3" s="2716"/>
      <c r="E3" s="2716"/>
      <c r="F3" s="2716"/>
      <c r="G3" s="2716"/>
      <c r="H3" s="2716"/>
      <c r="I3" s="2717"/>
      <c r="J3" s="2724" t="s">
        <v>20</v>
      </c>
      <c r="K3" s="2725"/>
      <c r="L3" s="2725"/>
      <c r="M3" s="2725"/>
      <c r="N3" s="2725"/>
      <c r="O3" s="2725"/>
      <c r="P3" s="2725"/>
      <c r="Q3" s="2726"/>
      <c r="R3" s="2721"/>
      <c r="S3" s="2722"/>
      <c r="T3" s="2723"/>
      <c r="U3" s="307"/>
      <c r="V3" s="2702"/>
      <c r="W3" s="2703"/>
      <c r="X3" s="2702"/>
      <c r="Y3" s="2703"/>
    </row>
    <row r="4" spans="1:26" s="299" customFormat="1" ht="4.1500000000000004" customHeight="1">
      <c r="B4" s="311"/>
      <c r="C4" s="312"/>
      <c r="D4" s="308"/>
      <c r="E4" s="308"/>
      <c r="F4" s="308"/>
      <c r="G4" s="308"/>
      <c r="H4" s="308"/>
      <c r="I4" s="308"/>
      <c r="J4" s="2727"/>
      <c r="K4" s="2728"/>
      <c r="L4" s="2728"/>
      <c r="M4" s="2728"/>
      <c r="N4" s="2728"/>
      <c r="O4" s="2728"/>
      <c r="P4" s="2728"/>
      <c r="Q4" s="2729"/>
      <c r="R4" s="313" t="s">
        <v>21</v>
      </c>
      <c r="S4" s="313"/>
      <c r="T4" s="314"/>
      <c r="U4" s="307"/>
      <c r="V4" s="309"/>
      <c r="W4" s="310"/>
      <c r="X4" s="309"/>
      <c r="Y4" s="310"/>
    </row>
    <row r="5" spans="1:26" s="299" customFormat="1" ht="49.5" customHeight="1">
      <c r="B5" s="2881" t="s">
        <v>22</v>
      </c>
      <c r="C5" s="315"/>
      <c r="D5" s="2853" t="s">
        <v>23</v>
      </c>
      <c r="E5" s="2854"/>
      <c r="F5" s="2853" t="s">
        <v>24</v>
      </c>
      <c r="G5" s="2854"/>
      <c r="H5" s="2853" t="s">
        <v>25</v>
      </c>
      <c r="I5" s="2854"/>
      <c r="J5" s="2730"/>
      <c r="K5" s="2731"/>
      <c r="L5" s="2731"/>
      <c r="M5" s="2731"/>
      <c r="N5" s="2731"/>
      <c r="O5" s="2731"/>
      <c r="P5" s="2731"/>
      <c r="Q5" s="2732"/>
      <c r="R5" s="2895" t="s">
        <v>26</v>
      </c>
      <c r="S5" s="2965"/>
      <c r="T5" s="320">
        <f>L50</f>
        <v>41</v>
      </c>
      <c r="U5" s="321"/>
      <c r="V5" s="2525" t="s">
        <v>27</v>
      </c>
      <c r="W5" s="2526"/>
      <c r="X5" s="2525" t="s">
        <v>28</v>
      </c>
      <c r="Y5" s="2526"/>
      <c r="Z5" s="322"/>
    </row>
    <row r="6" spans="1:26" s="299" customFormat="1" ht="49.5" customHeight="1">
      <c r="B6" s="2882"/>
      <c r="C6" s="315"/>
      <c r="D6" s="323" t="s">
        <v>29</v>
      </c>
      <c r="E6" s="323" t="s">
        <v>30</v>
      </c>
      <c r="F6" s="323" t="s">
        <v>29</v>
      </c>
      <c r="G6" s="323" t="s">
        <v>30</v>
      </c>
      <c r="H6" s="323" t="s">
        <v>29</v>
      </c>
      <c r="I6" s="323" t="s">
        <v>30</v>
      </c>
      <c r="J6" s="317" t="s">
        <v>31</v>
      </c>
      <c r="K6" s="323" t="s">
        <v>32</v>
      </c>
      <c r="L6" s="323" t="s">
        <v>33</v>
      </c>
      <c r="M6" s="323" t="s">
        <v>34</v>
      </c>
      <c r="N6" s="323" t="s">
        <v>32</v>
      </c>
      <c r="O6" s="316" t="s">
        <v>35</v>
      </c>
      <c r="P6" s="317"/>
      <c r="Q6" s="323" t="s">
        <v>36</v>
      </c>
      <c r="R6" s="323" t="s">
        <v>37</v>
      </c>
      <c r="S6" s="323" t="s">
        <v>38</v>
      </c>
      <c r="T6" s="324" t="s">
        <v>39</v>
      </c>
      <c r="U6" s="321"/>
      <c r="V6" s="2527"/>
      <c r="W6" s="2528"/>
      <c r="X6" s="2527"/>
      <c r="Y6" s="2528"/>
      <c r="Z6" s="322"/>
    </row>
    <row r="7" spans="1:26" s="300" customFormat="1" ht="48" customHeight="1">
      <c r="B7" s="325">
        <v>0.41666666666666702</v>
      </c>
      <c r="C7" s="326"/>
      <c r="D7" s="327">
        <v>28</v>
      </c>
      <c r="E7" s="328">
        <v>1516</v>
      </c>
      <c r="F7" s="329">
        <v>29</v>
      </c>
      <c r="G7" s="330">
        <v>2109</v>
      </c>
      <c r="H7" s="331"/>
      <c r="I7" s="330"/>
      <c r="J7" s="332">
        <f t="shared" ref="J7:J19" si="0">E7+G7+I7</f>
        <v>3625</v>
      </c>
      <c r="K7" s="333">
        <f t="shared" ref="K7:K13" si="1">J7/450</f>
        <v>8.0555555555555554</v>
      </c>
      <c r="L7" s="332">
        <v>1</v>
      </c>
      <c r="M7" s="334" t="s">
        <v>7</v>
      </c>
      <c r="N7" s="335">
        <v>10</v>
      </c>
      <c r="O7" s="3134" t="s">
        <v>40</v>
      </c>
      <c r="P7" s="3135"/>
      <c r="Q7" s="336">
        <v>1</v>
      </c>
      <c r="R7" s="337">
        <v>0</v>
      </c>
      <c r="S7" s="338" t="s">
        <v>41</v>
      </c>
      <c r="T7" s="337">
        <v>353</v>
      </c>
      <c r="U7" s="307"/>
      <c r="V7" s="2630">
        <f>VLOOKUP(M7,'[1]TABELA FRETE'!$A$6:$B$12,2,0)</f>
        <v>466.4</v>
      </c>
      <c r="W7" s="2631"/>
      <c r="X7" s="3076"/>
      <c r="Y7" s="3077"/>
    </row>
    <row r="8" spans="1:26" s="299" customFormat="1" ht="48" customHeight="1">
      <c r="B8" s="343">
        <v>0.5</v>
      </c>
      <c r="C8" s="326"/>
      <c r="D8" s="344">
        <v>8</v>
      </c>
      <c r="E8" s="345">
        <v>4659</v>
      </c>
      <c r="F8" s="346"/>
      <c r="G8" s="347"/>
      <c r="H8" s="348"/>
      <c r="I8" s="349"/>
      <c r="J8" s="350">
        <f t="shared" si="0"/>
        <v>4659</v>
      </c>
      <c r="K8" s="351">
        <f t="shared" si="1"/>
        <v>10.353333333333333</v>
      </c>
      <c r="L8" s="350">
        <v>1</v>
      </c>
      <c r="M8" s="352" t="s">
        <v>7</v>
      </c>
      <c r="N8" s="353">
        <v>11</v>
      </c>
      <c r="O8" s="3049" t="s">
        <v>42</v>
      </c>
      <c r="P8" s="3050"/>
      <c r="Q8" s="354">
        <v>3</v>
      </c>
      <c r="R8" s="355">
        <v>0</v>
      </c>
      <c r="S8" s="356" t="s">
        <v>43</v>
      </c>
      <c r="T8" s="357">
        <v>479</v>
      </c>
      <c r="U8" s="307"/>
      <c r="V8" s="2630">
        <f>VLOOKUP(M8,'[1]TABELA FRETE'!$A$6:$B$12,2,0)</f>
        <v>466.4</v>
      </c>
      <c r="W8" s="2631"/>
      <c r="X8" s="3076"/>
      <c r="Y8" s="3077"/>
    </row>
    <row r="9" spans="1:26" s="299" customFormat="1" ht="48" customHeight="1">
      <c r="B9" s="358">
        <v>0.5</v>
      </c>
      <c r="C9" s="326"/>
      <c r="D9" s="359">
        <v>1</v>
      </c>
      <c r="E9" s="360">
        <v>3054</v>
      </c>
      <c r="F9" s="361"/>
      <c r="G9" s="362"/>
      <c r="H9" s="363"/>
      <c r="I9" s="364"/>
      <c r="J9" s="365">
        <f t="shared" si="0"/>
        <v>3054</v>
      </c>
      <c r="K9" s="366">
        <f t="shared" si="1"/>
        <v>6.7866666666666671</v>
      </c>
      <c r="L9" s="365">
        <v>1</v>
      </c>
      <c r="M9" s="367">
        <v>1016</v>
      </c>
      <c r="N9" s="368">
        <v>8</v>
      </c>
      <c r="O9" s="3049" t="s">
        <v>44</v>
      </c>
      <c r="P9" s="3050"/>
      <c r="Q9" s="369">
        <v>2</v>
      </c>
      <c r="R9" s="370">
        <v>0</v>
      </c>
      <c r="S9" s="371" t="s">
        <v>45</v>
      </c>
      <c r="T9" s="372">
        <v>674</v>
      </c>
      <c r="U9" s="307"/>
      <c r="V9" s="2630">
        <f>VLOOKUP(M9,'[1]TABELA FRETE'!$A$6:$B$12,2,0)</f>
        <v>425.7</v>
      </c>
      <c r="W9" s="2631"/>
      <c r="X9" s="3076"/>
      <c r="Y9" s="3077"/>
    </row>
    <row r="10" spans="1:26" s="299" customFormat="1" ht="48" customHeight="1">
      <c r="B10" s="358">
        <v>0.5</v>
      </c>
      <c r="C10" s="326"/>
      <c r="D10" s="373">
        <v>9</v>
      </c>
      <c r="E10" s="362">
        <v>2998</v>
      </c>
      <c r="F10" s="374"/>
      <c r="G10" s="375"/>
      <c r="H10" s="363"/>
      <c r="I10" s="364"/>
      <c r="J10" s="365">
        <f t="shared" si="0"/>
        <v>2998</v>
      </c>
      <c r="K10" s="366">
        <f t="shared" si="1"/>
        <v>6.6622222222222218</v>
      </c>
      <c r="L10" s="365">
        <v>1</v>
      </c>
      <c r="M10" s="376">
        <v>1016</v>
      </c>
      <c r="N10" s="377">
        <v>8</v>
      </c>
      <c r="O10" s="3236" t="s">
        <v>46</v>
      </c>
      <c r="P10" s="3237"/>
      <c r="Q10" s="378">
        <v>2</v>
      </c>
      <c r="R10" s="379">
        <v>0</v>
      </c>
      <c r="S10" s="380" t="s">
        <v>47</v>
      </c>
      <c r="T10" s="379">
        <v>48</v>
      </c>
      <c r="U10" s="307"/>
      <c r="V10" s="2630">
        <f>VLOOKUP(M10,'[1]TABELA FRETE'!$A$6:$B$12,2,0)</f>
        <v>425.7</v>
      </c>
      <c r="W10" s="2631"/>
      <c r="X10" s="3076"/>
      <c r="Y10" s="3077"/>
    </row>
    <row r="11" spans="1:26" s="299" customFormat="1" ht="48" customHeight="1">
      <c r="B11" s="358">
        <v>0.5</v>
      </c>
      <c r="C11" s="326"/>
      <c r="D11" s="359">
        <v>12</v>
      </c>
      <c r="E11" s="364">
        <v>3747</v>
      </c>
      <c r="F11" s="374"/>
      <c r="G11" s="375"/>
      <c r="H11" s="363"/>
      <c r="I11" s="364"/>
      <c r="J11" s="365">
        <f t="shared" si="0"/>
        <v>3747</v>
      </c>
      <c r="K11" s="366">
        <f t="shared" si="1"/>
        <v>8.3266666666666662</v>
      </c>
      <c r="L11" s="365">
        <v>1</v>
      </c>
      <c r="M11" s="381" t="s">
        <v>7</v>
      </c>
      <c r="N11" s="382">
        <v>10</v>
      </c>
      <c r="O11" s="3256" t="s">
        <v>48</v>
      </c>
      <c r="P11" s="3257"/>
      <c r="Q11" s="383">
        <v>1</v>
      </c>
      <c r="R11" s="384">
        <v>0</v>
      </c>
      <c r="S11" s="385" t="s">
        <v>49</v>
      </c>
      <c r="T11" s="386">
        <v>353</v>
      </c>
      <c r="U11" s="307"/>
      <c r="V11" s="2630">
        <f>VLOOKUP(M11,'[1]TABELA FRETE'!$A$6:$B$12,2,0)</f>
        <v>466.4</v>
      </c>
      <c r="W11" s="2631"/>
      <c r="X11" s="3076"/>
      <c r="Y11" s="3077"/>
    </row>
    <row r="12" spans="1:26" s="299" customFormat="1" ht="48" customHeight="1">
      <c r="B12" s="358">
        <v>0.5</v>
      </c>
      <c r="C12" s="326"/>
      <c r="D12" s="359">
        <v>38</v>
      </c>
      <c r="E12" s="360">
        <v>4768</v>
      </c>
      <c r="F12" s="374"/>
      <c r="G12" s="375"/>
      <c r="H12" s="363"/>
      <c r="I12" s="364"/>
      <c r="J12" s="365">
        <f t="shared" si="0"/>
        <v>4768</v>
      </c>
      <c r="K12" s="366">
        <f t="shared" si="1"/>
        <v>10.595555555555556</v>
      </c>
      <c r="L12" s="365">
        <v>1</v>
      </c>
      <c r="M12" s="367" t="s">
        <v>7</v>
      </c>
      <c r="N12" s="368">
        <v>12</v>
      </c>
      <c r="O12" s="3049" t="s">
        <v>50</v>
      </c>
      <c r="P12" s="3050"/>
      <c r="Q12" s="387">
        <v>2</v>
      </c>
      <c r="R12" s="388">
        <v>0</v>
      </c>
      <c r="S12" s="389" t="s">
        <v>51</v>
      </c>
      <c r="T12" s="390">
        <v>612</v>
      </c>
      <c r="U12" s="307"/>
      <c r="V12" s="2630">
        <f>VLOOKUP(M12,'[1]TABELA FRETE'!$A$6:$B$12,2,0)</f>
        <v>466.4</v>
      </c>
      <c r="W12" s="2631"/>
      <c r="X12" s="3076"/>
      <c r="Y12" s="3077"/>
    </row>
    <row r="13" spans="1:26" s="299" customFormat="1" ht="45" customHeight="1">
      <c r="B13" s="358">
        <v>0.5</v>
      </c>
      <c r="C13" s="326"/>
      <c r="D13" s="391">
        <v>40</v>
      </c>
      <c r="E13" s="392">
        <v>4192</v>
      </c>
      <c r="F13" s="393"/>
      <c r="G13" s="392"/>
      <c r="H13" s="394"/>
      <c r="I13" s="395"/>
      <c r="J13" s="365">
        <f t="shared" si="0"/>
        <v>4192</v>
      </c>
      <c r="K13" s="366">
        <f t="shared" si="1"/>
        <v>9.3155555555555551</v>
      </c>
      <c r="L13" s="396">
        <v>1</v>
      </c>
      <c r="M13" s="376" t="s">
        <v>7</v>
      </c>
      <c r="N13" s="397">
        <v>11</v>
      </c>
      <c r="O13" s="3049" t="s">
        <v>52</v>
      </c>
      <c r="P13" s="3050"/>
      <c r="Q13" s="398">
        <v>1</v>
      </c>
      <c r="R13" s="399">
        <v>0</v>
      </c>
      <c r="S13" s="400" t="s">
        <v>53</v>
      </c>
      <c r="T13" s="399">
        <v>633</v>
      </c>
      <c r="U13" s="307"/>
      <c r="V13" s="2630">
        <f>VLOOKUP(M13,'[1]TABELA FRETE'!$A$6:$B$12,2,0)</f>
        <v>466.4</v>
      </c>
      <c r="W13" s="2631"/>
      <c r="X13" s="3076"/>
      <c r="Y13" s="3077"/>
    </row>
    <row r="14" spans="1:26" s="299" customFormat="1" ht="48" customHeight="1">
      <c r="B14" s="358">
        <v>0.5</v>
      </c>
      <c r="C14" s="326"/>
      <c r="D14" s="359">
        <v>34</v>
      </c>
      <c r="E14" s="360">
        <v>6500</v>
      </c>
      <c r="F14" s="374"/>
      <c r="G14" s="375"/>
      <c r="H14" s="363"/>
      <c r="I14" s="364"/>
      <c r="J14" s="365">
        <f t="shared" si="0"/>
        <v>6500</v>
      </c>
      <c r="K14" s="366">
        <f t="shared" ref="K14:K19" si="2">J14/450</f>
        <v>14.444444444444445</v>
      </c>
      <c r="L14" s="365">
        <v>1</v>
      </c>
      <c r="M14" s="367" t="s">
        <v>6</v>
      </c>
      <c r="N14" s="368">
        <v>14</v>
      </c>
      <c r="O14" s="3049" t="s">
        <v>54</v>
      </c>
      <c r="P14" s="3050"/>
      <c r="Q14" s="387">
        <v>1</v>
      </c>
      <c r="R14" s="388">
        <v>0</v>
      </c>
      <c r="S14" s="389" t="s">
        <v>55</v>
      </c>
      <c r="T14" s="390">
        <v>590</v>
      </c>
      <c r="U14" s="307"/>
      <c r="V14" s="2630">
        <f>VLOOKUP(M14,'[1]TABELA FRETE'!$A$6:$B$12,2,0)</f>
        <v>489.5</v>
      </c>
      <c r="W14" s="2631"/>
      <c r="X14" s="3076"/>
      <c r="Y14" s="3077"/>
    </row>
    <row r="15" spans="1:26" s="299" customFormat="1" ht="48" customHeight="1">
      <c r="B15" s="358">
        <v>0.5</v>
      </c>
      <c r="C15" s="326"/>
      <c r="D15" s="359">
        <v>35</v>
      </c>
      <c r="E15" s="360">
        <v>2773</v>
      </c>
      <c r="F15" s="401"/>
      <c r="G15" s="375"/>
      <c r="H15" s="363"/>
      <c r="I15" s="364"/>
      <c r="J15" s="365">
        <f t="shared" si="0"/>
        <v>2773</v>
      </c>
      <c r="K15" s="366">
        <f t="shared" si="2"/>
        <v>6.1622222222222218</v>
      </c>
      <c r="L15" s="365">
        <v>1</v>
      </c>
      <c r="M15" s="367">
        <v>1016</v>
      </c>
      <c r="N15" s="368">
        <v>7</v>
      </c>
      <c r="O15" s="3049" t="s">
        <v>56</v>
      </c>
      <c r="P15" s="3050"/>
      <c r="Q15" s="387">
        <v>1</v>
      </c>
      <c r="R15" s="388">
        <v>0</v>
      </c>
      <c r="S15" s="389" t="s">
        <v>57</v>
      </c>
      <c r="T15" s="390">
        <v>663</v>
      </c>
      <c r="U15" s="307"/>
      <c r="V15" s="2630">
        <f>VLOOKUP(M15,'[1]TABELA FRETE'!$A$6:$B$12,2,0)</f>
        <v>425.7</v>
      </c>
      <c r="W15" s="2631"/>
      <c r="X15" s="3076"/>
      <c r="Y15" s="3077"/>
    </row>
    <row r="16" spans="1:26" s="299" customFormat="1" ht="48" customHeight="1">
      <c r="B16" s="358">
        <v>0.5</v>
      </c>
      <c r="C16" s="326"/>
      <c r="D16" s="359">
        <v>43</v>
      </c>
      <c r="E16" s="360">
        <v>4512</v>
      </c>
      <c r="F16" s="401">
        <v>34</v>
      </c>
      <c r="G16" s="375">
        <v>1037</v>
      </c>
      <c r="H16" s="363"/>
      <c r="I16" s="364"/>
      <c r="J16" s="365">
        <f t="shared" si="0"/>
        <v>5549</v>
      </c>
      <c r="K16" s="366">
        <f t="shared" si="2"/>
        <v>12.331111111111111</v>
      </c>
      <c r="L16" s="365">
        <v>1</v>
      </c>
      <c r="M16" s="367" t="s">
        <v>7</v>
      </c>
      <c r="N16" s="368">
        <v>12</v>
      </c>
      <c r="O16" s="3049" t="s">
        <v>58</v>
      </c>
      <c r="P16" s="3050"/>
      <c r="Q16" s="387">
        <v>2</v>
      </c>
      <c r="R16" s="388">
        <v>0</v>
      </c>
      <c r="S16" s="389" t="s">
        <v>59</v>
      </c>
      <c r="T16" s="390">
        <v>674</v>
      </c>
      <c r="U16" s="307"/>
      <c r="V16" s="2630">
        <f>VLOOKUP(M16,'[1]TABELA FRETE'!$A$6:$B$12,2,0)</f>
        <v>466.4</v>
      </c>
      <c r="W16" s="2631"/>
      <c r="X16" s="3076"/>
      <c r="Y16" s="3077"/>
    </row>
    <row r="17" spans="2:25" s="299" customFormat="1" ht="48" customHeight="1">
      <c r="B17" s="358">
        <v>0.5</v>
      </c>
      <c r="C17" s="326"/>
      <c r="D17" s="359">
        <v>47</v>
      </c>
      <c r="E17" s="360">
        <v>4139</v>
      </c>
      <c r="F17" s="374"/>
      <c r="G17" s="375"/>
      <c r="H17" s="363"/>
      <c r="I17" s="364"/>
      <c r="J17" s="365">
        <f t="shared" si="0"/>
        <v>4139</v>
      </c>
      <c r="K17" s="366">
        <f t="shared" si="2"/>
        <v>9.1977777777777785</v>
      </c>
      <c r="L17" s="365">
        <v>1</v>
      </c>
      <c r="M17" s="402" t="s">
        <v>7</v>
      </c>
      <c r="N17" s="403">
        <v>10</v>
      </c>
      <c r="O17" s="3252" t="s">
        <v>60</v>
      </c>
      <c r="P17" s="3253"/>
      <c r="Q17" s="404">
        <v>1</v>
      </c>
      <c r="R17" s="405">
        <v>0</v>
      </c>
      <c r="S17" s="406" t="s">
        <v>61</v>
      </c>
      <c r="T17" s="405">
        <v>353</v>
      </c>
      <c r="U17" s="307"/>
      <c r="V17" s="2630">
        <f>VLOOKUP(M17,'[1]TABELA FRETE'!$A$6:$B$12,2,0)</f>
        <v>466.4</v>
      </c>
      <c r="W17" s="2631"/>
      <c r="X17" s="3076"/>
      <c r="Y17" s="3077"/>
    </row>
    <row r="18" spans="2:25" s="299" customFormat="1" ht="48" customHeight="1">
      <c r="B18" s="358">
        <v>0.5</v>
      </c>
      <c r="C18" s="326"/>
      <c r="D18" s="359">
        <v>45</v>
      </c>
      <c r="E18" s="360">
        <v>4768</v>
      </c>
      <c r="F18" s="361"/>
      <c r="G18" s="362"/>
      <c r="H18" s="363"/>
      <c r="I18" s="364"/>
      <c r="J18" s="365">
        <f t="shared" si="0"/>
        <v>4768</v>
      </c>
      <c r="K18" s="366">
        <f t="shared" si="2"/>
        <v>10.595555555555556</v>
      </c>
      <c r="L18" s="365">
        <v>1</v>
      </c>
      <c r="M18" s="367" t="s">
        <v>7</v>
      </c>
      <c r="N18" s="368">
        <v>12</v>
      </c>
      <c r="O18" s="3049" t="s">
        <v>62</v>
      </c>
      <c r="P18" s="3050"/>
      <c r="Q18" s="387">
        <v>2</v>
      </c>
      <c r="R18" s="390">
        <v>0</v>
      </c>
      <c r="S18" s="389" t="s">
        <v>63</v>
      </c>
      <c r="T18" s="407">
        <v>740</v>
      </c>
      <c r="U18" s="307"/>
      <c r="V18" s="2630">
        <f>VLOOKUP(M18,'[1]TABELA FRETE'!$A$6:$B$12,2,0)</f>
        <v>466.4</v>
      </c>
      <c r="W18" s="2631"/>
      <c r="X18" s="3076"/>
      <c r="Y18" s="3077"/>
    </row>
    <row r="19" spans="2:25" s="299" customFormat="1" ht="48" customHeight="1">
      <c r="B19" s="408">
        <v>0.5</v>
      </c>
      <c r="C19" s="326"/>
      <c r="D19" s="409">
        <v>19</v>
      </c>
      <c r="E19" s="410">
        <v>5600</v>
      </c>
      <c r="F19" s="411"/>
      <c r="G19" s="410"/>
      <c r="H19" s="412"/>
      <c r="I19" s="410"/>
      <c r="J19" s="413">
        <f t="shared" si="0"/>
        <v>5600</v>
      </c>
      <c r="K19" s="414">
        <f t="shared" si="2"/>
        <v>12.444444444444445</v>
      </c>
      <c r="L19" s="413">
        <v>1</v>
      </c>
      <c r="M19" s="415" t="s">
        <v>6</v>
      </c>
      <c r="N19" s="416">
        <v>14</v>
      </c>
      <c r="O19" s="3250" t="s">
        <v>64</v>
      </c>
      <c r="P19" s="3251"/>
      <c r="Q19" s="417">
        <v>1</v>
      </c>
      <c r="R19" s="418">
        <v>0</v>
      </c>
      <c r="S19" s="419" t="s">
        <v>65</v>
      </c>
      <c r="T19" s="420">
        <v>598</v>
      </c>
      <c r="U19" s="307"/>
      <c r="V19" s="2630">
        <f>VLOOKUP(M19,'[1]TABELA FRETE'!$A$6:$B$12,2,0)</f>
        <v>489.5</v>
      </c>
      <c r="W19" s="2631"/>
      <c r="X19" s="3076"/>
      <c r="Y19" s="3077"/>
    </row>
    <row r="20" spans="2:25" s="301" customFormat="1" ht="6" customHeight="1">
      <c r="B20" s="326"/>
      <c r="C20" s="326"/>
      <c r="D20" s="421"/>
      <c r="E20" s="422"/>
      <c r="F20" s="421"/>
      <c r="G20" s="423"/>
      <c r="H20" s="424"/>
      <c r="I20" s="423"/>
      <c r="J20" s="423"/>
      <c r="K20" s="425"/>
      <c r="L20" s="423"/>
      <c r="M20" s="426"/>
      <c r="N20" s="427"/>
      <c r="O20" s="428"/>
      <c r="P20" s="428"/>
      <c r="Q20" s="429"/>
      <c r="R20" s="429"/>
      <c r="S20" s="430"/>
      <c r="T20" s="431"/>
      <c r="U20" s="432"/>
      <c r="V20" s="433"/>
      <c r="W20" s="433"/>
      <c r="X20" s="434"/>
      <c r="Y20" s="434"/>
    </row>
    <row r="21" spans="2:25" s="299" customFormat="1" ht="48" customHeight="1">
      <c r="B21" s="325">
        <v>0.58333333333333304</v>
      </c>
      <c r="C21" s="326"/>
      <c r="D21" s="435">
        <v>5</v>
      </c>
      <c r="E21" s="328">
        <v>1539</v>
      </c>
      <c r="F21" s="436">
        <v>20</v>
      </c>
      <c r="G21" s="437">
        <v>3351</v>
      </c>
      <c r="H21" s="438"/>
      <c r="I21" s="330"/>
      <c r="J21" s="332">
        <f t="shared" ref="J21:J27" si="3">E21+G21+I21</f>
        <v>4890</v>
      </c>
      <c r="K21" s="333">
        <f t="shared" ref="K21:K27" si="4">J21/450</f>
        <v>10.866666666666667</v>
      </c>
      <c r="L21" s="332">
        <v>1</v>
      </c>
      <c r="M21" s="439" t="s">
        <v>7</v>
      </c>
      <c r="N21" s="440">
        <v>12</v>
      </c>
      <c r="O21" s="3254" t="s">
        <v>66</v>
      </c>
      <c r="P21" s="3255"/>
      <c r="Q21" s="441">
        <v>2</v>
      </c>
      <c r="R21" s="442">
        <v>0</v>
      </c>
      <c r="S21" s="443" t="s">
        <v>67</v>
      </c>
      <c r="T21" s="442">
        <v>184461</v>
      </c>
      <c r="U21" s="307"/>
      <c r="V21" s="2630">
        <f>VLOOKUP(M21,'[1]TABELA FRETE'!$A$6:$B$12,2,0)</f>
        <v>466.4</v>
      </c>
      <c r="W21" s="2631"/>
      <c r="X21" s="3076"/>
      <c r="Y21" s="3077"/>
    </row>
    <row r="22" spans="2:25" s="299" customFormat="1" ht="48" customHeight="1">
      <c r="B22" s="343">
        <v>0.58333333333333304</v>
      </c>
      <c r="C22" s="326"/>
      <c r="D22" s="444">
        <v>25</v>
      </c>
      <c r="E22" s="375">
        <v>2659</v>
      </c>
      <c r="F22" s="393">
        <v>22</v>
      </c>
      <c r="G22" s="360">
        <v>1673</v>
      </c>
      <c r="H22" s="445"/>
      <c r="I22" s="360"/>
      <c r="J22" s="365">
        <f t="shared" si="3"/>
        <v>4332</v>
      </c>
      <c r="K22" s="366">
        <f t="shared" si="4"/>
        <v>9.6266666666666669</v>
      </c>
      <c r="L22" s="365">
        <v>1</v>
      </c>
      <c r="M22" s="376" t="s">
        <v>7</v>
      </c>
      <c r="N22" s="377">
        <v>12</v>
      </c>
      <c r="O22" s="3049" t="s">
        <v>68</v>
      </c>
      <c r="P22" s="3050"/>
      <c r="Q22" s="446">
        <v>1</v>
      </c>
      <c r="R22" s="407">
        <v>0</v>
      </c>
      <c r="S22" s="380" t="s">
        <v>69</v>
      </c>
      <c r="T22" s="447">
        <v>808</v>
      </c>
      <c r="U22" s="307"/>
      <c r="V22" s="2630">
        <f>VLOOKUP(M22,'[1]TABELA FRETE'!$A$6:$B$12,2,0)</f>
        <v>466.4</v>
      </c>
      <c r="W22" s="2631"/>
      <c r="X22" s="3083"/>
      <c r="Y22" s="3084"/>
    </row>
    <row r="23" spans="2:25" s="299" customFormat="1" ht="48" customHeight="1">
      <c r="B23" s="343">
        <v>0.58333333333333304</v>
      </c>
      <c r="C23" s="326"/>
      <c r="D23" s="444">
        <v>31</v>
      </c>
      <c r="E23" s="375">
        <v>2300</v>
      </c>
      <c r="F23" s="361"/>
      <c r="G23" s="360"/>
      <c r="H23" s="445"/>
      <c r="I23" s="360"/>
      <c r="J23" s="365">
        <f t="shared" si="3"/>
        <v>2300</v>
      </c>
      <c r="K23" s="366">
        <f t="shared" si="4"/>
        <v>5.1111111111111107</v>
      </c>
      <c r="L23" s="365">
        <v>1</v>
      </c>
      <c r="M23" s="376">
        <v>1016</v>
      </c>
      <c r="N23" s="377">
        <v>6</v>
      </c>
      <c r="O23" s="2628" t="s">
        <v>70</v>
      </c>
      <c r="P23" s="2629"/>
      <c r="Q23" s="387">
        <v>1</v>
      </c>
      <c r="R23" s="407">
        <v>0</v>
      </c>
      <c r="S23" s="380" t="s">
        <v>71</v>
      </c>
      <c r="T23" s="407">
        <v>333</v>
      </c>
      <c r="U23" s="307"/>
      <c r="V23" s="2630">
        <f>VLOOKUP(M23,'[1]TABELA FRETE'!$A$6:$B$12,2,0)</f>
        <v>425.7</v>
      </c>
      <c r="W23" s="2631"/>
      <c r="X23" s="3087"/>
      <c r="Y23" s="3088"/>
    </row>
    <row r="24" spans="2:25" s="299" customFormat="1" ht="48" customHeight="1">
      <c r="B24" s="343">
        <v>0.58333333333333304</v>
      </c>
      <c r="C24" s="452"/>
      <c r="D24" s="453">
        <v>17</v>
      </c>
      <c r="E24" s="345">
        <v>1944</v>
      </c>
      <c r="F24" s="454"/>
      <c r="G24" s="345"/>
      <c r="H24" s="348"/>
      <c r="I24" s="455"/>
      <c r="J24" s="350">
        <f t="shared" si="3"/>
        <v>1944</v>
      </c>
      <c r="K24" s="351">
        <f t="shared" si="4"/>
        <v>4.32</v>
      </c>
      <c r="L24" s="350">
        <v>1</v>
      </c>
      <c r="M24" s="367">
        <v>1016</v>
      </c>
      <c r="N24" s="368">
        <v>10</v>
      </c>
      <c r="O24" s="3049" t="s">
        <v>72</v>
      </c>
      <c r="P24" s="3050"/>
      <c r="Q24" s="387">
        <v>2</v>
      </c>
      <c r="R24" s="388">
        <v>0</v>
      </c>
      <c r="S24" s="456" t="s">
        <v>73</v>
      </c>
      <c r="T24" s="457">
        <v>184090</v>
      </c>
      <c r="U24" s="307"/>
      <c r="V24" s="2630">
        <f>VLOOKUP(M24,'[1]TABELA FRETE'!$A$6:$B$12,2,0)</f>
        <v>425.7</v>
      </c>
      <c r="W24" s="2631"/>
      <c r="X24" s="3076"/>
      <c r="Y24" s="3077"/>
    </row>
    <row r="25" spans="2:25" s="299" customFormat="1" ht="48" customHeight="1">
      <c r="B25" s="343">
        <v>0.58333333333333304</v>
      </c>
      <c r="C25" s="326"/>
      <c r="D25" s="458">
        <v>23</v>
      </c>
      <c r="E25" s="392">
        <v>4251</v>
      </c>
      <c r="F25" s="459">
        <v>44</v>
      </c>
      <c r="G25" s="460">
        <v>1265</v>
      </c>
      <c r="H25" s="394"/>
      <c r="I25" s="395"/>
      <c r="J25" s="396">
        <f t="shared" si="3"/>
        <v>5516</v>
      </c>
      <c r="K25" s="461">
        <f t="shared" si="4"/>
        <v>12.257777777777777</v>
      </c>
      <c r="L25" s="396">
        <v>1</v>
      </c>
      <c r="M25" s="376" t="s">
        <v>7</v>
      </c>
      <c r="N25" s="377">
        <v>12</v>
      </c>
      <c r="O25" s="3049" t="s">
        <v>74</v>
      </c>
      <c r="P25" s="3050"/>
      <c r="Q25" s="387">
        <v>1</v>
      </c>
      <c r="R25" s="388">
        <v>0</v>
      </c>
      <c r="S25" s="389" t="s">
        <v>75</v>
      </c>
      <c r="T25" s="407">
        <v>184328</v>
      </c>
      <c r="U25" s="307"/>
      <c r="V25" s="2630">
        <f>VLOOKUP(M25,'[1]TABELA FRETE'!$A$6:$B$12,2,0)</f>
        <v>466.4</v>
      </c>
      <c r="W25" s="2631"/>
      <c r="X25" s="3076"/>
      <c r="Y25" s="3077"/>
    </row>
    <row r="26" spans="2:25" s="299" customFormat="1" ht="48" customHeight="1">
      <c r="B26" s="358">
        <v>0.58333333333333304</v>
      </c>
      <c r="C26" s="326"/>
      <c r="D26" s="458">
        <v>10</v>
      </c>
      <c r="E26" s="392">
        <v>5556</v>
      </c>
      <c r="F26" s="393"/>
      <c r="G26" s="360"/>
      <c r="H26" s="363"/>
      <c r="I26" s="375"/>
      <c r="J26" s="365">
        <f t="shared" si="3"/>
        <v>5556</v>
      </c>
      <c r="K26" s="366">
        <f t="shared" si="4"/>
        <v>12.346666666666666</v>
      </c>
      <c r="L26" s="365">
        <v>1</v>
      </c>
      <c r="M26" s="367" t="s">
        <v>7</v>
      </c>
      <c r="N26" s="368">
        <v>12</v>
      </c>
      <c r="O26" s="3049" t="s">
        <v>76</v>
      </c>
      <c r="P26" s="3050"/>
      <c r="Q26" s="387">
        <v>1</v>
      </c>
      <c r="R26" s="388">
        <v>1</v>
      </c>
      <c r="S26" s="389" t="s">
        <v>77</v>
      </c>
      <c r="T26" s="390">
        <v>184708</v>
      </c>
      <c r="U26" s="307"/>
      <c r="V26" s="2630">
        <f>VLOOKUP(M26,'[1]TABELA FRETE'!$A$6:$B$12,2,0)</f>
        <v>466.4</v>
      </c>
      <c r="W26" s="2631"/>
      <c r="X26" s="3076"/>
      <c r="Y26" s="3077"/>
    </row>
    <row r="27" spans="2:25" s="299" customFormat="1" ht="61.5" customHeight="1">
      <c r="B27" s="358">
        <v>0.58333333333333304</v>
      </c>
      <c r="C27" s="326"/>
      <c r="D27" s="462" t="s">
        <v>78</v>
      </c>
      <c r="E27" s="360">
        <v>2656</v>
      </c>
      <c r="F27" s="393"/>
      <c r="G27" s="360"/>
      <c r="H27" s="363"/>
      <c r="I27" s="375"/>
      <c r="J27" s="365">
        <f t="shared" si="3"/>
        <v>2656</v>
      </c>
      <c r="K27" s="366">
        <f t="shared" si="4"/>
        <v>5.902222222222222</v>
      </c>
      <c r="L27" s="365">
        <v>1</v>
      </c>
      <c r="M27" s="367">
        <v>1016</v>
      </c>
      <c r="N27" s="368">
        <v>9</v>
      </c>
      <c r="O27" s="3049" t="s">
        <v>79</v>
      </c>
      <c r="P27" s="3050"/>
      <c r="Q27" s="387">
        <v>1</v>
      </c>
      <c r="R27" s="388">
        <v>0</v>
      </c>
      <c r="S27" s="456" t="s">
        <v>80</v>
      </c>
      <c r="T27" s="457">
        <v>184725</v>
      </c>
      <c r="U27" s="307"/>
      <c r="V27" s="2630">
        <f>VLOOKUP(M27,'[1]TABELA FRETE'!$A$6:$B$12,2,0)</f>
        <v>425.7</v>
      </c>
      <c r="W27" s="2631"/>
      <c r="X27" s="3076"/>
      <c r="Y27" s="3077"/>
    </row>
    <row r="28" spans="2:25" s="299" customFormat="1" ht="48" customHeight="1">
      <c r="B28" s="463">
        <v>0.58333333333333304</v>
      </c>
      <c r="C28" s="326"/>
      <c r="D28" s="458">
        <v>3</v>
      </c>
      <c r="E28" s="392">
        <v>1871</v>
      </c>
      <c r="F28" s="464">
        <v>26</v>
      </c>
      <c r="G28" s="392">
        <v>2176</v>
      </c>
      <c r="H28" s="465"/>
      <c r="I28" s="392"/>
      <c r="J28" s="365">
        <f t="shared" ref="J28:J34" si="5">E28+G28+I28</f>
        <v>4047</v>
      </c>
      <c r="K28" s="366">
        <f t="shared" ref="K28:K34" si="6">J28/450</f>
        <v>8.9933333333333341</v>
      </c>
      <c r="L28" s="396">
        <v>1</v>
      </c>
      <c r="M28" s="466">
        <v>1016</v>
      </c>
      <c r="N28" s="363">
        <v>10</v>
      </c>
      <c r="O28" s="3049" t="s">
        <v>81</v>
      </c>
      <c r="P28" s="3050"/>
      <c r="Q28" s="467">
        <v>2</v>
      </c>
      <c r="R28" s="360">
        <v>0</v>
      </c>
      <c r="S28" s="468" t="s">
        <v>82</v>
      </c>
      <c r="T28" s="469">
        <v>606</v>
      </c>
      <c r="U28" s="307"/>
      <c r="V28" s="2630">
        <f>VLOOKUP(M28,'[1]TABELA FRETE'!$A$6:$B$12,2,0)</f>
        <v>425.7</v>
      </c>
      <c r="W28" s="2631"/>
      <c r="X28" s="3076"/>
      <c r="Y28" s="3077"/>
    </row>
    <row r="29" spans="2:25" s="299" customFormat="1" ht="48" customHeight="1">
      <c r="B29" s="463">
        <v>0.58333333333333304</v>
      </c>
      <c r="C29" s="326"/>
      <c r="D29" s="458">
        <v>32</v>
      </c>
      <c r="E29" s="392">
        <v>2173</v>
      </c>
      <c r="F29" s="464"/>
      <c r="G29" s="392"/>
      <c r="H29" s="465"/>
      <c r="I29" s="392"/>
      <c r="J29" s="365">
        <f t="shared" si="5"/>
        <v>2173</v>
      </c>
      <c r="K29" s="366">
        <f t="shared" si="6"/>
        <v>4.8288888888888888</v>
      </c>
      <c r="L29" s="396">
        <v>1</v>
      </c>
      <c r="M29" s="376">
        <v>1016</v>
      </c>
      <c r="N29" s="377">
        <v>6</v>
      </c>
      <c r="O29" s="3049" t="s">
        <v>83</v>
      </c>
      <c r="P29" s="3050"/>
      <c r="Q29" s="387">
        <v>2</v>
      </c>
      <c r="R29" s="407">
        <v>0</v>
      </c>
      <c r="S29" s="380" t="s">
        <v>84</v>
      </c>
      <c r="T29" s="407">
        <v>655</v>
      </c>
      <c r="U29" s="307"/>
      <c r="V29" s="2630">
        <f>VLOOKUP(M29,'[1]TABELA FRETE'!$A$6:$B$12,2,0)</f>
        <v>425.7</v>
      </c>
      <c r="W29" s="2631"/>
      <c r="X29" s="3076"/>
      <c r="Y29" s="3077"/>
    </row>
    <row r="30" spans="2:25" s="299" customFormat="1" ht="48" customHeight="1">
      <c r="B30" s="463">
        <v>0.58333333333333304</v>
      </c>
      <c r="C30" s="326"/>
      <c r="D30" s="458">
        <v>42</v>
      </c>
      <c r="E30" s="392">
        <v>3494</v>
      </c>
      <c r="F30" s="464"/>
      <c r="G30" s="392"/>
      <c r="H30" s="465"/>
      <c r="I30" s="392"/>
      <c r="J30" s="365">
        <f t="shared" si="5"/>
        <v>3494</v>
      </c>
      <c r="K30" s="366">
        <f t="shared" si="6"/>
        <v>7.764444444444444</v>
      </c>
      <c r="L30" s="396">
        <v>1</v>
      </c>
      <c r="M30" s="466">
        <v>1016</v>
      </c>
      <c r="N30" s="363">
        <v>8</v>
      </c>
      <c r="O30" s="3049" t="s">
        <v>85</v>
      </c>
      <c r="P30" s="3050"/>
      <c r="Q30" s="467">
        <v>2</v>
      </c>
      <c r="R30" s="360">
        <v>0</v>
      </c>
      <c r="S30" s="468" t="s">
        <v>86</v>
      </c>
      <c r="T30" s="469">
        <v>714</v>
      </c>
      <c r="U30" s="307"/>
      <c r="V30" s="2630">
        <f>VLOOKUP(M30,'[1]TABELA FRETE'!$A$6:$B$12,2,0)</f>
        <v>425.7</v>
      </c>
      <c r="W30" s="2631"/>
      <c r="X30" s="3076"/>
      <c r="Y30" s="3077"/>
    </row>
    <row r="31" spans="2:25" s="299" customFormat="1" ht="63" customHeight="1">
      <c r="B31" s="463">
        <v>0.58333333333333304</v>
      </c>
      <c r="C31" s="326"/>
      <c r="D31" s="470" t="s">
        <v>87</v>
      </c>
      <c r="E31" s="392">
        <v>3210</v>
      </c>
      <c r="F31" s="464"/>
      <c r="G31" s="392"/>
      <c r="H31" s="465"/>
      <c r="I31" s="392"/>
      <c r="J31" s="365">
        <f t="shared" si="5"/>
        <v>3210</v>
      </c>
      <c r="K31" s="366">
        <f t="shared" si="6"/>
        <v>7.1333333333333337</v>
      </c>
      <c r="L31" s="365">
        <v>1</v>
      </c>
      <c r="M31" s="367">
        <v>1016</v>
      </c>
      <c r="N31" s="368">
        <v>8</v>
      </c>
      <c r="O31" s="3049" t="s">
        <v>88</v>
      </c>
      <c r="P31" s="3050"/>
      <c r="Q31" s="387">
        <v>1</v>
      </c>
      <c r="R31" s="388">
        <v>0</v>
      </c>
      <c r="S31" s="456" t="s">
        <v>89</v>
      </c>
      <c r="T31" s="457">
        <v>799</v>
      </c>
      <c r="U31" s="307"/>
      <c r="V31" s="2630">
        <f>VLOOKUP(M31,'[1]TABELA FRETE'!$D$25:$E$29,2,0)</f>
        <v>247.5</v>
      </c>
      <c r="W31" s="2631"/>
      <c r="X31" s="3076"/>
      <c r="Y31" s="3077"/>
    </row>
    <row r="32" spans="2:25" s="299" customFormat="1" ht="63" customHeight="1">
      <c r="B32" s="358">
        <v>0.58333333333333304</v>
      </c>
      <c r="C32" s="471"/>
      <c r="D32" s="472">
        <v>1129</v>
      </c>
      <c r="E32" s="375">
        <v>3605</v>
      </c>
      <c r="F32" s="393"/>
      <c r="G32" s="360"/>
      <c r="H32" s="445"/>
      <c r="I32" s="360"/>
      <c r="J32" s="365">
        <f t="shared" si="5"/>
        <v>3605</v>
      </c>
      <c r="K32" s="366">
        <f t="shared" si="6"/>
        <v>8.0111111111111111</v>
      </c>
      <c r="L32" s="365">
        <v>1</v>
      </c>
      <c r="M32" s="376">
        <v>1016</v>
      </c>
      <c r="N32" s="377">
        <v>8</v>
      </c>
      <c r="O32" s="3049" t="s">
        <v>90</v>
      </c>
      <c r="P32" s="3050"/>
      <c r="Q32" s="446">
        <v>2</v>
      </c>
      <c r="R32" s="407">
        <v>0</v>
      </c>
      <c r="S32" s="380" t="s">
        <v>91</v>
      </c>
      <c r="T32" s="407">
        <v>674</v>
      </c>
      <c r="U32" s="307"/>
      <c r="V32" s="2630">
        <f>VLOOKUP(M32,'[1]TABELA FRETE'!$A$6:$B$12,2,0)</f>
        <v>425.7</v>
      </c>
      <c r="W32" s="2631"/>
      <c r="X32" s="3083"/>
      <c r="Y32" s="3084"/>
    </row>
    <row r="33" spans="2:25" s="299" customFormat="1" ht="48" customHeight="1">
      <c r="B33" s="358">
        <v>0.58333333333333304</v>
      </c>
      <c r="C33" s="326"/>
      <c r="D33" s="444">
        <v>6</v>
      </c>
      <c r="E33" s="360">
        <v>2644</v>
      </c>
      <c r="F33" s="473"/>
      <c r="G33" s="375"/>
      <c r="H33" s="474"/>
      <c r="I33" s="360"/>
      <c r="J33" s="467">
        <f t="shared" si="5"/>
        <v>2644</v>
      </c>
      <c r="K33" s="475">
        <f t="shared" si="6"/>
        <v>5.8755555555555556</v>
      </c>
      <c r="L33" s="467">
        <v>1</v>
      </c>
      <c r="M33" s="376">
        <v>1016</v>
      </c>
      <c r="N33" s="377">
        <v>8</v>
      </c>
      <c r="O33" s="3049" t="s">
        <v>92</v>
      </c>
      <c r="P33" s="3050"/>
      <c r="Q33" s="446">
        <v>2</v>
      </c>
      <c r="R33" s="407">
        <v>0</v>
      </c>
      <c r="S33" s="380" t="s">
        <v>93</v>
      </c>
      <c r="T33" s="407">
        <v>576</v>
      </c>
      <c r="U33" s="307"/>
      <c r="V33" s="2630">
        <f>VLOOKUP(M33,'[1]TABELA FRETE'!$A$6:$B$12,2,0)</f>
        <v>425.7</v>
      </c>
      <c r="W33" s="2631"/>
      <c r="X33" s="3076"/>
      <c r="Y33" s="3077"/>
    </row>
    <row r="34" spans="2:25" s="299" customFormat="1" ht="48" customHeight="1">
      <c r="B34" s="408">
        <v>0.58333333333333304</v>
      </c>
      <c r="C34" s="326"/>
      <c r="D34" s="476">
        <v>46</v>
      </c>
      <c r="E34" s="477">
        <v>4595</v>
      </c>
      <c r="F34" s="478"/>
      <c r="G34" s="477"/>
      <c r="H34" s="479"/>
      <c r="I34" s="477"/>
      <c r="J34" s="480">
        <f t="shared" si="5"/>
        <v>4595</v>
      </c>
      <c r="K34" s="481">
        <f t="shared" si="6"/>
        <v>10.21111111111111</v>
      </c>
      <c r="L34" s="480">
        <v>1</v>
      </c>
      <c r="M34" s="415" t="s">
        <v>7</v>
      </c>
      <c r="N34" s="416">
        <v>12</v>
      </c>
      <c r="O34" s="3250" t="s">
        <v>94</v>
      </c>
      <c r="P34" s="3251"/>
      <c r="Q34" s="482">
        <v>1</v>
      </c>
      <c r="R34" s="483">
        <v>1</v>
      </c>
      <c r="S34" s="484" t="s">
        <v>95</v>
      </c>
      <c r="T34" s="485">
        <v>184422</v>
      </c>
      <c r="U34" s="486"/>
      <c r="V34" s="2630">
        <f>VLOOKUP(M34,'[1]TABELA FRETE'!$A$6:$B$12,2,0)</f>
        <v>466.4</v>
      </c>
      <c r="W34" s="2631"/>
      <c r="X34" s="3087"/>
      <c r="Y34" s="3088"/>
    </row>
    <row r="35" spans="2:25" s="301" customFormat="1" ht="6" customHeight="1">
      <c r="B35" s="326"/>
      <c r="C35" s="326"/>
      <c r="D35" s="487"/>
      <c r="E35" s="423"/>
      <c r="F35" s="488"/>
      <c r="G35" s="423"/>
      <c r="H35" s="424"/>
      <c r="I35" s="423"/>
      <c r="J35" s="423"/>
      <c r="K35" s="425"/>
      <c r="L35" s="423"/>
      <c r="M35" s="426"/>
      <c r="N35" s="427"/>
      <c r="O35" s="431"/>
      <c r="P35" s="431"/>
      <c r="Q35" s="431"/>
      <c r="R35" s="431"/>
      <c r="S35" s="489"/>
      <c r="T35" s="431"/>
      <c r="U35" s="432"/>
      <c r="V35" s="433"/>
      <c r="W35" s="433"/>
      <c r="X35" s="434"/>
      <c r="Y35" s="434"/>
    </row>
    <row r="36" spans="2:25" s="299" customFormat="1" ht="48" customHeight="1">
      <c r="B36" s="325">
        <v>0.70833333333333304</v>
      </c>
      <c r="C36" s="326"/>
      <c r="D36" s="490">
        <v>11</v>
      </c>
      <c r="E36" s="328">
        <v>1500</v>
      </c>
      <c r="F36" s="491"/>
      <c r="G36" s="328"/>
      <c r="H36" s="438"/>
      <c r="I36" s="492"/>
      <c r="J36" s="493">
        <f t="shared" ref="J36:J41" si="7">E36+G36+I36</f>
        <v>1500</v>
      </c>
      <c r="K36" s="494">
        <f t="shared" ref="K36:K41" si="8">J36/450</f>
        <v>3.3333333333333335</v>
      </c>
      <c r="L36" s="492">
        <v>1</v>
      </c>
      <c r="M36" s="495" t="s">
        <v>8</v>
      </c>
      <c r="N36" s="496">
        <v>4</v>
      </c>
      <c r="O36" s="2933" t="s">
        <v>96</v>
      </c>
      <c r="P36" s="2934"/>
      <c r="Q36" s="497">
        <v>2</v>
      </c>
      <c r="R36" s="498">
        <v>0</v>
      </c>
      <c r="S36" s="499" t="s">
        <v>97</v>
      </c>
      <c r="T36" s="500">
        <v>456</v>
      </c>
      <c r="U36" s="307"/>
      <c r="V36" s="2630">
        <f>VLOOKUP(M36,'[1]TABELA FRETE'!$A$6:$B$12,2,0)</f>
        <v>286</v>
      </c>
      <c r="W36" s="2631"/>
      <c r="X36" s="2694"/>
      <c r="Y36" s="2695"/>
    </row>
    <row r="37" spans="2:25" s="299" customFormat="1" ht="48" customHeight="1">
      <c r="B37" s="343">
        <v>0.70833333333333304</v>
      </c>
      <c r="C37" s="326"/>
      <c r="D37" s="503">
        <v>11</v>
      </c>
      <c r="E37" s="345">
        <v>1000</v>
      </c>
      <c r="F37" s="504"/>
      <c r="G37" s="345"/>
      <c r="H37" s="348"/>
      <c r="I37" s="455"/>
      <c r="J37" s="505">
        <f t="shared" si="7"/>
        <v>1000</v>
      </c>
      <c r="K37" s="506">
        <f t="shared" si="8"/>
        <v>2.2222222222222223</v>
      </c>
      <c r="L37" s="455">
        <v>1</v>
      </c>
      <c r="M37" s="352" t="s">
        <v>9</v>
      </c>
      <c r="N37" s="353">
        <v>3</v>
      </c>
      <c r="O37" s="507" t="s">
        <v>98</v>
      </c>
      <c r="P37" s="508"/>
      <c r="Q37" s="509">
        <v>1</v>
      </c>
      <c r="R37" s="510">
        <v>0</v>
      </c>
      <c r="S37" s="356" t="s">
        <v>99</v>
      </c>
      <c r="T37" s="355">
        <v>496</v>
      </c>
      <c r="U37" s="307"/>
      <c r="V37" s="2630">
        <f>VLOOKUP(M37,'[1]TABELA FRETE'!$A$6:$B$12,2,0)</f>
        <v>250.8</v>
      </c>
      <c r="W37" s="2631"/>
      <c r="X37" s="3076"/>
      <c r="Y37" s="3077"/>
    </row>
    <row r="38" spans="2:25" s="299" customFormat="1" ht="48" customHeight="1">
      <c r="B38" s="343">
        <v>0.70833333333333304</v>
      </c>
      <c r="C38" s="326"/>
      <c r="D38" s="503">
        <v>11</v>
      </c>
      <c r="E38" s="345">
        <v>952</v>
      </c>
      <c r="F38" s="504"/>
      <c r="G38" s="345"/>
      <c r="H38" s="348"/>
      <c r="I38" s="455"/>
      <c r="J38" s="505">
        <f t="shared" si="7"/>
        <v>952</v>
      </c>
      <c r="K38" s="506">
        <f t="shared" si="8"/>
        <v>2.1155555555555554</v>
      </c>
      <c r="L38" s="455">
        <v>1</v>
      </c>
      <c r="M38" s="511" t="s">
        <v>8</v>
      </c>
      <c r="N38" s="512">
        <v>4</v>
      </c>
      <c r="O38" s="3248" t="s">
        <v>100</v>
      </c>
      <c r="P38" s="3249"/>
      <c r="Q38" s="513">
        <v>1</v>
      </c>
      <c r="R38" s="514">
        <v>0</v>
      </c>
      <c r="S38" s="515" t="s">
        <v>101</v>
      </c>
      <c r="T38" s="514">
        <v>353</v>
      </c>
      <c r="U38" s="307"/>
      <c r="V38" s="2630">
        <f>VLOOKUP(M38,'[1]TABELA FRETE'!$A$6:$B$12,2,0)</f>
        <v>286</v>
      </c>
      <c r="W38" s="2631"/>
      <c r="X38" s="3076"/>
      <c r="Y38" s="3077"/>
    </row>
    <row r="39" spans="2:25" s="299" customFormat="1" ht="48" customHeight="1">
      <c r="B39" s="343">
        <v>0.70833333333333304</v>
      </c>
      <c r="C39" s="326"/>
      <c r="D39" s="516">
        <v>14</v>
      </c>
      <c r="E39" s="375">
        <v>3000</v>
      </c>
      <c r="F39" s="401"/>
      <c r="G39" s="375"/>
      <c r="H39" s="363"/>
      <c r="I39" s="364"/>
      <c r="J39" s="365">
        <f t="shared" si="7"/>
        <v>3000</v>
      </c>
      <c r="K39" s="366">
        <f t="shared" si="8"/>
        <v>6.666666666666667</v>
      </c>
      <c r="L39" s="365">
        <v>1</v>
      </c>
      <c r="M39" s="376">
        <v>1016</v>
      </c>
      <c r="N39" s="377">
        <v>8</v>
      </c>
      <c r="O39" s="3161" t="s">
        <v>46</v>
      </c>
      <c r="P39" s="2926"/>
      <c r="Q39" s="450">
        <v>2</v>
      </c>
      <c r="R39" s="407">
        <v>0</v>
      </c>
      <c r="S39" s="380" t="s">
        <v>102</v>
      </c>
      <c r="T39" s="407">
        <v>48</v>
      </c>
      <c r="U39" s="307"/>
      <c r="V39" s="2630">
        <f>VLOOKUP(M39,'[1]TABELA FRETE'!$A$6:$B$12,2,0)</f>
        <v>425.7</v>
      </c>
      <c r="W39" s="2631"/>
      <c r="X39" s="3076"/>
      <c r="Y39" s="3077"/>
    </row>
    <row r="40" spans="2:25" s="299" customFormat="1" ht="48" customHeight="1">
      <c r="B40" s="343">
        <v>0.70833333333333304</v>
      </c>
      <c r="C40" s="326"/>
      <c r="D40" s="517">
        <v>14</v>
      </c>
      <c r="E40" s="455">
        <v>3106</v>
      </c>
      <c r="F40" s="518"/>
      <c r="G40" s="455"/>
      <c r="H40" s="348"/>
      <c r="I40" s="349"/>
      <c r="J40" s="365">
        <f t="shared" si="7"/>
        <v>3106</v>
      </c>
      <c r="K40" s="366">
        <f t="shared" si="8"/>
        <v>6.902222222222222</v>
      </c>
      <c r="L40" s="365">
        <v>1</v>
      </c>
      <c r="M40" s="352">
        <v>1016</v>
      </c>
      <c r="N40" s="353">
        <v>8</v>
      </c>
      <c r="O40" s="3058" t="s">
        <v>85</v>
      </c>
      <c r="P40" s="3059"/>
      <c r="Q40" s="509">
        <v>2</v>
      </c>
      <c r="R40" s="510">
        <v>0</v>
      </c>
      <c r="S40" s="356" t="s">
        <v>86</v>
      </c>
      <c r="T40" s="355">
        <v>714</v>
      </c>
      <c r="U40" s="307"/>
      <c r="V40" s="2630">
        <f>VLOOKUP(M40,'[1]TABELA FRETE'!$A$6:$B$12,2,0)</f>
        <v>425.7</v>
      </c>
      <c r="W40" s="2631"/>
      <c r="X40" s="3076"/>
      <c r="Y40" s="3077"/>
    </row>
    <row r="41" spans="2:25" s="299" customFormat="1" ht="48" customHeight="1">
      <c r="B41" s="343">
        <v>0.70833333333333304</v>
      </c>
      <c r="C41" s="326"/>
      <c r="D41" s="520">
        <v>36</v>
      </c>
      <c r="E41" s="345">
        <v>2337</v>
      </c>
      <c r="F41" s="504">
        <v>33</v>
      </c>
      <c r="G41" s="345">
        <v>3317</v>
      </c>
      <c r="H41" s="348"/>
      <c r="I41" s="455"/>
      <c r="J41" s="505">
        <f t="shared" si="7"/>
        <v>5654</v>
      </c>
      <c r="K41" s="506">
        <f t="shared" si="8"/>
        <v>12.564444444444444</v>
      </c>
      <c r="L41" s="375">
        <v>1</v>
      </c>
      <c r="M41" s="352" t="s">
        <v>7</v>
      </c>
      <c r="N41" s="353">
        <v>12</v>
      </c>
      <c r="O41" s="3058" t="s">
        <v>62</v>
      </c>
      <c r="P41" s="3059"/>
      <c r="Q41" s="509">
        <v>2</v>
      </c>
      <c r="R41" s="510">
        <v>0</v>
      </c>
      <c r="S41" s="356" t="s">
        <v>63</v>
      </c>
      <c r="T41" s="355">
        <v>740</v>
      </c>
      <c r="U41" s="307"/>
      <c r="V41" s="2630">
        <f>VLOOKUP(M41,'[1]TABELA FRETE'!$A$6:$B$12,2,0)</f>
        <v>466.4</v>
      </c>
      <c r="W41" s="2631"/>
      <c r="X41" s="3076"/>
      <c r="Y41" s="3077"/>
    </row>
    <row r="42" spans="2:25" s="299" customFormat="1" ht="48" customHeight="1">
      <c r="B42" s="358">
        <v>0.70833333333333304</v>
      </c>
      <c r="C42" s="326"/>
      <c r="D42" s="516">
        <v>30</v>
      </c>
      <c r="E42" s="360">
        <v>2516</v>
      </c>
      <c r="F42" s="521"/>
      <c r="G42" s="345"/>
      <c r="H42" s="474"/>
      <c r="I42" s="360"/>
      <c r="J42" s="467">
        <f t="shared" ref="J42:J50" si="9">E42+G42+I42</f>
        <v>2516</v>
      </c>
      <c r="K42" s="475">
        <f t="shared" ref="K42:K49" si="10">J42/450</f>
        <v>5.5911111111111111</v>
      </c>
      <c r="L42" s="467">
        <v>1</v>
      </c>
      <c r="M42" s="376">
        <v>1016</v>
      </c>
      <c r="N42" s="377">
        <v>8</v>
      </c>
      <c r="O42" s="3161" t="s">
        <v>44</v>
      </c>
      <c r="P42" s="2926"/>
      <c r="Q42" s="450">
        <v>2</v>
      </c>
      <c r="R42" s="407">
        <v>0</v>
      </c>
      <c r="S42" s="380" t="s">
        <v>103</v>
      </c>
      <c r="T42" s="407">
        <v>674</v>
      </c>
      <c r="U42" s="307"/>
      <c r="V42" s="2630">
        <f>VLOOKUP(M42,'[1]TABELA FRETE'!$A$6:$B$12,2,0)</f>
        <v>425.7</v>
      </c>
      <c r="W42" s="2631"/>
      <c r="X42" s="3076"/>
      <c r="Y42" s="3077"/>
    </row>
    <row r="43" spans="2:25" s="299" customFormat="1" ht="48" customHeight="1">
      <c r="B43" s="358">
        <v>0.70833333333333304</v>
      </c>
      <c r="C43" s="326"/>
      <c r="D43" s="522">
        <v>21</v>
      </c>
      <c r="E43" s="392">
        <v>2904</v>
      </c>
      <c r="F43" s="523"/>
      <c r="G43" s="460"/>
      <c r="H43" s="465"/>
      <c r="I43" s="392"/>
      <c r="J43" s="467">
        <f t="shared" si="9"/>
        <v>2904</v>
      </c>
      <c r="K43" s="475">
        <f t="shared" si="10"/>
        <v>6.4533333333333331</v>
      </c>
      <c r="L43" s="467">
        <v>1</v>
      </c>
      <c r="M43" s="376">
        <v>1016</v>
      </c>
      <c r="N43" s="377">
        <v>8</v>
      </c>
      <c r="O43" s="3161" t="s">
        <v>81</v>
      </c>
      <c r="P43" s="2926"/>
      <c r="Q43" s="450">
        <v>2</v>
      </c>
      <c r="R43" s="407">
        <v>0</v>
      </c>
      <c r="S43" s="380" t="s">
        <v>82</v>
      </c>
      <c r="T43" s="407">
        <v>606</v>
      </c>
      <c r="U43" s="307"/>
      <c r="V43" s="2630">
        <f>VLOOKUP(M43,'[1]TABELA FRETE'!$A$6:$B$12,2,0)</f>
        <v>425.7</v>
      </c>
      <c r="W43" s="2631"/>
      <c r="X43" s="3076"/>
      <c r="Y43" s="3077"/>
    </row>
    <row r="44" spans="2:25" s="299" customFormat="1" ht="49.5" customHeight="1">
      <c r="B44" s="358">
        <v>0.70833333333333304</v>
      </c>
      <c r="C44" s="326"/>
      <c r="D44" s="516">
        <v>4</v>
      </c>
      <c r="E44" s="360">
        <v>1494</v>
      </c>
      <c r="F44" s="524"/>
      <c r="G44" s="360"/>
      <c r="H44" s="525"/>
      <c r="I44" s="360"/>
      <c r="J44" s="467">
        <f t="shared" si="9"/>
        <v>1494</v>
      </c>
      <c r="K44" s="475">
        <f t="shared" si="10"/>
        <v>3.32</v>
      </c>
      <c r="L44" s="467">
        <v>1</v>
      </c>
      <c r="M44" s="526">
        <v>1016</v>
      </c>
      <c r="N44" s="348">
        <v>8</v>
      </c>
      <c r="O44" s="2742" t="s">
        <v>92</v>
      </c>
      <c r="P44" s="2770"/>
      <c r="Q44" s="527">
        <v>2</v>
      </c>
      <c r="R44" s="455">
        <v>0</v>
      </c>
      <c r="S44" s="528" t="s">
        <v>104</v>
      </c>
      <c r="T44" s="529">
        <v>576</v>
      </c>
      <c r="U44" s="432"/>
      <c r="V44" s="2630">
        <f>VLOOKUP(M44,'[1]TABELA FRETE'!$A$6:$B$12,2,0)</f>
        <v>425.7</v>
      </c>
      <c r="W44" s="2631"/>
      <c r="X44" s="3076"/>
      <c r="Y44" s="3077"/>
    </row>
    <row r="45" spans="2:25" s="299" customFormat="1" ht="49.5" customHeight="1">
      <c r="B45" s="358">
        <v>0.70833333333333304</v>
      </c>
      <c r="C45" s="326"/>
      <c r="D45" s="516">
        <v>18</v>
      </c>
      <c r="E45" s="360">
        <v>2410</v>
      </c>
      <c r="F45" s="530"/>
      <c r="G45" s="392"/>
      <c r="H45" s="531"/>
      <c r="I45" s="392"/>
      <c r="J45" s="467">
        <f t="shared" si="9"/>
        <v>2410</v>
      </c>
      <c r="K45" s="475">
        <f t="shared" si="10"/>
        <v>5.3555555555555552</v>
      </c>
      <c r="L45" s="467">
        <v>1</v>
      </c>
      <c r="M45" s="376">
        <v>1016</v>
      </c>
      <c r="N45" s="377">
        <v>7</v>
      </c>
      <c r="O45" s="2628" t="s">
        <v>56</v>
      </c>
      <c r="P45" s="2629"/>
      <c r="Q45" s="450">
        <v>1</v>
      </c>
      <c r="R45" s="407">
        <v>0</v>
      </c>
      <c r="S45" s="380" t="s">
        <v>57</v>
      </c>
      <c r="T45" s="407">
        <v>663</v>
      </c>
      <c r="U45" s="432"/>
      <c r="V45" s="2630">
        <f>VLOOKUP(M45,'[1]TABELA FRETE'!$A$6:$B$12,2,0)</f>
        <v>425.7</v>
      </c>
      <c r="W45" s="2631"/>
      <c r="X45" s="3076"/>
      <c r="Y45" s="3077"/>
    </row>
    <row r="46" spans="2:25" s="299" customFormat="1" ht="48" customHeight="1">
      <c r="B46" s="463">
        <v>0.70833333333333304</v>
      </c>
      <c r="C46" s="326"/>
      <c r="D46" s="516">
        <v>7</v>
      </c>
      <c r="E46" s="360">
        <v>5500</v>
      </c>
      <c r="F46" s="473"/>
      <c r="G46" s="375"/>
      <c r="H46" s="474"/>
      <c r="I46" s="360"/>
      <c r="J46" s="467">
        <f t="shared" si="9"/>
        <v>5500</v>
      </c>
      <c r="K46" s="475">
        <f t="shared" si="10"/>
        <v>12.222222222222221</v>
      </c>
      <c r="L46" s="467">
        <v>1</v>
      </c>
      <c r="M46" s="376" t="s">
        <v>7</v>
      </c>
      <c r="N46" s="377">
        <v>12</v>
      </c>
      <c r="O46" s="3161" t="s">
        <v>50</v>
      </c>
      <c r="P46" s="2926"/>
      <c r="Q46" s="450">
        <v>2</v>
      </c>
      <c r="R46" s="407">
        <v>0</v>
      </c>
      <c r="S46" s="380" t="s">
        <v>105</v>
      </c>
      <c r="T46" s="407">
        <v>612</v>
      </c>
      <c r="U46" s="307"/>
      <c r="V46" s="2630">
        <f>VLOOKUP(M46,'[1]TABELA FRETE'!$A$6:$B$12,2,0)</f>
        <v>466.4</v>
      </c>
      <c r="W46" s="2631"/>
      <c r="X46" s="3076"/>
      <c r="Y46" s="3077"/>
    </row>
    <row r="47" spans="2:25" s="299" customFormat="1" ht="48" customHeight="1">
      <c r="B47" s="463">
        <v>0.70833333333333304</v>
      </c>
      <c r="C47" s="326"/>
      <c r="D47" s="532">
        <v>7</v>
      </c>
      <c r="E47" s="392">
        <v>2625</v>
      </c>
      <c r="F47" s="473"/>
      <c r="G47" s="375"/>
      <c r="H47" s="474"/>
      <c r="I47" s="360"/>
      <c r="J47" s="467">
        <f t="shared" si="9"/>
        <v>2625</v>
      </c>
      <c r="K47" s="475">
        <f t="shared" si="10"/>
        <v>5.833333333333333</v>
      </c>
      <c r="L47" s="467">
        <v>1</v>
      </c>
      <c r="M47" s="533">
        <v>1016</v>
      </c>
      <c r="N47" s="534">
        <v>8</v>
      </c>
      <c r="O47" s="450" t="s">
        <v>106</v>
      </c>
      <c r="P47" s="446"/>
      <c r="Q47" s="535">
        <v>2</v>
      </c>
      <c r="R47" s="357">
        <v>0</v>
      </c>
      <c r="S47" s="536" t="s">
        <v>107</v>
      </c>
      <c r="T47" s="357">
        <v>606</v>
      </c>
      <c r="U47" s="307"/>
      <c r="V47" s="2630">
        <f>VLOOKUP(M47,'[1]TABELA FRETE'!$A$6:$B$12,2,0)</f>
        <v>425.7</v>
      </c>
      <c r="W47" s="2631"/>
      <c r="X47" s="3074"/>
      <c r="Y47" s="3075"/>
    </row>
    <row r="48" spans="2:25" s="299" customFormat="1" ht="48" customHeight="1">
      <c r="B48" s="463">
        <v>0.70833333333333304</v>
      </c>
      <c r="C48" s="326"/>
      <c r="D48" s="522">
        <v>48</v>
      </c>
      <c r="E48" s="392">
        <v>2520</v>
      </c>
      <c r="F48" s="539"/>
      <c r="G48" s="360"/>
      <c r="H48" s="363"/>
      <c r="I48" s="375"/>
      <c r="J48" s="365">
        <f t="shared" si="9"/>
        <v>2520</v>
      </c>
      <c r="K48" s="366">
        <f t="shared" si="10"/>
        <v>5.6</v>
      </c>
      <c r="L48" s="365">
        <v>1</v>
      </c>
      <c r="M48" s="526">
        <v>1016</v>
      </c>
      <c r="N48" s="348">
        <v>8</v>
      </c>
      <c r="O48" s="3047" t="s">
        <v>88</v>
      </c>
      <c r="P48" s="3048"/>
      <c r="Q48" s="527">
        <v>1</v>
      </c>
      <c r="R48" s="455">
        <v>0</v>
      </c>
      <c r="S48" s="528" t="s">
        <v>89</v>
      </c>
      <c r="T48" s="529">
        <v>799</v>
      </c>
      <c r="U48" s="307"/>
      <c r="V48" s="2630">
        <f>VLOOKUP(M48,'[1]TABELA FRETE'!$A$6:$B$12,2,0)</f>
        <v>425.7</v>
      </c>
      <c r="W48" s="2631"/>
      <c r="X48" s="3083"/>
      <c r="Y48" s="3084"/>
    </row>
    <row r="49" spans="2:25" s="299" customFormat="1" ht="48" customHeight="1">
      <c r="B49" s="408">
        <v>0.70833333333333304</v>
      </c>
      <c r="C49" s="326"/>
      <c r="D49" s="542">
        <v>13</v>
      </c>
      <c r="E49" s="410">
        <v>3581</v>
      </c>
      <c r="F49" s="543"/>
      <c r="G49" s="544"/>
      <c r="H49" s="545"/>
      <c r="I49" s="544"/>
      <c r="J49" s="546">
        <f t="shared" si="9"/>
        <v>3581</v>
      </c>
      <c r="K49" s="547">
        <f t="shared" si="10"/>
        <v>7.9577777777777774</v>
      </c>
      <c r="L49" s="546">
        <v>1</v>
      </c>
      <c r="M49" s="548" t="s">
        <v>7</v>
      </c>
      <c r="N49" s="549">
        <v>12</v>
      </c>
      <c r="O49" s="2931" t="s">
        <v>68</v>
      </c>
      <c r="P49" s="2932"/>
      <c r="Q49" s="550">
        <v>1</v>
      </c>
      <c r="R49" s="551">
        <v>0</v>
      </c>
      <c r="S49" s="552" t="s">
        <v>69</v>
      </c>
      <c r="T49" s="553">
        <v>808</v>
      </c>
      <c r="U49" s="307"/>
      <c r="V49" s="2630">
        <f>VLOOKUP(M49,'[1]TABELA FRETE'!$A$6:$B$12,2,0)</f>
        <v>466.4</v>
      </c>
      <c r="W49" s="2631"/>
      <c r="X49" s="3087"/>
      <c r="Y49" s="3088"/>
    </row>
    <row r="50" spans="2:25" s="299" customFormat="1" ht="49.5" customHeight="1">
      <c r="B50" s="554" t="s">
        <v>108</v>
      </c>
      <c r="C50" s="555"/>
      <c r="D50" s="556"/>
      <c r="E50" s="557">
        <f>SUM(E7:E49)</f>
        <v>131168</v>
      </c>
      <c r="F50" s="557" t="s">
        <v>109</v>
      </c>
      <c r="G50" s="557">
        <f>SUM(G7:G49)</f>
        <v>14928</v>
      </c>
      <c r="H50" s="557" t="s">
        <v>109</v>
      </c>
      <c r="I50" s="319">
        <f>SUM(I7:I49)</f>
        <v>0</v>
      </c>
      <c r="J50" s="319">
        <f t="shared" si="9"/>
        <v>146096</v>
      </c>
      <c r="K50" s="558">
        <f>SUM(K7:K49)</f>
        <v>324.65777777777782</v>
      </c>
      <c r="L50" s="559">
        <f>SUM(L7:L49)</f>
        <v>41</v>
      </c>
      <c r="M50" s="560" t="s">
        <v>110</v>
      </c>
      <c r="N50" s="554">
        <f>SUM(N7:N49)</f>
        <v>382</v>
      </c>
      <c r="O50" s="557" t="s">
        <v>32</v>
      </c>
      <c r="P50" s="557"/>
      <c r="Q50" s="319"/>
      <c r="R50" s="561">
        <f>SUM(R7:R49)</f>
        <v>2</v>
      </c>
      <c r="S50" s="562" t="s">
        <v>111</v>
      </c>
      <c r="T50" s="563"/>
      <c r="U50" s="307"/>
      <c r="V50" s="2560">
        <f>SUM(V7:W49)</f>
        <v>17600.000000000007</v>
      </c>
      <c r="W50" s="2561"/>
      <c r="X50" s="2566">
        <f>COUNT(X7:Y49)</f>
        <v>0</v>
      </c>
      <c r="Y50" s="2567"/>
    </row>
    <row r="51" spans="2:25" s="299" customFormat="1" ht="42" customHeight="1">
      <c r="B51" s="2853" t="s">
        <v>112</v>
      </c>
      <c r="C51" s="2899"/>
      <c r="D51" s="2899"/>
      <c r="E51" s="2899"/>
      <c r="F51" s="2899"/>
      <c r="G51" s="2899"/>
      <c r="H51" s="2899"/>
      <c r="I51" s="2899"/>
      <c r="J51" s="2899"/>
      <c r="K51" s="564">
        <v>44</v>
      </c>
      <c r="L51" s="2899" t="s">
        <v>113</v>
      </c>
      <c r="M51" s="2854"/>
      <c r="N51" s="2915" t="s">
        <v>114</v>
      </c>
      <c r="O51" s="2916"/>
      <c r="P51" s="2916"/>
      <c r="Q51" s="2916"/>
      <c r="R51" s="2917"/>
      <c r="S51" s="2915" t="s">
        <v>115</v>
      </c>
      <c r="T51" s="2917"/>
      <c r="U51" s="307"/>
      <c r="V51" s="2560"/>
      <c r="W51" s="2561"/>
      <c r="X51" s="2566"/>
      <c r="Y51" s="2567"/>
    </row>
    <row r="52" spans="2:25" s="299" customFormat="1" ht="6" customHeight="1">
      <c r="B52" s="2570" t="s">
        <v>116</v>
      </c>
      <c r="C52" s="2571"/>
      <c r="D52" s="2571"/>
      <c r="E52" s="2574">
        <f>L50</f>
        <v>41</v>
      </c>
      <c r="F52" s="2570" t="s">
        <v>30</v>
      </c>
      <c r="G52" s="2571"/>
      <c r="H52" s="2574">
        <f>J50</f>
        <v>146096</v>
      </c>
      <c r="I52" s="2575"/>
      <c r="J52" s="2571" t="s">
        <v>117</v>
      </c>
      <c r="K52" s="2575">
        <f>H52/E52</f>
        <v>3563.3170731707319</v>
      </c>
      <c r="L52" s="2574" t="s">
        <v>118</v>
      </c>
      <c r="M52" s="2574"/>
      <c r="N52" s="2574"/>
      <c r="O52" s="2575">
        <v>44</v>
      </c>
      <c r="P52" s="565"/>
      <c r="Q52" s="565"/>
      <c r="R52" s="565"/>
      <c r="S52" s="565"/>
      <c r="T52" s="566"/>
      <c r="U52" s="307"/>
      <c r="V52" s="2562"/>
      <c r="W52" s="2563"/>
      <c r="X52" s="2568"/>
      <c r="Y52" s="2569"/>
    </row>
    <row r="53" spans="2:25" s="299" customFormat="1" ht="42" customHeight="1">
      <c r="B53" s="2572"/>
      <c r="C53" s="2573"/>
      <c r="D53" s="2573"/>
      <c r="E53" s="2576"/>
      <c r="F53" s="2572"/>
      <c r="G53" s="2573"/>
      <c r="H53" s="2576"/>
      <c r="I53" s="2577"/>
      <c r="J53" s="2573"/>
      <c r="K53" s="2577"/>
      <c r="L53" s="2576"/>
      <c r="M53" s="2576"/>
      <c r="N53" s="2576"/>
      <c r="O53" s="2577"/>
      <c r="P53" s="567"/>
      <c r="Q53" s="2663" t="s">
        <v>119</v>
      </c>
      <c r="R53" s="2664"/>
      <c r="S53" s="2664"/>
      <c r="T53" s="2665"/>
      <c r="U53" s="307"/>
      <c r="V53" s="2578" t="s">
        <v>120</v>
      </c>
      <c r="W53" s="2579"/>
      <c r="X53" s="2582" t="s">
        <v>121</v>
      </c>
      <c r="Y53" s="2583"/>
    </row>
    <row r="54" spans="2:25" s="299" customFormat="1" ht="39" customHeight="1">
      <c r="B54" s="2924" t="s">
        <v>122</v>
      </c>
      <c r="C54" s="3238" t="s">
        <v>33</v>
      </c>
      <c r="D54" s="3239"/>
      <c r="E54" s="2541" t="s">
        <v>123</v>
      </c>
      <c r="F54" s="2542"/>
      <c r="G54" s="2542"/>
      <c r="H54" s="2542"/>
      <c r="I54" s="2542"/>
      <c r="J54" s="2542"/>
      <c r="K54" s="2542"/>
      <c r="L54" s="2542"/>
      <c r="M54" s="2542"/>
      <c r="N54" s="2542"/>
      <c r="O54" s="2543"/>
      <c r="P54" s="568"/>
      <c r="Q54" s="2680" t="s">
        <v>124</v>
      </c>
      <c r="R54" s="2681"/>
      <c r="S54" s="2681"/>
      <c r="T54" s="2682"/>
      <c r="U54" s="307"/>
      <c r="V54" s="2578"/>
      <c r="W54" s="2579"/>
      <c r="X54" s="2582"/>
      <c r="Y54" s="2583"/>
    </row>
    <row r="55" spans="2:25" s="299" customFormat="1" ht="39" customHeight="1">
      <c r="B55" s="2925"/>
      <c r="C55" s="3240"/>
      <c r="D55" s="3241"/>
      <c r="E55" s="2544"/>
      <c r="F55" s="2545"/>
      <c r="G55" s="2545"/>
      <c r="H55" s="2545"/>
      <c r="I55" s="2545"/>
      <c r="J55" s="2545"/>
      <c r="K55" s="2545"/>
      <c r="L55" s="2545"/>
      <c r="M55" s="2545"/>
      <c r="N55" s="2545"/>
      <c r="O55" s="2546"/>
      <c r="P55" s="569"/>
      <c r="Q55" s="2683" t="s">
        <v>125</v>
      </c>
      <c r="R55" s="2684"/>
      <c r="S55" s="2684"/>
      <c r="T55" s="2685"/>
      <c r="U55" s="307"/>
      <c r="V55" s="2580"/>
      <c r="W55" s="2581"/>
      <c r="X55" s="2584"/>
      <c r="Y55" s="2585"/>
    </row>
    <row r="56" spans="2:25" s="299" customFormat="1" ht="39" customHeight="1">
      <c r="B56" s="570" t="s">
        <v>9</v>
      </c>
      <c r="C56" s="3242">
        <f>COUNTIF(M7:M49,"kia")</f>
        <v>1</v>
      </c>
      <c r="D56" s="3243"/>
      <c r="E56" s="2547"/>
      <c r="F56" s="2548"/>
      <c r="G56" s="2548"/>
      <c r="H56" s="2548"/>
      <c r="I56" s="2548"/>
      <c r="J56" s="2548"/>
      <c r="K56" s="2548"/>
      <c r="L56" s="2548"/>
      <c r="M56" s="2548"/>
      <c r="N56" s="2548"/>
      <c r="O56" s="2549"/>
      <c r="P56" s="569"/>
      <c r="Q56" s="2686" t="s">
        <v>126</v>
      </c>
      <c r="R56" s="2687"/>
      <c r="S56" s="2687"/>
      <c r="T56" s="2688"/>
      <c r="U56" s="307"/>
      <c r="V56" s="321"/>
      <c r="W56" s="321"/>
      <c r="X56" s="321"/>
      <c r="Y56" s="321"/>
    </row>
    <row r="57" spans="2:25" s="299" customFormat="1" ht="39" customHeight="1">
      <c r="B57" s="571" t="s">
        <v>8</v>
      </c>
      <c r="C57" s="3244">
        <f>COUNTIF(M7:M49,"iveco")</f>
        <v>2</v>
      </c>
      <c r="D57" s="3245"/>
      <c r="E57" s="2586" t="s">
        <v>127</v>
      </c>
      <c r="F57" s="2587"/>
      <c r="G57" s="2587"/>
      <c r="H57" s="2587"/>
      <c r="I57" s="2587"/>
      <c r="J57" s="2587"/>
      <c r="K57" s="2587"/>
      <c r="L57" s="2587"/>
      <c r="M57" s="2587"/>
      <c r="N57" s="2587"/>
      <c r="O57" s="2588"/>
      <c r="P57" s="569"/>
      <c r="Q57" s="2592" t="s">
        <v>128</v>
      </c>
      <c r="R57" s="2593"/>
      <c r="S57" s="2593"/>
      <c r="T57" s="2594"/>
      <c r="U57" s="307"/>
      <c r="V57" s="2689" t="s">
        <v>129</v>
      </c>
      <c r="W57" s="2690"/>
      <c r="X57" s="2690"/>
      <c r="Y57" s="2691"/>
    </row>
    <row r="58" spans="2:25" s="299" customFormat="1" ht="39" customHeight="1">
      <c r="B58" s="571">
        <v>1016</v>
      </c>
      <c r="C58" s="3244">
        <f>COUNTIF(M7:M49,"1016")</f>
        <v>20</v>
      </c>
      <c r="D58" s="3245"/>
      <c r="E58" s="2589"/>
      <c r="F58" s="2590"/>
      <c r="G58" s="2590"/>
      <c r="H58" s="2590"/>
      <c r="I58" s="2590"/>
      <c r="J58" s="2590"/>
      <c r="K58" s="2590"/>
      <c r="L58" s="2590"/>
      <c r="M58" s="2590"/>
      <c r="N58" s="2590"/>
      <c r="O58" s="2591"/>
      <c r="P58" s="569"/>
      <c r="Q58" s="2595"/>
      <c r="R58" s="2596"/>
      <c r="S58" s="2596"/>
      <c r="T58" s="2597"/>
      <c r="U58" s="307"/>
      <c r="V58" s="2601" t="s">
        <v>130</v>
      </c>
      <c r="W58" s="2602"/>
      <c r="X58" s="2602"/>
      <c r="Y58" s="2603"/>
    </row>
    <row r="59" spans="2:25" s="299" customFormat="1" ht="39" customHeight="1">
      <c r="B59" s="571" t="s">
        <v>7</v>
      </c>
      <c r="C59" s="3244">
        <f>COUNTIF(M7:M49,"toco")</f>
        <v>16</v>
      </c>
      <c r="D59" s="3245"/>
      <c r="E59" s="2607" t="s">
        <v>131</v>
      </c>
      <c r="F59" s="2608"/>
      <c r="G59" s="2608"/>
      <c r="H59" s="2608"/>
      <c r="I59" s="2608"/>
      <c r="J59" s="2608"/>
      <c r="K59" s="2608"/>
      <c r="L59" s="2608"/>
      <c r="M59" s="2608"/>
      <c r="N59" s="2608"/>
      <c r="O59" s="2609"/>
      <c r="P59" s="568"/>
      <c r="Q59" s="2598"/>
      <c r="R59" s="2599"/>
      <c r="S59" s="2599"/>
      <c r="T59" s="2600"/>
      <c r="U59" s="307"/>
      <c r="V59" s="2604"/>
      <c r="W59" s="2605"/>
      <c r="X59" s="2605"/>
      <c r="Y59" s="2606"/>
    </row>
    <row r="60" spans="2:25" s="299" customFormat="1" ht="39" customHeight="1">
      <c r="B60" s="572" t="s">
        <v>6</v>
      </c>
      <c r="C60" s="3246">
        <f>COUNTIF(M7:M49,"truck")</f>
        <v>2</v>
      </c>
      <c r="D60" s="3247"/>
      <c r="E60" s="2555"/>
      <c r="F60" s="2556"/>
      <c r="G60" s="2556"/>
      <c r="H60" s="2556"/>
      <c r="I60" s="2556"/>
      <c r="J60" s="2556"/>
      <c r="K60" s="2556"/>
      <c r="L60" s="2556"/>
      <c r="M60" s="2556"/>
      <c r="N60" s="2556"/>
      <c r="O60" s="2557"/>
      <c r="P60" s="568"/>
      <c r="Q60" s="2610" t="s">
        <v>132</v>
      </c>
      <c r="R60" s="2611"/>
      <c r="S60" s="2611"/>
      <c r="T60" s="2612"/>
      <c r="U60" s="307"/>
      <c r="V60" s="2616" t="s">
        <v>133</v>
      </c>
      <c r="W60" s="2617"/>
      <c r="X60" s="2622">
        <f>SUM(E7:E49,G7:G49,I7:I49)</f>
        <v>146096</v>
      </c>
      <c r="Y60" s="2623"/>
    </row>
    <row r="61" spans="2:25" s="299" customFormat="1" ht="39" customHeight="1">
      <c r="B61" s="2924" t="s">
        <v>134</v>
      </c>
      <c r="C61" s="3238">
        <f>SUM(C56:D60)</f>
        <v>41</v>
      </c>
      <c r="D61" s="3239"/>
      <c r="E61" s="2552" t="s">
        <v>135</v>
      </c>
      <c r="F61" s="2553"/>
      <c r="G61" s="2553"/>
      <c r="H61" s="2553"/>
      <c r="I61" s="2553"/>
      <c r="J61" s="2553"/>
      <c r="K61" s="2553"/>
      <c r="L61" s="2553"/>
      <c r="M61" s="2553"/>
      <c r="N61" s="2553"/>
      <c r="O61" s="2554"/>
      <c r="P61" s="573"/>
      <c r="Q61" s="2610"/>
      <c r="R61" s="2611"/>
      <c r="S61" s="2611"/>
      <c r="T61" s="2612"/>
      <c r="U61" s="574"/>
      <c r="V61" s="2618"/>
      <c r="W61" s="2619"/>
      <c r="X61" s="2624"/>
      <c r="Y61" s="2625"/>
    </row>
    <row r="62" spans="2:25" s="299" customFormat="1" ht="39" customHeight="1">
      <c r="B62" s="2925"/>
      <c r="C62" s="3240"/>
      <c r="D62" s="3241"/>
      <c r="E62" s="2555"/>
      <c r="F62" s="2556"/>
      <c r="G62" s="2556"/>
      <c r="H62" s="2556"/>
      <c r="I62" s="2556"/>
      <c r="J62" s="2556"/>
      <c r="K62" s="2556"/>
      <c r="L62" s="2556"/>
      <c r="M62" s="2556"/>
      <c r="N62" s="2556"/>
      <c r="O62" s="2557"/>
      <c r="P62" s="575"/>
      <c r="Q62" s="2610"/>
      <c r="R62" s="2611"/>
      <c r="S62" s="2611"/>
      <c r="T62" s="2612"/>
      <c r="U62" s="574"/>
      <c r="V62" s="2618"/>
      <c r="W62" s="2619"/>
      <c r="X62" s="2624"/>
      <c r="Y62" s="2625"/>
    </row>
    <row r="63" spans="2:25" s="300" customFormat="1" ht="39" customHeight="1">
      <c r="B63" s="576" t="s">
        <v>136</v>
      </c>
      <c r="C63" s="2847" t="s">
        <v>137</v>
      </c>
      <c r="D63" s="2848"/>
      <c r="E63" s="2848"/>
      <c r="F63" s="2848"/>
      <c r="G63" s="2848"/>
      <c r="H63" s="2848"/>
      <c r="I63" s="2848"/>
      <c r="J63" s="2848"/>
      <c r="K63" s="2848"/>
      <c r="L63" s="2848"/>
      <c r="M63" s="2848"/>
      <c r="N63" s="2848"/>
      <c r="O63" s="2849"/>
      <c r="P63" s="575"/>
      <c r="Q63" s="2613"/>
      <c r="R63" s="2614"/>
      <c r="S63" s="2614"/>
      <c r="T63" s="2615"/>
      <c r="V63" s="2620"/>
      <c r="W63" s="2621"/>
      <c r="X63" s="2626"/>
      <c r="Y63" s="2627"/>
    </row>
    <row r="69" spans="1:26" ht="45" customHeight="1">
      <c r="A69" s="577"/>
      <c r="B69" s="2799"/>
      <c r="C69" s="2800"/>
      <c r="D69" s="2800"/>
      <c r="E69" s="2800"/>
      <c r="F69" s="2800"/>
      <c r="G69" s="2800"/>
      <c r="H69" s="2800"/>
      <c r="I69" s="2801"/>
      <c r="J69" s="2876" t="s">
        <v>18</v>
      </c>
      <c r="K69" s="2877"/>
      <c r="L69" s="2877"/>
      <c r="M69" s="2877"/>
      <c r="N69" s="2877"/>
      <c r="O69" s="2877"/>
      <c r="P69" s="2877"/>
      <c r="Q69" s="2878"/>
      <c r="R69" s="2718">
        <v>46144</v>
      </c>
      <c r="S69" s="2719"/>
      <c r="T69" s="2720"/>
      <c r="U69" s="578"/>
      <c r="V69" s="2704" t="s">
        <v>19</v>
      </c>
      <c r="W69" s="2705"/>
      <c r="X69" s="2705"/>
      <c r="Y69" s="2706"/>
      <c r="Z69" s="577"/>
    </row>
    <row r="70" spans="1:26" ht="39.950000000000003" customHeight="1">
      <c r="A70" s="577"/>
      <c r="B70" s="2802"/>
      <c r="C70" s="2803"/>
      <c r="D70" s="2803"/>
      <c r="E70" s="2803"/>
      <c r="F70" s="2803"/>
      <c r="G70" s="2803"/>
      <c r="H70" s="2803"/>
      <c r="I70" s="2804"/>
      <c r="J70" s="2724" t="s">
        <v>20</v>
      </c>
      <c r="K70" s="2725"/>
      <c r="L70" s="2725"/>
      <c r="M70" s="2725"/>
      <c r="N70" s="2725"/>
      <c r="O70" s="2725"/>
      <c r="P70" s="2725"/>
      <c r="Q70" s="2726"/>
      <c r="R70" s="2721"/>
      <c r="S70" s="2722"/>
      <c r="T70" s="2723"/>
      <c r="U70" s="578"/>
      <c r="V70" s="2707"/>
      <c r="W70" s="2708"/>
      <c r="X70" s="2708"/>
      <c r="Y70" s="2709"/>
      <c r="Z70" s="577"/>
    </row>
    <row r="71" spans="1:26" ht="6" customHeight="1">
      <c r="A71" s="577"/>
      <c r="B71" s="579"/>
      <c r="C71" s="579"/>
      <c r="D71" s="579"/>
      <c r="E71" s="579"/>
      <c r="F71" s="579"/>
      <c r="G71" s="579"/>
      <c r="H71" s="579"/>
      <c r="I71" s="579"/>
      <c r="J71" s="2727"/>
      <c r="K71" s="2728"/>
      <c r="L71" s="2728"/>
      <c r="M71" s="2728"/>
      <c r="N71" s="2728"/>
      <c r="O71" s="2728"/>
      <c r="P71" s="2728"/>
      <c r="Q71" s="2729"/>
      <c r="R71" s="580"/>
      <c r="S71" s="581"/>
      <c r="T71" s="582"/>
      <c r="U71" s="578"/>
      <c r="V71" s="583"/>
      <c r="W71" s="583"/>
      <c r="X71" s="583"/>
      <c r="Y71" s="583"/>
      <c r="Z71" s="577"/>
    </row>
    <row r="72" spans="1:26" s="302" customFormat="1" ht="48.95" customHeight="1">
      <c r="A72" s="584"/>
      <c r="B72" s="2881" t="s">
        <v>22</v>
      </c>
      <c r="C72" s="315"/>
      <c r="D72" s="2853" t="s">
        <v>23</v>
      </c>
      <c r="E72" s="2854"/>
      <c r="F72" s="2853" t="s">
        <v>24</v>
      </c>
      <c r="G72" s="2854"/>
      <c r="H72" s="2853" t="s">
        <v>25</v>
      </c>
      <c r="I72" s="2854"/>
      <c r="J72" s="2730"/>
      <c r="K72" s="2731"/>
      <c r="L72" s="2731"/>
      <c r="M72" s="2731"/>
      <c r="N72" s="2731"/>
      <c r="O72" s="2731"/>
      <c r="P72" s="2731"/>
      <c r="Q72" s="2732"/>
      <c r="R72" s="3034" t="s">
        <v>26</v>
      </c>
      <c r="S72" s="3035"/>
      <c r="T72" s="585">
        <f>L142</f>
        <v>48</v>
      </c>
      <c r="U72" s="322"/>
      <c r="V72" s="2525" t="s">
        <v>27</v>
      </c>
      <c r="W72" s="2526"/>
      <c r="X72" s="2525" t="s">
        <v>28</v>
      </c>
      <c r="Y72" s="2526"/>
      <c r="Z72" s="583"/>
    </row>
    <row r="73" spans="1:26" s="302" customFormat="1" ht="51.95" customHeight="1">
      <c r="A73" s="584"/>
      <c r="B73" s="2882"/>
      <c r="C73" s="315"/>
      <c r="D73" s="323" t="s">
        <v>30</v>
      </c>
      <c r="E73" s="323" t="s">
        <v>29</v>
      </c>
      <c r="F73" s="323" t="s">
        <v>30</v>
      </c>
      <c r="G73" s="323" t="s">
        <v>29</v>
      </c>
      <c r="H73" s="323" t="s">
        <v>30</v>
      </c>
      <c r="I73" s="317" t="s">
        <v>138</v>
      </c>
      <c r="J73" s="317" t="s">
        <v>31</v>
      </c>
      <c r="K73" s="323" t="s">
        <v>32</v>
      </c>
      <c r="L73" s="323" t="s">
        <v>33</v>
      </c>
      <c r="M73" s="323" t="s">
        <v>34</v>
      </c>
      <c r="N73" s="323" t="s">
        <v>32</v>
      </c>
      <c r="O73" s="2853" t="s">
        <v>35</v>
      </c>
      <c r="P73" s="2854"/>
      <c r="Q73" s="323" t="s">
        <v>36</v>
      </c>
      <c r="R73" s="323" t="s">
        <v>37</v>
      </c>
      <c r="S73" s="323" t="s">
        <v>38</v>
      </c>
      <c r="T73" s="324" t="s">
        <v>39</v>
      </c>
      <c r="U73" s="322"/>
      <c r="V73" s="2710"/>
      <c r="W73" s="2711"/>
      <c r="X73" s="2710"/>
      <c r="Y73" s="2711"/>
      <c r="Z73" s="583"/>
    </row>
    <row r="74" spans="1:26" ht="47.25" customHeight="1">
      <c r="A74" s="577"/>
      <c r="B74" s="325">
        <v>0.41666666666666702</v>
      </c>
      <c r="C74" s="326"/>
      <c r="D74" s="327">
        <v>28</v>
      </c>
      <c r="E74" s="328">
        <v>1175</v>
      </c>
      <c r="F74" s="586"/>
      <c r="G74" s="330"/>
      <c r="H74" s="587"/>
      <c r="I74" s="330"/>
      <c r="J74" s="332">
        <f>E74+G74+I74</f>
        <v>1175</v>
      </c>
      <c r="K74" s="333">
        <f>J74/450</f>
        <v>2.6111111111111112</v>
      </c>
      <c r="L74" s="332">
        <v>1</v>
      </c>
      <c r="M74" s="439">
        <v>1016</v>
      </c>
      <c r="N74" s="377">
        <v>6</v>
      </c>
      <c r="O74" s="2940" t="s">
        <v>139</v>
      </c>
      <c r="P74" s="2941"/>
      <c r="Q74" s="498">
        <v>1</v>
      </c>
      <c r="R74" s="446">
        <v>0</v>
      </c>
      <c r="S74" s="589" t="s">
        <v>140</v>
      </c>
      <c r="T74" s="451">
        <v>809</v>
      </c>
      <c r="U74" s="590"/>
      <c r="V74" s="2630">
        <f>VLOOKUP(M74,'[1]TABELA FRETE'!$A$6:$B$12,2,0)</f>
        <v>425.7</v>
      </c>
      <c r="W74" s="2631"/>
      <c r="X74" s="2694"/>
      <c r="Y74" s="2695"/>
      <c r="Z74" s="577"/>
    </row>
    <row r="75" spans="1:26" ht="47.25" customHeight="1">
      <c r="A75" s="577"/>
      <c r="B75" s="343">
        <v>0.41666666666666702</v>
      </c>
      <c r="C75" s="326"/>
      <c r="D75" s="359">
        <v>29</v>
      </c>
      <c r="E75" s="375">
        <v>2481</v>
      </c>
      <c r="F75" s="361"/>
      <c r="G75" s="360"/>
      <c r="H75" s="363"/>
      <c r="I75" s="375"/>
      <c r="J75" s="365">
        <f>E75+G75+I75</f>
        <v>2481</v>
      </c>
      <c r="K75" s="366">
        <f>J75/450</f>
        <v>5.5133333333333336</v>
      </c>
      <c r="L75" s="365">
        <v>1</v>
      </c>
      <c r="M75" s="376">
        <v>1016</v>
      </c>
      <c r="N75" s="377">
        <v>7</v>
      </c>
      <c r="O75" s="2628" t="s">
        <v>56</v>
      </c>
      <c r="P75" s="2629"/>
      <c r="Q75" s="387">
        <v>1</v>
      </c>
      <c r="R75" s="407">
        <v>0</v>
      </c>
      <c r="S75" s="591" t="s">
        <v>57</v>
      </c>
      <c r="T75" s="407">
        <v>663</v>
      </c>
      <c r="U75" s="590"/>
      <c r="V75" s="2630">
        <f>VLOOKUP(M75,'[1]TABELA FRETE'!$A$6:$B$12,2,0)</f>
        <v>425.7</v>
      </c>
      <c r="W75" s="2631"/>
      <c r="X75" s="2694"/>
      <c r="Y75" s="2695"/>
      <c r="Z75" s="577"/>
    </row>
    <row r="76" spans="1:26" ht="47.25" customHeight="1">
      <c r="A76" s="577"/>
      <c r="B76" s="463">
        <v>0.41666666666666702</v>
      </c>
      <c r="C76" s="326"/>
      <c r="D76" s="344">
        <v>11</v>
      </c>
      <c r="E76" s="345">
        <v>2000</v>
      </c>
      <c r="F76" s="592"/>
      <c r="G76" s="349"/>
      <c r="H76" s="593"/>
      <c r="I76" s="349"/>
      <c r="J76" s="365">
        <f>E76+G76+I76</f>
        <v>2000</v>
      </c>
      <c r="K76" s="366">
        <f>J76/450</f>
        <v>4.4444444444444446</v>
      </c>
      <c r="L76" s="350">
        <v>1</v>
      </c>
      <c r="M76" s="594" t="s">
        <v>8</v>
      </c>
      <c r="N76" s="595">
        <v>4</v>
      </c>
      <c r="O76" s="2628" t="s">
        <v>96</v>
      </c>
      <c r="P76" s="2629"/>
      <c r="Q76" s="596">
        <v>2</v>
      </c>
      <c r="R76" s="597">
        <v>0</v>
      </c>
      <c r="S76" s="598" t="s">
        <v>97</v>
      </c>
      <c r="T76" s="597">
        <v>456</v>
      </c>
      <c r="U76" s="590"/>
      <c r="V76" s="2630">
        <f>VLOOKUP(M76,'[1]TABELA FRETE'!$A$6:$B$12,2,0)</f>
        <v>286</v>
      </c>
      <c r="W76" s="2631"/>
      <c r="X76" s="2694"/>
      <c r="Y76" s="2695"/>
      <c r="Z76" s="577"/>
    </row>
    <row r="77" spans="1:26" ht="47.25" customHeight="1">
      <c r="A77" s="577"/>
      <c r="B77" s="408">
        <v>0.41666666666666702</v>
      </c>
      <c r="C77" s="326"/>
      <c r="D77" s="599">
        <v>11</v>
      </c>
      <c r="E77" s="600">
        <v>2295</v>
      </c>
      <c r="F77" s="601"/>
      <c r="G77" s="602"/>
      <c r="H77" s="603"/>
      <c r="I77" s="602"/>
      <c r="J77" s="480">
        <f>E77+G77+I77</f>
        <v>2295</v>
      </c>
      <c r="K77" s="481">
        <f>J77/450</f>
        <v>5.0999999999999996</v>
      </c>
      <c r="L77" s="480">
        <v>1</v>
      </c>
      <c r="M77" s="604">
        <v>1016</v>
      </c>
      <c r="N77" s="605">
        <v>7</v>
      </c>
      <c r="O77" s="2855" t="s">
        <v>141</v>
      </c>
      <c r="P77" s="2856"/>
      <c r="Q77" s="551">
        <v>2</v>
      </c>
      <c r="R77" s="607">
        <v>0</v>
      </c>
      <c r="S77" s="608" t="s">
        <v>142</v>
      </c>
      <c r="T77" s="606">
        <v>605</v>
      </c>
      <c r="U77" s="590"/>
      <c r="V77" s="2630">
        <f>VLOOKUP(M77,'[1]TABELA FRETE'!$A$6:$B$12,2,0)</f>
        <v>425.7</v>
      </c>
      <c r="W77" s="2631"/>
      <c r="X77" s="2694"/>
      <c r="Y77" s="2695"/>
      <c r="Z77" s="577"/>
    </row>
    <row r="78" spans="1:26" ht="6" customHeight="1">
      <c r="A78" s="577"/>
      <c r="B78" s="609"/>
      <c r="C78" s="609"/>
      <c r="D78" s="610"/>
      <c r="E78" s="611"/>
      <c r="F78" s="612"/>
      <c r="G78" s="613"/>
      <c r="H78" s="613"/>
      <c r="I78" s="613"/>
      <c r="J78" s="613"/>
      <c r="K78" s="614"/>
      <c r="L78" s="613"/>
      <c r="M78" s="615"/>
      <c r="N78" s="616"/>
      <c r="O78" s="615"/>
      <c r="P78" s="615"/>
      <c r="Q78" s="617"/>
      <c r="R78" s="618"/>
      <c r="S78" s="619"/>
      <c r="T78" s="620"/>
      <c r="U78" s="590"/>
      <c r="V78" s="3014"/>
      <c r="W78" s="3014"/>
      <c r="X78" s="3015"/>
      <c r="Y78" s="3015"/>
      <c r="Z78" s="577"/>
    </row>
    <row r="79" spans="1:26" ht="47.25" customHeight="1">
      <c r="A79" s="577"/>
      <c r="B79" s="325">
        <v>0.5</v>
      </c>
      <c r="C79" s="326"/>
      <c r="D79" s="621">
        <v>8</v>
      </c>
      <c r="E79" s="328">
        <v>6500</v>
      </c>
      <c r="F79" s="329"/>
      <c r="G79" s="492"/>
      <c r="H79" s="438"/>
      <c r="I79" s="492"/>
      <c r="J79" s="332">
        <f t="shared" ref="J79:J108" si="11">E79+G79+I79</f>
        <v>6500</v>
      </c>
      <c r="K79" s="333">
        <f t="shared" ref="K79:K108" si="12">J79/450</f>
        <v>14.444444444444445</v>
      </c>
      <c r="L79" s="332">
        <v>1</v>
      </c>
      <c r="M79" s="622" t="s">
        <v>6</v>
      </c>
      <c r="N79" s="438">
        <v>14</v>
      </c>
      <c r="O79" s="3060" t="s">
        <v>143</v>
      </c>
      <c r="P79" s="3061"/>
      <c r="Q79" s="493">
        <v>1</v>
      </c>
      <c r="R79" s="492">
        <v>1</v>
      </c>
      <c r="S79" s="625" t="s">
        <v>69</v>
      </c>
      <c r="T79" s="626">
        <v>184422</v>
      </c>
      <c r="U79" s="590"/>
      <c r="V79" s="2630">
        <f>VLOOKUP(M79,'[1]TABELA FRETE'!$A$6:$B$12,2,0)</f>
        <v>489.5</v>
      </c>
      <c r="W79" s="2631"/>
      <c r="X79" s="2694"/>
      <c r="Y79" s="2695"/>
      <c r="Z79" s="577"/>
    </row>
    <row r="80" spans="1:26" ht="47.25" customHeight="1">
      <c r="A80" s="577"/>
      <c r="B80" s="343">
        <v>0.58333333333333304</v>
      </c>
      <c r="C80" s="326"/>
      <c r="D80" s="627">
        <v>8</v>
      </c>
      <c r="E80" s="345">
        <v>3779</v>
      </c>
      <c r="F80" s="628"/>
      <c r="G80" s="455"/>
      <c r="H80" s="348"/>
      <c r="I80" s="455"/>
      <c r="J80" s="365">
        <f t="shared" si="11"/>
        <v>3779</v>
      </c>
      <c r="K80" s="366">
        <f t="shared" si="12"/>
        <v>8.3977777777777778</v>
      </c>
      <c r="L80" s="365">
        <v>1</v>
      </c>
      <c r="M80" s="629" t="s">
        <v>7</v>
      </c>
      <c r="N80" s="630">
        <v>10</v>
      </c>
      <c r="O80" s="3127" t="s">
        <v>144</v>
      </c>
      <c r="P80" s="3128"/>
      <c r="Q80" s="404">
        <v>1</v>
      </c>
      <c r="R80" s="633">
        <v>0</v>
      </c>
      <c r="S80" s="634" t="s">
        <v>145</v>
      </c>
      <c r="T80" s="633">
        <v>353</v>
      </c>
      <c r="U80" s="590"/>
      <c r="V80" s="2630">
        <f>VLOOKUP(M80,'[1]TABELA FRETE'!$A$6:$B$12,2,0)</f>
        <v>466.4</v>
      </c>
      <c r="W80" s="2631"/>
      <c r="X80" s="2694"/>
      <c r="Y80" s="2695"/>
      <c r="Z80" s="577"/>
    </row>
    <row r="81" spans="1:26" ht="48" customHeight="1">
      <c r="A81" s="577"/>
      <c r="B81" s="343">
        <v>0.5</v>
      </c>
      <c r="C81" s="326"/>
      <c r="D81" s="373">
        <v>10</v>
      </c>
      <c r="E81" s="360">
        <v>6756</v>
      </c>
      <c r="F81" s="445"/>
      <c r="G81" s="375"/>
      <c r="H81" s="363"/>
      <c r="I81" s="375"/>
      <c r="J81" s="467">
        <f t="shared" ref="J81:J90" si="13">E81+G81+I81</f>
        <v>6756</v>
      </c>
      <c r="K81" s="475">
        <v>14</v>
      </c>
      <c r="L81" s="467">
        <v>1</v>
      </c>
      <c r="M81" s="367" t="s">
        <v>6</v>
      </c>
      <c r="N81" s="368">
        <v>14</v>
      </c>
      <c r="O81" s="2628" t="s">
        <v>54</v>
      </c>
      <c r="P81" s="2629"/>
      <c r="Q81" s="369">
        <v>1</v>
      </c>
      <c r="R81" s="370">
        <v>0</v>
      </c>
      <c r="S81" s="635" t="s">
        <v>55</v>
      </c>
      <c r="T81" s="372">
        <v>590</v>
      </c>
      <c r="U81" s="636"/>
      <c r="V81" s="2630">
        <f>VLOOKUP(M81,'[1]TABELA FRETE'!$A$6:$B$12,2,0)</f>
        <v>489.5</v>
      </c>
      <c r="W81" s="2631"/>
      <c r="X81" s="2694"/>
      <c r="Y81" s="2695"/>
      <c r="Z81" s="577"/>
    </row>
    <row r="82" spans="1:26" ht="47.25" customHeight="1">
      <c r="A82" s="577"/>
      <c r="B82" s="343">
        <v>0.5</v>
      </c>
      <c r="C82" s="326"/>
      <c r="D82" s="637">
        <v>34</v>
      </c>
      <c r="E82" s="360">
        <v>5600</v>
      </c>
      <c r="F82" s="374"/>
      <c r="G82" s="375"/>
      <c r="H82" s="363"/>
      <c r="I82" s="375"/>
      <c r="J82" s="365">
        <f t="shared" si="13"/>
        <v>5600</v>
      </c>
      <c r="K82" s="366">
        <f>J82/450</f>
        <v>12.444444444444445</v>
      </c>
      <c r="L82" s="365">
        <v>1</v>
      </c>
      <c r="M82" s="594" t="s">
        <v>7</v>
      </c>
      <c r="N82" s="595">
        <v>12</v>
      </c>
      <c r="O82" s="2628" t="s">
        <v>68</v>
      </c>
      <c r="P82" s="2629"/>
      <c r="Q82" s="638">
        <v>1</v>
      </c>
      <c r="R82" s="596">
        <v>0</v>
      </c>
      <c r="S82" s="639" t="s">
        <v>69</v>
      </c>
      <c r="T82" s="596">
        <v>808</v>
      </c>
      <c r="U82" s="590"/>
      <c r="V82" s="2630">
        <f>VLOOKUP(M82,'[1]TABELA FRETE'!$A$6:$B$12,2,0)</f>
        <v>466.4</v>
      </c>
      <c r="W82" s="2631"/>
      <c r="X82" s="2694"/>
      <c r="Y82" s="2695"/>
      <c r="Z82" s="577"/>
    </row>
    <row r="83" spans="1:26" ht="47.25" customHeight="1">
      <c r="A83" s="577"/>
      <c r="B83" s="343">
        <v>0.58333333333333304</v>
      </c>
      <c r="C83" s="326"/>
      <c r="D83" s="640">
        <v>34</v>
      </c>
      <c r="E83" s="360">
        <v>5760</v>
      </c>
      <c r="F83" s="374"/>
      <c r="G83" s="375"/>
      <c r="H83" s="363"/>
      <c r="I83" s="375"/>
      <c r="J83" s="365">
        <f t="shared" si="13"/>
        <v>5760</v>
      </c>
      <c r="K83" s="366">
        <v>12</v>
      </c>
      <c r="L83" s="365">
        <v>1</v>
      </c>
      <c r="M83" s="376" t="s">
        <v>7</v>
      </c>
      <c r="N83" s="377">
        <v>12</v>
      </c>
      <c r="O83" s="2628" t="s">
        <v>146</v>
      </c>
      <c r="P83" s="2629"/>
      <c r="Q83" s="387">
        <v>1</v>
      </c>
      <c r="R83" s="407">
        <v>0</v>
      </c>
      <c r="S83" s="591" t="s">
        <v>147</v>
      </c>
      <c r="T83" s="407">
        <v>91</v>
      </c>
      <c r="U83" s="590"/>
      <c r="V83" s="2630">
        <f>VLOOKUP(M83,'[1]TABELA FRETE'!$A$6:$B$12,2,0)</f>
        <v>466.4</v>
      </c>
      <c r="W83" s="2631"/>
      <c r="X83" s="2694"/>
      <c r="Y83" s="2695"/>
      <c r="Z83" s="577"/>
    </row>
    <row r="84" spans="1:26" ht="48" customHeight="1">
      <c r="A84" s="577"/>
      <c r="B84" s="343">
        <v>0.5</v>
      </c>
      <c r="C84" s="326"/>
      <c r="D84" s="359">
        <v>40</v>
      </c>
      <c r="E84" s="360">
        <v>5500</v>
      </c>
      <c r="F84" s="641"/>
      <c r="G84" s="375"/>
      <c r="H84" s="363"/>
      <c r="I84" s="375"/>
      <c r="J84" s="467">
        <f t="shared" si="13"/>
        <v>5500</v>
      </c>
      <c r="K84" s="475">
        <f t="shared" ref="K84:K89" si="14">J84/450</f>
        <v>12.222222222222221</v>
      </c>
      <c r="L84" s="467">
        <v>1</v>
      </c>
      <c r="M84" s="594" t="s">
        <v>7</v>
      </c>
      <c r="N84" s="642">
        <v>12</v>
      </c>
      <c r="O84" s="2628" t="s">
        <v>50</v>
      </c>
      <c r="P84" s="2629"/>
      <c r="Q84" s="643">
        <v>2</v>
      </c>
      <c r="R84" s="644">
        <v>0</v>
      </c>
      <c r="S84" s="645" t="s">
        <v>51</v>
      </c>
      <c r="T84" s="644">
        <v>612</v>
      </c>
      <c r="U84" s="636"/>
      <c r="V84" s="2630">
        <f>VLOOKUP(M84,'[1]TABELA FRETE'!$A$6:$B$12,2,0)</f>
        <v>466.4</v>
      </c>
      <c r="W84" s="2631"/>
      <c r="X84" s="2694"/>
      <c r="Y84" s="2695"/>
      <c r="Z84" s="577"/>
    </row>
    <row r="85" spans="1:26" ht="48" customHeight="1">
      <c r="A85" s="577"/>
      <c r="B85" s="343">
        <v>0.58333333333333304</v>
      </c>
      <c r="C85" s="326"/>
      <c r="D85" s="646">
        <v>40</v>
      </c>
      <c r="E85" s="360">
        <v>3702</v>
      </c>
      <c r="F85" s="641"/>
      <c r="G85" s="375"/>
      <c r="H85" s="363"/>
      <c r="I85" s="375"/>
      <c r="J85" s="467">
        <f t="shared" si="13"/>
        <v>3702</v>
      </c>
      <c r="K85" s="475">
        <f t="shared" si="14"/>
        <v>8.2266666666666666</v>
      </c>
      <c r="L85" s="467">
        <v>1</v>
      </c>
      <c r="M85" s="647" t="s">
        <v>7</v>
      </c>
      <c r="N85" s="648">
        <v>10</v>
      </c>
      <c r="O85" s="3127" t="s">
        <v>148</v>
      </c>
      <c r="P85" s="3128"/>
      <c r="Q85" s="649">
        <v>1</v>
      </c>
      <c r="R85" s="650">
        <v>0</v>
      </c>
      <c r="S85" s="651" t="s">
        <v>149</v>
      </c>
      <c r="T85" s="652">
        <v>353</v>
      </c>
      <c r="U85" s="636"/>
      <c r="V85" s="2630">
        <f>VLOOKUP(M85,'[1]TABELA FRETE'!$A$6:$B$12,2,0)</f>
        <v>466.4</v>
      </c>
      <c r="W85" s="2631"/>
      <c r="X85" s="2694"/>
      <c r="Y85" s="2695"/>
      <c r="Z85" s="577"/>
    </row>
    <row r="86" spans="1:26" ht="47.25" customHeight="1">
      <c r="A86" s="577"/>
      <c r="B86" s="343">
        <v>0.5</v>
      </c>
      <c r="C86" s="326"/>
      <c r="D86" s="637">
        <v>45</v>
      </c>
      <c r="E86" s="360">
        <v>5500</v>
      </c>
      <c r="F86" s="374"/>
      <c r="G86" s="375"/>
      <c r="H86" s="363"/>
      <c r="I86" s="375"/>
      <c r="J86" s="365">
        <f t="shared" si="13"/>
        <v>5500</v>
      </c>
      <c r="K86" s="366">
        <f t="shared" si="14"/>
        <v>12.222222222222221</v>
      </c>
      <c r="L86" s="365">
        <v>1</v>
      </c>
      <c r="M86" s="594" t="s">
        <v>7</v>
      </c>
      <c r="N86" s="642">
        <v>12</v>
      </c>
      <c r="O86" s="2628" t="s">
        <v>62</v>
      </c>
      <c r="P86" s="2629"/>
      <c r="Q86" s="643">
        <v>2</v>
      </c>
      <c r="R86" s="644">
        <v>0</v>
      </c>
      <c r="S86" s="645" t="s">
        <v>63</v>
      </c>
      <c r="T86" s="644">
        <v>740</v>
      </c>
      <c r="U86" s="577"/>
      <c r="V86" s="2630">
        <f>VLOOKUP(M86,'[1]TABELA FRETE'!$A$6:$B$12,2,0)</f>
        <v>466.4</v>
      </c>
      <c r="W86" s="2631"/>
      <c r="X86" s="2694"/>
      <c r="Y86" s="2695"/>
      <c r="Z86" s="577"/>
    </row>
    <row r="87" spans="1:26" ht="47.25" customHeight="1">
      <c r="A87" s="577"/>
      <c r="B87" s="343">
        <v>0.58333333333333304</v>
      </c>
      <c r="C87" s="326"/>
      <c r="D87" s="640">
        <v>45</v>
      </c>
      <c r="E87" s="360">
        <v>3639</v>
      </c>
      <c r="F87" s="374"/>
      <c r="G87" s="375"/>
      <c r="H87" s="363"/>
      <c r="I87" s="375"/>
      <c r="J87" s="365">
        <f t="shared" si="13"/>
        <v>3639</v>
      </c>
      <c r="K87" s="366">
        <f t="shared" si="14"/>
        <v>8.086666666666666</v>
      </c>
      <c r="L87" s="365">
        <v>1</v>
      </c>
      <c r="M87" s="376">
        <v>1016</v>
      </c>
      <c r="N87" s="397">
        <v>8</v>
      </c>
      <c r="O87" s="2628" t="s">
        <v>150</v>
      </c>
      <c r="P87" s="2629"/>
      <c r="Q87" s="398">
        <v>1</v>
      </c>
      <c r="R87" s="399">
        <v>0</v>
      </c>
      <c r="S87" s="653" t="s">
        <v>151</v>
      </c>
      <c r="T87" s="399">
        <v>642</v>
      </c>
      <c r="U87" s="577"/>
      <c r="V87" s="2630">
        <f>VLOOKUP(M87,'[1]TABELA FRETE'!$A$6:$B$12,2,0)</f>
        <v>425.7</v>
      </c>
      <c r="W87" s="2631"/>
      <c r="X87" s="2694"/>
      <c r="Y87" s="2695"/>
      <c r="Z87" s="577"/>
    </row>
    <row r="88" spans="1:26" ht="63" customHeight="1">
      <c r="A88" s="577"/>
      <c r="B88" s="343">
        <v>0.5</v>
      </c>
      <c r="C88" s="326"/>
      <c r="D88" s="654" t="s">
        <v>87</v>
      </c>
      <c r="E88" s="345">
        <v>5500</v>
      </c>
      <c r="F88" s="462"/>
      <c r="G88" s="455"/>
      <c r="H88" s="348"/>
      <c r="I88" s="455"/>
      <c r="J88" s="505">
        <f t="shared" si="13"/>
        <v>5500</v>
      </c>
      <c r="K88" s="506">
        <f t="shared" si="14"/>
        <v>12.222222222222221</v>
      </c>
      <c r="L88" s="505">
        <v>1</v>
      </c>
      <c r="M88" s="376" t="s">
        <v>7</v>
      </c>
      <c r="N88" s="397">
        <v>12</v>
      </c>
      <c r="O88" s="2628" t="s">
        <v>66</v>
      </c>
      <c r="P88" s="2629"/>
      <c r="Q88" s="398">
        <v>2</v>
      </c>
      <c r="R88" s="399">
        <v>0</v>
      </c>
      <c r="S88" s="653" t="s">
        <v>67</v>
      </c>
      <c r="T88" s="407">
        <v>184461</v>
      </c>
      <c r="U88" s="636"/>
      <c r="V88" s="2630">
        <f>VLOOKUP(M88,'[1]TABELA FRETE'!$D$25:$E$29,2,0)</f>
        <v>286</v>
      </c>
      <c r="W88" s="2631"/>
      <c r="X88" s="2694"/>
      <c r="Y88" s="2695"/>
      <c r="Z88" s="577"/>
    </row>
    <row r="89" spans="1:26" ht="63" customHeight="1">
      <c r="A89" s="577"/>
      <c r="B89" s="343">
        <v>0.5</v>
      </c>
      <c r="C89" s="326"/>
      <c r="D89" s="654" t="s">
        <v>152</v>
      </c>
      <c r="E89" s="345">
        <v>5500</v>
      </c>
      <c r="F89" s="462"/>
      <c r="G89" s="455"/>
      <c r="H89" s="348"/>
      <c r="I89" s="455"/>
      <c r="J89" s="505">
        <f t="shared" si="13"/>
        <v>5500</v>
      </c>
      <c r="K89" s="506">
        <f t="shared" si="14"/>
        <v>12.222222222222221</v>
      </c>
      <c r="L89" s="505">
        <v>1</v>
      </c>
      <c r="M89" s="655" t="s">
        <v>7</v>
      </c>
      <c r="N89" s="656">
        <v>12</v>
      </c>
      <c r="O89" s="535" t="s">
        <v>76</v>
      </c>
      <c r="P89" s="657"/>
      <c r="Q89" s="426">
        <v>1</v>
      </c>
      <c r="R89" s="658">
        <v>1</v>
      </c>
      <c r="S89" s="659" t="s">
        <v>77</v>
      </c>
      <c r="T89" s="357">
        <v>184708</v>
      </c>
      <c r="U89" s="636"/>
      <c r="V89" s="2630">
        <f>VLOOKUP(M89,'[1]TABELA FRETE'!$A$6:$B$12,2,0)</f>
        <v>466.4</v>
      </c>
      <c r="W89" s="2631"/>
      <c r="X89" s="2694"/>
      <c r="Y89" s="2695"/>
      <c r="Z89" s="577"/>
    </row>
    <row r="90" spans="1:26" ht="63" customHeight="1">
      <c r="A90" s="577"/>
      <c r="B90" s="343">
        <v>0.58333333333333304</v>
      </c>
      <c r="C90" s="326"/>
      <c r="D90" s="660" t="s">
        <v>87</v>
      </c>
      <c r="E90" s="360">
        <v>3993</v>
      </c>
      <c r="F90" s="660" t="s">
        <v>152</v>
      </c>
      <c r="G90" s="345">
        <v>1742</v>
      </c>
      <c r="H90" s="363"/>
      <c r="I90" s="375"/>
      <c r="J90" s="467">
        <f t="shared" si="13"/>
        <v>5735</v>
      </c>
      <c r="K90" s="475">
        <v>12</v>
      </c>
      <c r="L90" s="467">
        <v>1</v>
      </c>
      <c r="M90" s="367" t="s">
        <v>7</v>
      </c>
      <c r="N90" s="368">
        <v>12</v>
      </c>
      <c r="O90" s="2628" t="s">
        <v>153</v>
      </c>
      <c r="P90" s="2629"/>
      <c r="Q90" s="387">
        <v>1</v>
      </c>
      <c r="R90" s="388">
        <v>0</v>
      </c>
      <c r="S90" s="661" t="s">
        <v>154</v>
      </c>
      <c r="T90" s="457">
        <v>664</v>
      </c>
      <c r="U90" s="636"/>
      <c r="V90" s="2630">
        <f>VLOOKUP(M90,'[1]TABELA FRETE'!$A$6:$B$12,2,0)</f>
        <v>466.4</v>
      </c>
      <c r="W90" s="2631"/>
      <c r="X90" s="2694"/>
      <c r="Y90" s="2695"/>
      <c r="Z90" s="577"/>
    </row>
    <row r="91" spans="1:26" ht="47.25" customHeight="1">
      <c r="A91" s="577"/>
      <c r="B91" s="343">
        <v>0.5</v>
      </c>
      <c r="C91" s="326"/>
      <c r="D91" s="662">
        <v>1</v>
      </c>
      <c r="E91" s="345">
        <v>3016</v>
      </c>
      <c r="F91" s="361"/>
      <c r="G91" s="360"/>
      <c r="H91" s="348"/>
      <c r="I91" s="455"/>
      <c r="J91" s="365">
        <f t="shared" si="11"/>
        <v>3016</v>
      </c>
      <c r="K91" s="366">
        <f t="shared" si="12"/>
        <v>6.7022222222222219</v>
      </c>
      <c r="L91" s="365">
        <v>1</v>
      </c>
      <c r="M91" s="376">
        <v>1016</v>
      </c>
      <c r="N91" s="377">
        <v>8</v>
      </c>
      <c r="O91" s="2628" t="s">
        <v>106</v>
      </c>
      <c r="P91" s="2629"/>
      <c r="Q91" s="446">
        <v>2</v>
      </c>
      <c r="R91" s="407">
        <v>0</v>
      </c>
      <c r="S91" s="591" t="s">
        <v>107</v>
      </c>
      <c r="T91" s="407">
        <v>606</v>
      </c>
      <c r="U91" s="590"/>
      <c r="V91" s="2630">
        <f>VLOOKUP(M91,'[1]TABELA FRETE'!$A$6:$B$12,2,0)</f>
        <v>425.7</v>
      </c>
      <c r="W91" s="2631"/>
      <c r="X91" s="2694"/>
      <c r="Y91" s="2695"/>
      <c r="Z91" s="577"/>
    </row>
    <row r="92" spans="1:26" ht="47.25" customHeight="1">
      <c r="A92" s="577"/>
      <c r="B92" s="343">
        <v>0.5</v>
      </c>
      <c r="C92" s="326"/>
      <c r="D92" s="662">
        <v>14</v>
      </c>
      <c r="E92" s="345">
        <v>3337</v>
      </c>
      <c r="F92" s="628"/>
      <c r="G92" s="455"/>
      <c r="H92" s="348"/>
      <c r="I92" s="455"/>
      <c r="J92" s="350">
        <f t="shared" si="11"/>
        <v>3337</v>
      </c>
      <c r="K92" s="351">
        <f t="shared" si="12"/>
        <v>7.4155555555555557</v>
      </c>
      <c r="L92" s="350">
        <v>1</v>
      </c>
      <c r="M92" s="367">
        <v>1016</v>
      </c>
      <c r="N92" s="368">
        <v>8</v>
      </c>
      <c r="O92" s="2628" t="s">
        <v>46</v>
      </c>
      <c r="P92" s="2629"/>
      <c r="Q92" s="387">
        <v>2</v>
      </c>
      <c r="R92" s="388">
        <v>0</v>
      </c>
      <c r="S92" s="663" t="s">
        <v>47</v>
      </c>
      <c r="T92" s="390">
        <v>48</v>
      </c>
      <c r="U92" s="590"/>
      <c r="V92" s="2630">
        <f>VLOOKUP(M92,'[1]TABELA FRETE'!$A$6:$B$12,2,0)</f>
        <v>425.7</v>
      </c>
      <c r="W92" s="2631"/>
      <c r="X92" s="2694"/>
      <c r="Y92" s="2695"/>
      <c r="Z92" s="577"/>
    </row>
    <row r="93" spans="1:26" ht="47.25" customHeight="1">
      <c r="A93" s="577"/>
      <c r="B93" s="343">
        <v>0.5</v>
      </c>
      <c r="C93" s="326"/>
      <c r="D93" s="637">
        <v>9</v>
      </c>
      <c r="E93" s="360">
        <v>3436</v>
      </c>
      <c r="F93" s="374"/>
      <c r="G93" s="375"/>
      <c r="H93" s="363"/>
      <c r="I93" s="375"/>
      <c r="J93" s="365">
        <f t="shared" si="11"/>
        <v>3436</v>
      </c>
      <c r="K93" s="366">
        <f t="shared" si="12"/>
        <v>7.6355555555555554</v>
      </c>
      <c r="L93" s="365">
        <v>1</v>
      </c>
      <c r="M93" s="376">
        <v>1016</v>
      </c>
      <c r="N93" s="377">
        <v>8</v>
      </c>
      <c r="O93" s="2628" t="s">
        <v>88</v>
      </c>
      <c r="P93" s="2629"/>
      <c r="Q93" s="387">
        <v>1</v>
      </c>
      <c r="R93" s="407">
        <v>0</v>
      </c>
      <c r="S93" s="591" t="s">
        <v>89</v>
      </c>
      <c r="T93" s="407">
        <v>799</v>
      </c>
      <c r="U93" s="590"/>
      <c r="V93" s="2630">
        <f>VLOOKUP(M93,'[1]TABELA FRETE'!$A$6:$B$12,2,0)</f>
        <v>425.7</v>
      </c>
      <c r="W93" s="2631"/>
      <c r="X93" s="2694"/>
      <c r="Y93" s="2695"/>
      <c r="Z93" s="577"/>
    </row>
    <row r="94" spans="1:26" ht="47.25" customHeight="1">
      <c r="A94" s="577"/>
      <c r="B94" s="343">
        <v>0.5</v>
      </c>
      <c r="C94" s="326"/>
      <c r="D94" s="637">
        <v>43</v>
      </c>
      <c r="E94" s="360">
        <v>5133</v>
      </c>
      <c r="F94" s="374"/>
      <c r="G94" s="375"/>
      <c r="H94" s="363"/>
      <c r="I94" s="375"/>
      <c r="J94" s="365">
        <f t="shared" si="11"/>
        <v>5133</v>
      </c>
      <c r="K94" s="366">
        <f t="shared" si="12"/>
        <v>11.406666666666666</v>
      </c>
      <c r="L94" s="365">
        <v>1</v>
      </c>
      <c r="M94" s="376" t="s">
        <v>7</v>
      </c>
      <c r="N94" s="377">
        <v>12</v>
      </c>
      <c r="O94" s="2628" t="s">
        <v>58</v>
      </c>
      <c r="P94" s="2629"/>
      <c r="Q94" s="387">
        <v>2</v>
      </c>
      <c r="R94" s="407">
        <v>0</v>
      </c>
      <c r="S94" s="591" t="s">
        <v>59</v>
      </c>
      <c r="T94" s="407">
        <v>674</v>
      </c>
      <c r="U94" s="590"/>
      <c r="V94" s="2630">
        <f>VLOOKUP(M94,'[1]TABELA FRETE'!$A$6:$B$12,2,0)</f>
        <v>466.4</v>
      </c>
      <c r="W94" s="2631"/>
      <c r="X94" s="2694"/>
      <c r="Y94" s="2695"/>
      <c r="Z94" s="577"/>
    </row>
    <row r="95" spans="1:26" ht="47.25" customHeight="1">
      <c r="A95" s="577"/>
      <c r="B95" s="343">
        <v>0.5</v>
      </c>
      <c r="C95" s="326"/>
      <c r="D95" s="637">
        <v>35</v>
      </c>
      <c r="E95" s="360">
        <v>2644</v>
      </c>
      <c r="F95" s="374"/>
      <c r="G95" s="375"/>
      <c r="H95" s="363"/>
      <c r="I95" s="375"/>
      <c r="J95" s="365">
        <f t="shared" si="11"/>
        <v>2644</v>
      </c>
      <c r="K95" s="366">
        <f t="shared" si="12"/>
        <v>5.8755555555555556</v>
      </c>
      <c r="L95" s="365">
        <v>1</v>
      </c>
      <c r="M95" s="376">
        <v>1016</v>
      </c>
      <c r="N95" s="397">
        <v>8</v>
      </c>
      <c r="O95" s="3058" t="s">
        <v>90</v>
      </c>
      <c r="P95" s="3059"/>
      <c r="Q95" s="398">
        <v>2</v>
      </c>
      <c r="R95" s="399">
        <v>0</v>
      </c>
      <c r="S95" s="653" t="s">
        <v>91</v>
      </c>
      <c r="T95" s="399">
        <v>674</v>
      </c>
      <c r="U95" s="590"/>
      <c r="V95" s="2630">
        <f>VLOOKUP(M95,'[1]TABELA FRETE'!$A$6:$B$12,2,0)</f>
        <v>425.7</v>
      </c>
      <c r="W95" s="2631"/>
      <c r="X95" s="2694"/>
      <c r="Y95" s="2695"/>
      <c r="Z95" s="577"/>
    </row>
    <row r="96" spans="1:26" ht="47.25" customHeight="1">
      <c r="A96" s="577"/>
      <c r="B96" s="664">
        <v>0.5</v>
      </c>
      <c r="C96" s="326"/>
      <c r="D96" s="665">
        <v>47</v>
      </c>
      <c r="E96" s="410">
        <v>3865</v>
      </c>
      <c r="F96" s="666"/>
      <c r="G96" s="544"/>
      <c r="H96" s="545"/>
      <c r="I96" s="544"/>
      <c r="J96" s="413">
        <f t="shared" si="11"/>
        <v>3865</v>
      </c>
      <c r="K96" s="414">
        <f t="shared" si="12"/>
        <v>8.5888888888888886</v>
      </c>
      <c r="L96" s="413">
        <v>1</v>
      </c>
      <c r="M96" s="667">
        <v>1016</v>
      </c>
      <c r="N96" s="668">
        <v>10</v>
      </c>
      <c r="O96" s="2929" t="s">
        <v>81</v>
      </c>
      <c r="P96" s="2939"/>
      <c r="Q96" s="671">
        <v>2</v>
      </c>
      <c r="R96" s="672">
        <v>0</v>
      </c>
      <c r="S96" s="673" t="s">
        <v>82</v>
      </c>
      <c r="T96" s="672">
        <v>606</v>
      </c>
      <c r="U96" s="577"/>
      <c r="V96" s="2630">
        <f>VLOOKUP(M96,'[1]TABELA FRETE'!$A$6:$B$12,2,0)</f>
        <v>425.7</v>
      </c>
      <c r="W96" s="2631"/>
      <c r="X96" s="2694"/>
      <c r="Y96" s="2695"/>
      <c r="Z96" s="577"/>
    </row>
    <row r="97" spans="1:26" ht="6" customHeight="1">
      <c r="A97" s="577"/>
      <c r="B97" s="674"/>
      <c r="C97" s="674"/>
      <c r="D97" s="675"/>
      <c r="E97" s="620"/>
      <c r="F97" s="676"/>
      <c r="G97" s="615"/>
      <c r="H97" s="615"/>
      <c r="I97" s="615"/>
      <c r="J97" s="615"/>
      <c r="K97" s="677"/>
      <c r="L97" s="615"/>
      <c r="M97" s="615"/>
      <c r="N97" s="616"/>
      <c r="O97" s="615"/>
      <c r="P97" s="615"/>
      <c r="Q97" s="615"/>
      <c r="R97" s="615"/>
      <c r="S97" s="619"/>
      <c r="T97" s="678"/>
      <c r="U97" s="636"/>
      <c r="V97" s="679"/>
      <c r="W97" s="679"/>
      <c r="X97" s="434"/>
      <c r="Y97" s="434"/>
      <c r="Z97" s="577"/>
    </row>
    <row r="98" spans="1:26" ht="48" customHeight="1">
      <c r="A98" s="577"/>
      <c r="B98" s="325">
        <v>0.58333333333333304</v>
      </c>
      <c r="C98" s="326"/>
      <c r="D98" s="680">
        <v>20</v>
      </c>
      <c r="E98" s="328">
        <v>4839</v>
      </c>
      <c r="F98" s="329"/>
      <c r="G98" s="492"/>
      <c r="H98" s="438"/>
      <c r="I98" s="492"/>
      <c r="J98" s="332">
        <f t="shared" si="11"/>
        <v>4839</v>
      </c>
      <c r="K98" s="333">
        <f t="shared" si="12"/>
        <v>10.753333333333334</v>
      </c>
      <c r="L98" s="332">
        <v>1</v>
      </c>
      <c r="M98" s="681" t="s">
        <v>7</v>
      </c>
      <c r="N98" s="682">
        <v>11</v>
      </c>
      <c r="O98" s="2940" t="s">
        <v>42</v>
      </c>
      <c r="P98" s="2941"/>
      <c r="Q98" s="683">
        <v>3</v>
      </c>
      <c r="R98" s="684">
        <v>0</v>
      </c>
      <c r="S98" s="685" t="s">
        <v>43</v>
      </c>
      <c r="T98" s="684">
        <v>479</v>
      </c>
      <c r="U98" s="577"/>
      <c r="V98" s="2630">
        <f>VLOOKUP(M98,'[1]TABELA FRETE'!$A$6:$B$12,2,0)</f>
        <v>466.4</v>
      </c>
      <c r="W98" s="2631"/>
      <c r="X98" s="2694"/>
      <c r="Y98" s="2695"/>
      <c r="Z98" s="577"/>
    </row>
    <row r="99" spans="1:26" ht="48" customHeight="1">
      <c r="A99" s="577"/>
      <c r="B99" s="358">
        <v>0.58333333333333304</v>
      </c>
      <c r="C99" s="326"/>
      <c r="D99" s="686">
        <v>22</v>
      </c>
      <c r="E99" s="392">
        <v>3022</v>
      </c>
      <c r="F99" s="687"/>
      <c r="G99" s="395"/>
      <c r="H99" s="394"/>
      <c r="I99" s="395"/>
      <c r="J99" s="396">
        <f t="shared" si="11"/>
        <v>3022</v>
      </c>
      <c r="K99" s="461">
        <f t="shared" si="12"/>
        <v>6.7155555555555555</v>
      </c>
      <c r="L99" s="396">
        <v>1</v>
      </c>
      <c r="M99" s="367">
        <v>1016</v>
      </c>
      <c r="N99" s="368">
        <v>6</v>
      </c>
      <c r="O99" s="2628" t="s">
        <v>83</v>
      </c>
      <c r="P99" s="2629"/>
      <c r="Q99" s="387">
        <v>2</v>
      </c>
      <c r="R99" s="388">
        <v>0</v>
      </c>
      <c r="S99" s="663" t="s">
        <v>84</v>
      </c>
      <c r="T99" s="390">
        <v>655</v>
      </c>
      <c r="U99" s="577"/>
      <c r="V99" s="2630">
        <f>VLOOKUP(M99,'[1]TABELA FRETE'!$A$6:$B$12,2,0)</f>
        <v>425.7</v>
      </c>
      <c r="W99" s="2631"/>
      <c r="X99" s="2694"/>
      <c r="Y99" s="2695"/>
      <c r="Z99" s="577"/>
    </row>
    <row r="100" spans="1:26" ht="48" customHeight="1">
      <c r="A100" s="577"/>
      <c r="B100" s="358">
        <v>0.58333333333333304</v>
      </c>
      <c r="C100" s="326"/>
      <c r="D100" s="686">
        <v>25</v>
      </c>
      <c r="E100" s="395">
        <v>3433</v>
      </c>
      <c r="F100" s="687"/>
      <c r="G100" s="395"/>
      <c r="H100" s="394"/>
      <c r="I100" s="395"/>
      <c r="J100" s="396">
        <f t="shared" si="11"/>
        <v>3433</v>
      </c>
      <c r="K100" s="461">
        <f t="shared" si="12"/>
        <v>7.6288888888888886</v>
      </c>
      <c r="L100" s="396">
        <v>1</v>
      </c>
      <c r="M100" s="688">
        <v>1016</v>
      </c>
      <c r="N100" s="689">
        <v>9</v>
      </c>
      <c r="O100" s="2628" t="s">
        <v>79</v>
      </c>
      <c r="P100" s="2629"/>
      <c r="Q100" s="690">
        <v>1</v>
      </c>
      <c r="R100" s="691">
        <v>0</v>
      </c>
      <c r="S100" s="692" t="s">
        <v>80</v>
      </c>
      <c r="T100" s="693">
        <v>184725</v>
      </c>
      <c r="U100" s="694"/>
      <c r="V100" s="2630">
        <f>VLOOKUP(M100,'[1]TABELA FRETE'!$A$6:$B$12,2,0)</f>
        <v>425.7</v>
      </c>
      <c r="W100" s="2631"/>
      <c r="X100" s="2694"/>
      <c r="Y100" s="2695"/>
      <c r="Z100" s="577"/>
    </row>
    <row r="101" spans="1:26" ht="48" customHeight="1">
      <c r="A101" s="577"/>
      <c r="B101" s="358">
        <v>0.58333333333333304</v>
      </c>
      <c r="C101" s="326"/>
      <c r="D101" s="695">
        <v>31</v>
      </c>
      <c r="E101" s="360">
        <v>4944</v>
      </c>
      <c r="F101" s="374"/>
      <c r="G101" s="375"/>
      <c r="H101" s="363"/>
      <c r="I101" s="375"/>
      <c r="J101" s="365">
        <f t="shared" si="11"/>
        <v>4944</v>
      </c>
      <c r="K101" s="366">
        <f t="shared" si="12"/>
        <v>10.986666666666666</v>
      </c>
      <c r="L101" s="365">
        <v>1</v>
      </c>
      <c r="M101" s="696" t="s">
        <v>7</v>
      </c>
      <c r="N101" s="697">
        <v>11</v>
      </c>
      <c r="O101" s="3236" t="s">
        <v>52</v>
      </c>
      <c r="P101" s="3237"/>
      <c r="Q101" s="698">
        <v>1</v>
      </c>
      <c r="R101" s="699">
        <v>0</v>
      </c>
      <c r="S101" s="663" t="s">
        <v>53</v>
      </c>
      <c r="T101" s="390">
        <v>633</v>
      </c>
      <c r="U101" s="694"/>
      <c r="V101" s="2630">
        <f>VLOOKUP(M101,'[1]TABELA FRETE'!$A$6:$B$12,2,0)</f>
        <v>466.4</v>
      </c>
      <c r="W101" s="2631"/>
      <c r="X101" s="2694"/>
      <c r="Y101" s="2695"/>
      <c r="Z101" s="577"/>
    </row>
    <row r="102" spans="1:26" ht="48" customHeight="1">
      <c r="A102" s="577"/>
      <c r="B102" s="343">
        <v>0.58333333333333304</v>
      </c>
      <c r="C102" s="326"/>
      <c r="D102" s="453">
        <v>17</v>
      </c>
      <c r="E102" s="345">
        <v>5080</v>
      </c>
      <c r="F102" s="700"/>
      <c r="G102" s="455"/>
      <c r="H102" s="348"/>
      <c r="I102" s="455"/>
      <c r="J102" s="505">
        <f t="shared" si="11"/>
        <v>5080</v>
      </c>
      <c r="K102" s="506">
        <f t="shared" si="12"/>
        <v>11.28888888888889</v>
      </c>
      <c r="L102" s="505">
        <v>1</v>
      </c>
      <c r="M102" s="376" t="s">
        <v>7</v>
      </c>
      <c r="N102" s="397">
        <v>12</v>
      </c>
      <c r="O102" s="2628" t="s">
        <v>66</v>
      </c>
      <c r="P102" s="2629"/>
      <c r="Q102" s="398">
        <v>2</v>
      </c>
      <c r="R102" s="399">
        <v>0</v>
      </c>
      <c r="S102" s="653" t="s">
        <v>67</v>
      </c>
      <c r="T102" s="407">
        <v>184461</v>
      </c>
      <c r="U102" s="636"/>
      <c r="V102" s="2630">
        <f>VLOOKUP(M102,'[1]TABELA FRETE'!$A$6:$B$12,2,0)</f>
        <v>466.4</v>
      </c>
      <c r="W102" s="2631"/>
      <c r="X102" s="2694"/>
      <c r="Y102" s="2695"/>
      <c r="Z102" s="577"/>
    </row>
    <row r="103" spans="1:26" ht="48" customHeight="1">
      <c r="A103" s="577"/>
      <c r="B103" s="343">
        <v>0.58333333333333304</v>
      </c>
      <c r="C103" s="326"/>
      <c r="D103" s="472">
        <v>23</v>
      </c>
      <c r="E103" s="360">
        <v>5825</v>
      </c>
      <c r="F103" s="445"/>
      <c r="G103" s="375"/>
      <c r="H103" s="363"/>
      <c r="I103" s="375"/>
      <c r="J103" s="467">
        <f t="shared" si="11"/>
        <v>5825</v>
      </c>
      <c r="K103" s="475">
        <f t="shared" si="12"/>
        <v>12.944444444444445</v>
      </c>
      <c r="L103" s="467">
        <v>1</v>
      </c>
      <c r="M103" s="376" t="s">
        <v>6</v>
      </c>
      <c r="N103" s="377">
        <v>14</v>
      </c>
      <c r="O103" s="2628" t="s">
        <v>64</v>
      </c>
      <c r="P103" s="2629"/>
      <c r="Q103" s="446">
        <v>1</v>
      </c>
      <c r="R103" s="407">
        <v>0</v>
      </c>
      <c r="S103" s="591" t="s">
        <v>65</v>
      </c>
      <c r="T103" s="447">
        <v>598</v>
      </c>
      <c r="U103" s="636"/>
      <c r="V103" s="2630">
        <f>VLOOKUP(M103,'[1]TABELA FRETE'!$A$6:$B$12,2,0)</f>
        <v>489.5</v>
      </c>
      <c r="W103" s="2631"/>
      <c r="X103" s="2694"/>
      <c r="Y103" s="2695"/>
      <c r="Z103" s="577"/>
    </row>
    <row r="104" spans="1:26" ht="48" customHeight="1">
      <c r="A104" s="577"/>
      <c r="B104" s="343">
        <v>0.58333333333333304</v>
      </c>
      <c r="C104" s="326"/>
      <c r="D104" s="472">
        <v>44</v>
      </c>
      <c r="E104" s="360">
        <v>1464</v>
      </c>
      <c r="F104" s="445"/>
      <c r="G104" s="375"/>
      <c r="H104" s="363"/>
      <c r="I104" s="375"/>
      <c r="J104" s="467">
        <f t="shared" si="11"/>
        <v>1464</v>
      </c>
      <c r="K104" s="475">
        <f t="shared" si="12"/>
        <v>3.2533333333333334</v>
      </c>
      <c r="L104" s="467">
        <v>1</v>
      </c>
      <c r="M104" s="376">
        <v>1016</v>
      </c>
      <c r="N104" s="377">
        <v>6</v>
      </c>
      <c r="O104" s="2628" t="s">
        <v>70</v>
      </c>
      <c r="P104" s="2629"/>
      <c r="Q104" s="387">
        <v>1</v>
      </c>
      <c r="R104" s="407">
        <v>0</v>
      </c>
      <c r="S104" s="591" t="s">
        <v>71</v>
      </c>
      <c r="T104" s="407">
        <v>333</v>
      </c>
      <c r="U104" s="636"/>
      <c r="V104" s="2630">
        <f>VLOOKUP(M104,'[1]TABELA FRETE'!$A$6:$B$12,2,0)</f>
        <v>425.7</v>
      </c>
      <c r="W104" s="2631"/>
      <c r="X104" s="2694"/>
      <c r="Y104" s="2695"/>
      <c r="Z104" s="577"/>
    </row>
    <row r="105" spans="1:26" ht="48" customHeight="1">
      <c r="A105" s="577"/>
      <c r="B105" s="343">
        <v>0.58333333333333304</v>
      </c>
      <c r="C105" s="326"/>
      <c r="D105" s="695">
        <v>32</v>
      </c>
      <c r="E105" s="360">
        <v>2584</v>
      </c>
      <c r="F105" s="695">
        <v>42</v>
      </c>
      <c r="G105" s="360">
        <v>3307</v>
      </c>
      <c r="H105" s="363"/>
      <c r="I105" s="375"/>
      <c r="J105" s="365">
        <f t="shared" si="11"/>
        <v>5891</v>
      </c>
      <c r="K105" s="366">
        <v>12</v>
      </c>
      <c r="L105" s="365">
        <v>1</v>
      </c>
      <c r="M105" s="367" t="s">
        <v>7</v>
      </c>
      <c r="N105" s="368">
        <v>12</v>
      </c>
      <c r="O105" s="2628" t="s">
        <v>155</v>
      </c>
      <c r="P105" s="2629"/>
      <c r="Q105" s="387">
        <v>2</v>
      </c>
      <c r="R105" s="388">
        <v>2</v>
      </c>
      <c r="S105" s="661" t="s">
        <v>156</v>
      </c>
      <c r="T105" s="457">
        <v>184446</v>
      </c>
      <c r="U105" s="577"/>
      <c r="V105" s="2630">
        <f>VLOOKUP(M105,'[1]TABELA FRETE'!$A$6:$B$12,2,0)</f>
        <v>466.4</v>
      </c>
      <c r="W105" s="2631"/>
      <c r="X105" s="2694"/>
      <c r="Y105" s="2695"/>
      <c r="Z105" s="577"/>
    </row>
    <row r="106" spans="1:26" ht="48" customHeight="1">
      <c r="A106" s="577"/>
      <c r="B106" s="358">
        <v>0.58333333333333304</v>
      </c>
      <c r="C106" s="326"/>
      <c r="D106" s="444">
        <v>6</v>
      </c>
      <c r="E106" s="360">
        <v>3592</v>
      </c>
      <c r="F106" s="641"/>
      <c r="G106" s="375"/>
      <c r="H106" s="363"/>
      <c r="I106" s="375"/>
      <c r="J106" s="467">
        <f t="shared" si="11"/>
        <v>3592</v>
      </c>
      <c r="K106" s="475">
        <f>J106/450</f>
        <v>7.9822222222222221</v>
      </c>
      <c r="L106" s="467">
        <v>1</v>
      </c>
      <c r="M106" s="376">
        <v>1016</v>
      </c>
      <c r="N106" s="377">
        <v>8</v>
      </c>
      <c r="O106" s="2628" t="s">
        <v>157</v>
      </c>
      <c r="P106" s="2629"/>
      <c r="Q106" s="387">
        <v>1</v>
      </c>
      <c r="R106" s="407">
        <v>0</v>
      </c>
      <c r="S106" s="591" t="s">
        <v>158</v>
      </c>
      <c r="T106" s="407">
        <v>642</v>
      </c>
      <c r="U106" s="636"/>
      <c r="V106" s="2630">
        <f>VLOOKUP(M106,'[1]TABELA FRETE'!$A$6:$B$12,2,0)</f>
        <v>425.7</v>
      </c>
      <c r="W106" s="2631"/>
      <c r="X106" s="2694"/>
      <c r="Y106" s="2695"/>
      <c r="Z106" s="577"/>
    </row>
    <row r="107" spans="1:26" ht="48" customHeight="1">
      <c r="A107" s="577"/>
      <c r="B107" s="358">
        <v>0.58333333333333304</v>
      </c>
      <c r="C107" s="326"/>
      <c r="D107" s="472">
        <v>46</v>
      </c>
      <c r="E107" s="360">
        <v>3839</v>
      </c>
      <c r="F107" s="701"/>
      <c r="G107" s="364"/>
      <c r="H107" s="702"/>
      <c r="I107" s="364"/>
      <c r="J107" s="365">
        <f t="shared" si="11"/>
        <v>3839</v>
      </c>
      <c r="K107" s="366">
        <f>J107/450</f>
        <v>8.5311111111111106</v>
      </c>
      <c r="L107" s="365">
        <v>1</v>
      </c>
      <c r="M107" s="376">
        <v>1016</v>
      </c>
      <c r="N107" s="397">
        <v>8</v>
      </c>
      <c r="O107" s="3058" t="s">
        <v>90</v>
      </c>
      <c r="P107" s="3059"/>
      <c r="Q107" s="398">
        <v>2</v>
      </c>
      <c r="R107" s="399">
        <v>0</v>
      </c>
      <c r="S107" s="653" t="s">
        <v>91</v>
      </c>
      <c r="T107" s="399">
        <v>674</v>
      </c>
      <c r="U107" s="636"/>
      <c r="V107" s="2630">
        <f>VLOOKUP(M107,'[1]TABELA FRETE'!$A$6:$B$12,2,0)</f>
        <v>425.7</v>
      </c>
      <c r="W107" s="2631"/>
      <c r="X107" s="2694"/>
      <c r="Y107" s="2695"/>
      <c r="Z107" s="577"/>
    </row>
    <row r="108" spans="1:26" ht="48" customHeight="1">
      <c r="A108" s="577"/>
      <c r="B108" s="664">
        <v>0.58333333333333304</v>
      </c>
      <c r="C108" s="326"/>
      <c r="D108" s="703">
        <v>1129</v>
      </c>
      <c r="E108" s="410">
        <v>2640</v>
      </c>
      <c r="F108" s="704"/>
      <c r="G108" s="705"/>
      <c r="H108" s="706"/>
      <c r="I108" s="705"/>
      <c r="J108" s="413">
        <f t="shared" si="11"/>
        <v>2640</v>
      </c>
      <c r="K108" s="547">
        <f t="shared" si="12"/>
        <v>5.8666666666666663</v>
      </c>
      <c r="L108" s="413">
        <v>1</v>
      </c>
      <c r="M108" s="667">
        <v>1016</v>
      </c>
      <c r="N108" s="707">
        <v>8</v>
      </c>
      <c r="O108" s="2929" t="s">
        <v>159</v>
      </c>
      <c r="P108" s="2939"/>
      <c r="Q108" s="708">
        <v>1</v>
      </c>
      <c r="R108" s="551">
        <v>0</v>
      </c>
      <c r="S108" s="709" t="s">
        <v>160</v>
      </c>
      <c r="T108" s="710">
        <v>456</v>
      </c>
      <c r="U108" s="636"/>
      <c r="V108" s="2630">
        <f>VLOOKUP(M108,'[1]TABELA FRETE'!$A$6:$B$12,2,0)</f>
        <v>425.7</v>
      </c>
      <c r="W108" s="2631"/>
      <c r="X108" s="2694"/>
      <c r="Y108" s="2695"/>
      <c r="Z108" s="577"/>
    </row>
    <row r="109" spans="1:26" ht="6" customHeight="1">
      <c r="A109" s="577"/>
      <c r="B109" s="674"/>
      <c r="C109" s="674"/>
      <c r="D109" s="675"/>
      <c r="E109" s="620"/>
      <c r="F109" s="676"/>
      <c r="G109" s="615"/>
      <c r="H109" s="615"/>
      <c r="I109" s="615"/>
      <c r="J109" s="615"/>
      <c r="K109" s="677"/>
      <c r="L109" s="615"/>
      <c r="M109" s="615"/>
      <c r="N109" s="616"/>
      <c r="O109" s="615"/>
      <c r="P109" s="615"/>
      <c r="Q109" s="615"/>
      <c r="R109" s="615"/>
      <c r="S109" s="619"/>
      <c r="T109" s="678"/>
      <c r="U109" s="636"/>
      <c r="V109" s="679"/>
      <c r="W109" s="679"/>
      <c r="X109" s="434"/>
      <c r="Y109" s="434"/>
      <c r="Z109" s="577"/>
    </row>
    <row r="110" spans="1:26" ht="48" customHeight="1">
      <c r="A110" s="711"/>
      <c r="B110" s="2891">
        <v>0.70833333333333304</v>
      </c>
      <c r="C110" s="326"/>
      <c r="D110" s="2869">
        <v>3</v>
      </c>
      <c r="E110" s="2867">
        <v>1805</v>
      </c>
      <c r="F110" s="2842"/>
      <c r="G110" s="2837"/>
      <c r="H110" s="2815"/>
      <c r="I110" s="2741"/>
      <c r="J110" s="2769">
        <f>E110+G110+I110</f>
        <v>1805</v>
      </c>
      <c r="K110" s="2757">
        <f>J110/450</f>
        <v>4.0111111111111111</v>
      </c>
      <c r="L110" s="2741">
        <v>1</v>
      </c>
      <c r="M110" s="717">
        <v>1016</v>
      </c>
      <c r="N110" s="718">
        <v>6</v>
      </c>
      <c r="O110" s="3232" t="s">
        <v>139</v>
      </c>
      <c r="P110" s="3233"/>
      <c r="Q110" s="720">
        <v>1</v>
      </c>
      <c r="R110" s="721">
        <v>0</v>
      </c>
      <c r="S110" s="722" t="s">
        <v>140</v>
      </c>
      <c r="T110" s="719">
        <v>809</v>
      </c>
      <c r="U110" s="636"/>
      <c r="V110" s="2529">
        <f>VLOOKUP(M110,'[1]TABELA FRETE'!$A$6:$B$12,2,0)</f>
        <v>425.7</v>
      </c>
      <c r="W110" s="2530"/>
      <c r="X110" s="2533"/>
      <c r="Y110" s="2534"/>
      <c r="Z110" s="577"/>
    </row>
    <row r="111" spans="1:26" ht="30" customHeight="1">
      <c r="A111" s="577"/>
      <c r="B111" s="2892"/>
      <c r="C111" s="326"/>
      <c r="D111" s="2657"/>
      <c r="E111" s="2864"/>
      <c r="F111" s="2843"/>
      <c r="G111" s="2744"/>
      <c r="H111" s="2816"/>
      <c r="I111" s="2742"/>
      <c r="J111" s="2770"/>
      <c r="K111" s="2758"/>
      <c r="L111" s="2742"/>
      <c r="M111" s="2984" t="s">
        <v>161</v>
      </c>
      <c r="N111" s="2985"/>
      <c r="O111" s="2986"/>
      <c r="P111" s="2985"/>
      <c r="Q111" s="2984"/>
      <c r="R111" s="2985"/>
      <c r="S111" s="2985"/>
      <c r="T111" s="2986"/>
      <c r="U111" s="725"/>
      <c r="V111" s="2531"/>
      <c r="W111" s="2532"/>
      <c r="X111" s="2535"/>
      <c r="Y111" s="2536"/>
      <c r="Z111" s="577"/>
    </row>
    <row r="112" spans="1:26" ht="48" customHeight="1">
      <c r="A112" s="577"/>
      <c r="B112" s="2893">
        <v>0.70833333333333304</v>
      </c>
      <c r="C112" s="326"/>
      <c r="D112" s="2866">
        <v>4</v>
      </c>
      <c r="E112" s="2820">
        <v>2260</v>
      </c>
      <c r="F112" s="2844"/>
      <c r="G112" s="2795"/>
      <c r="H112" s="2805"/>
      <c r="I112" s="2795"/>
      <c r="J112" s="2771">
        <f>E112+G112+I112</f>
        <v>2260</v>
      </c>
      <c r="K112" s="2759">
        <f>J112/450</f>
        <v>5.0222222222222221</v>
      </c>
      <c r="L112" s="2743">
        <v>1</v>
      </c>
      <c r="M112" s="728">
        <v>1016</v>
      </c>
      <c r="N112" s="729">
        <v>8</v>
      </c>
      <c r="O112" s="3234" t="s">
        <v>92</v>
      </c>
      <c r="P112" s="3235"/>
      <c r="Q112" s="730">
        <v>2</v>
      </c>
      <c r="R112" s="731">
        <v>0</v>
      </c>
      <c r="S112" s="732" t="s">
        <v>104</v>
      </c>
      <c r="T112" s="731">
        <v>576</v>
      </c>
      <c r="U112" s="725"/>
      <c r="V112" s="2529">
        <f>VLOOKUP(M112,'[1]TABELA FRETE'!$A$6:$B$12,2,0)</f>
        <v>425.7</v>
      </c>
      <c r="W112" s="2530"/>
      <c r="X112" s="2533"/>
      <c r="Y112" s="2534"/>
      <c r="Z112" s="733"/>
    </row>
    <row r="113" spans="1:26" ht="30" customHeight="1">
      <c r="A113" s="577"/>
      <c r="B113" s="2892"/>
      <c r="C113" s="326"/>
      <c r="D113" s="2657"/>
      <c r="E113" s="2821"/>
      <c r="F113" s="2839"/>
      <c r="G113" s="2796"/>
      <c r="H113" s="2806"/>
      <c r="I113" s="2796"/>
      <c r="J113" s="2770"/>
      <c r="K113" s="2760"/>
      <c r="L113" s="2744"/>
      <c r="M113" s="2984" t="s">
        <v>162</v>
      </c>
      <c r="N113" s="2985"/>
      <c r="O113" s="2986"/>
      <c r="P113" s="2985"/>
      <c r="Q113" s="2984"/>
      <c r="R113" s="2985"/>
      <c r="S113" s="2985"/>
      <c r="T113" s="2986"/>
      <c r="U113" s="725"/>
      <c r="V113" s="2531"/>
      <c r="W113" s="2532"/>
      <c r="X113" s="2535"/>
      <c r="Y113" s="2536"/>
      <c r="Z113" s="733"/>
    </row>
    <row r="114" spans="1:26" ht="48" customHeight="1">
      <c r="A114" s="577"/>
      <c r="B114" s="2893">
        <v>0.70833333333333304</v>
      </c>
      <c r="C114" s="326"/>
      <c r="D114" s="2866">
        <v>5</v>
      </c>
      <c r="E114" s="2820">
        <v>2302</v>
      </c>
      <c r="F114" s="2866">
        <v>38</v>
      </c>
      <c r="G114" s="2820">
        <v>1757</v>
      </c>
      <c r="H114" s="2805"/>
      <c r="I114" s="2795"/>
      <c r="J114" s="2771">
        <f>E114+G114+I114</f>
        <v>4059</v>
      </c>
      <c r="K114" s="2759">
        <f>J114/450</f>
        <v>9.02</v>
      </c>
      <c r="L114" s="2743">
        <v>1</v>
      </c>
      <c r="M114" s="728">
        <v>1016</v>
      </c>
      <c r="N114" s="729">
        <v>8</v>
      </c>
      <c r="O114" s="3147" t="s">
        <v>81</v>
      </c>
      <c r="P114" s="3148"/>
      <c r="Q114" s="730">
        <v>2</v>
      </c>
      <c r="R114" s="731">
        <v>0</v>
      </c>
      <c r="S114" s="732" t="s">
        <v>163</v>
      </c>
      <c r="T114" s="731">
        <v>606</v>
      </c>
      <c r="U114" s="725"/>
      <c r="V114" s="2529">
        <f>VLOOKUP(M114,'[1]TABELA FRETE'!$A$6:$B$12,2,0)</f>
        <v>425.7</v>
      </c>
      <c r="W114" s="2530"/>
      <c r="X114" s="2533"/>
      <c r="Y114" s="2534"/>
      <c r="Z114" s="733"/>
    </row>
    <row r="115" spans="1:26" ht="30" customHeight="1">
      <c r="A115" s="577"/>
      <c r="B115" s="2892"/>
      <c r="C115" s="326"/>
      <c r="D115" s="2657"/>
      <c r="E115" s="2821"/>
      <c r="F115" s="2657"/>
      <c r="G115" s="2821"/>
      <c r="H115" s="2806"/>
      <c r="I115" s="2796"/>
      <c r="J115" s="2770"/>
      <c r="K115" s="2760"/>
      <c r="L115" s="2744"/>
      <c r="M115" s="2984" t="s">
        <v>164</v>
      </c>
      <c r="N115" s="2985"/>
      <c r="O115" s="2986"/>
      <c r="P115" s="2985"/>
      <c r="Q115" s="2984"/>
      <c r="R115" s="2985"/>
      <c r="S115" s="2985"/>
      <c r="T115" s="2986"/>
      <c r="U115" s="725"/>
      <c r="V115" s="2531"/>
      <c r="W115" s="2532"/>
      <c r="X115" s="2535"/>
      <c r="Y115" s="2536"/>
      <c r="Z115" s="733"/>
    </row>
    <row r="116" spans="1:26" ht="48" customHeight="1">
      <c r="A116" s="577"/>
      <c r="B116" s="2893">
        <v>0.70833333333333304</v>
      </c>
      <c r="C116" s="326"/>
      <c r="D116" s="2866">
        <v>12</v>
      </c>
      <c r="E116" s="2820">
        <v>3677</v>
      </c>
      <c r="F116" s="2844"/>
      <c r="G116" s="2795"/>
      <c r="H116" s="2805"/>
      <c r="I116" s="2795"/>
      <c r="J116" s="2771">
        <f>E116+G116+I116</f>
        <v>3677</v>
      </c>
      <c r="K116" s="2759">
        <f>J116/450</f>
        <v>8.1711111111111112</v>
      </c>
      <c r="L116" s="2743">
        <v>1</v>
      </c>
      <c r="M116" s="734">
        <v>1016</v>
      </c>
      <c r="N116" s="735">
        <v>8</v>
      </c>
      <c r="O116" s="3147" t="s">
        <v>46</v>
      </c>
      <c r="P116" s="3148"/>
      <c r="Q116" s="736">
        <v>2</v>
      </c>
      <c r="R116" s="736">
        <v>0</v>
      </c>
      <c r="S116" s="737" t="s">
        <v>47</v>
      </c>
      <c r="T116" s="736">
        <v>48</v>
      </c>
      <c r="U116" s="725"/>
      <c r="V116" s="2529">
        <f>VLOOKUP(M116,'[1]TABELA FRETE'!$A$6:$B$12,2,0)</f>
        <v>425.7</v>
      </c>
      <c r="W116" s="2530"/>
      <c r="X116" s="2533"/>
      <c r="Y116" s="2534"/>
      <c r="Z116" s="733"/>
    </row>
    <row r="117" spans="1:26" ht="30" customHeight="1">
      <c r="A117" s="577"/>
      <c r="B117" s="2892"/>
      <c r="C117" s="326"/>
      <c r="D117" s="2657"/>
      <c r="E117" s="2821"/>
      <c r="F117" s="2839"/>
      <c r="G117" s="2796"/>
      <c r="H117" s="2806"/>
      <c r="I117" s="2796"/>
      <c r="J117" s="2770"/>
      <c r="K117" s="2760"/>
      <c r="L117" s="2744"/>
      <c r="M117" s="2984" t="s">
        <v>165</v>
      </c>
      <c r="N117" s="2985"/>
      <c r="O117" s="2986"/>
      <c r="P117" s="2985"/>
      <c r="Q117" s="2984"/>
      <c r="R117" s="2985"/>
      <c r="S117" s="2985"/>
      <c r="T117" s="2986"/>
      <c r="U117" s="725"/>
      <c r="V117" s="2531"/>
      <c r="W117" s="2532"/>
      <c r="X117" s="2535"/>
      <c r="Y117" s="2536"/>
      <c r="Z117" s="733"/>
    </row>
    <row r="118" spans="1:26" ht="48" customHeight="1">
      <c r="A118" s="577"/>
      <c r="B118" s="2893">
        <v>0.70833333333333304</v>
      </c>
      <c r="C118" s="326"/>
      <c r="D118" s="2866">
        <v>18</v>
      </c>
      <c r="E118" s="2820">
        <v>3439</v>
      </c>
      <c r="F118" s="2844"/>
      <c r="G118" s="2795"/>
      <c r="H118" s="2805"/>
      <c r="I118" s="2795"/>
      <c r="J118" s="2771">
        <f>E118+G118+I118</f>
        <v>3439</v>
      </c>
      <c r="K118" s="2759">
        <f>J118/450</f>
        <v>7.6422222222222222</v>
      </c>
      <c r="L118" s="2743">
        <v>1</v>
      </c>
      <c r="M118" s="717">
        <v>1016</v>
      </c>
      <c r="N118" s="718">
        <v>7</v>
      </c>
      <c r="O118" s="3232" t="s">
        <v>56</v>
      </c>
      <c r="P118" s="3233"/>
      <c r="Q118" s="720">
        <v>1</v>
      </c>
      <c r="R118" s="721">
        <v>0</v>
      </c>
      <c r="S118" s="722" t="s">
        <v>57</v>
      </c>
      <c r="T118" s="719">
        <v>663</v>
      </c>
      <c r="U118" s="725"/>
      <c r="V118" s="2529">
        <f>VLOOKUP(M118,'[1]TABELA FRETE'!$A$6:$B$12,2,0)</f>
        <v>425.7</v>
      </c>
      <c r="W118" s="2530"/>
      <c r="X118" s="2533"/>
      <c r="Y118" s="2534"/>
      <c r="Z118" s="733"/>
    </row>
    <row r="119" spans="1:26" ht="30" customHeight="1">
      <c r="A119" s="577"/>
      <c r="B119" s="2892"/>
      <c r="C119" s="326"/>
      <c r="D119" s="2657"/>
      <c r="E119" s="2821"/>
      <c r="F119" s="2839"/>
      <c r="G119" s="2796"/>
      <c r="H119" s="2806"/>
      <c r="I119" s="2796"/>
      <c r="J119" s="2770"/>
      <c r="K119" s="2760"/>
      <c r="L119" s="2744"/>
      <c r="M119" s="2984" t="s">
        <v>166</v>
      </c>
      <c r="N119" s="2985"/>
      <c r="O119" s="2986"/>
      <c r="P119" s="2985"/>
      <c r="Q119" s="2984"/>
      <c r="R119" s="2985"/>
      <c r="S119" s="2985"/>
      <c r="T119" s="2986"/>
      <c r="U119" s="725"/>
      <c r="V119" s="2531"/>
      <c r="W119" s="2532"/>
      <c r="X119" s="2535"/>
      <c r="Y119" s="2536"/>
      <c r="Z119" s="733"/>
    </row>
    <row r="120" spans="1:26" ht="48" customHeight="1">
      <c r="A120" s="577"/>
      <c r="B120" s="2893">
        <v>0.70833333333333304</v>
      </c>
      <c r="C120" s="326"/>
      <c r="D120" s="2866">
        <v>19</v>
      </c>
      <c r="E120" s="2820">
        <v>6500</v>
      </c>
      <c r="F120" s="2844"/>
      <c r="G120" s="2795"/>
      <c r="H120" s="2805"/>
      <c r="I120" s="2795"/>
      <c r="J120" s="2771">
        <f>E120+G120+I120</f>
        <v>6500</v>
      </c>
      <c r="K120" s="2759">
        <f>J120/450</f>
        <v>14.444444444444445</v>
      </c>
      <c r="L120" s="2743">
        <v>1</v>
      </c>
      <c r="M120" s="728" t="s">
        <v>6</v>
      </c>
      <c r="N120" s="729">
        <v>14</v>
      </c>
      <c r="O120" s="3147" t="s">
        <v>64</v>
      </c>
      <c r="P120" s="3148"/>
      <c r="Q120" s="730">
        <v>1</v>
      </c>
      <c r="R120" s="731">
        <v>0</v>
      </c>
      <c r="S120" s="732" t="s">
        <v>65</v>
      </c>
      <c r="T120" s="731">
        <v>598</v>
      </c>
      <c r="U120" s="725"/>
      <c r="V120" s="2529">
        <f>VLOOKUP(M120,'[1]TABELA FRETE'!$A$6:$B$12,2,0)</f>
        <v>489.5</v>
      </c>
      <c r="W120" s="2530"/>
      <c r="X120" s="2533"/>
      <c r="Y120" s="2534"/>
      <c r="Z120" s="733"/>
    </row>
    <row r="121" spans="1:26" ht="31.5" customHeight="1">
      <c r="A121" s="577"/>
      <c r="B121" s="2892"/>
      <c r="C121" s="326"/>
      <c r="D121" s="2657"/>
      <c r="E121" s="2821"/>
      <c r="F121" s="2839"/>
      <c r="G121" s="2796"/>
      <c r="H121" s="2806"/>
      <c r="I121" s="2796"/>
      <c r="J121" s="2770"/>
      <c r="K121" s="2760"/>
      <c r="L121" s="2744"/>
      <c r="M121" s="2984" t="s">
        <v>167</v>
      </c>
      <c r="N121" s="2985"/>
      <c r="O121" s="2986"/>
      <c r="P121" s="2985"/>
      <c r="Q121" s="2984"/>
      <c r="R121" s="2985"/>
      <c r="S121" s="2985"/>
      <c r="T121" s="2986"/>
      <c r="U121" s="725"/>
      <c r="V121" s="2531"/>
      <c r="W121" s="2532"/>
      <c r="X121" s="2535"/>
      <c r="Y121" s="2536"/>
      <c r="Z121" s="733"/>
    </row>
    <row r="122" spans="1:26" ht="42" customHeight="1">
      <c r="A122" s="577"/>
      <c r="B122" s="2893">
        <v>0.70833333333333304</v>
      </c>
      <c r="C122" s="326"/>
      <c r="D122" s="2885">
        <v>19</v>
      </c>
      <c r="E122" s="2820">
        <v>2969</v>
      </c>
      <c r="F122" s="2844"/>
      <c r="G122" s="2795"/>
      <c r="H122" s="2805"/>
      <c r="I122" s="2795"/>
      <c r="J122" s="2771">
        <f>E122+G122+I122</f>
        <v>2969</v>
      </c>
      <c r="K122" s="2759">
        <f>J122/450</f>
        <v>6.597777777777778</v>
      </c>
      <c r="L122" s="2743">
        <v>1</v>
      </c>
      <c r="M122" s="728">
        <v>1016</v>
      </c>
      <c r="N122" s="729">
        <v>8</v>
      </c>
      <c r="O122" s="3147" t="s">
        <v>85</v>
      </c>
      <c r="P122" s="3148"/>
      <c r="Q122" s="730">
        <v>2</v>
      </c>
      <c r="R122" s="731">
        <v>0</v>
      </c>
      <c r="S122" s="732" t="s">
        <v>86</v>
      </c>
      <c r="T122" s="731">
        <v>714</v>
      </c>
      <c r="U122" s="725"/>
      <c r="V122" s="2529">
        <f>VLOOKUP(M122,'[1]TABELA FRETE'!$A$6:$B$12,2,0)</f>
        <v>425.7</v>
      </c>
      <c r="W122" s="2530"/>
      <c r="X122" s="2533"/>
      <c r="Y122" s="2534"/>
      <c r="Z122" s="733"/>
    </row>
    <row r="123" spans="1:26" ht="31.5" customHeight="1">
      <c r="A123" s="577"/>
      <c r="B123" s="2892"/>
      <c r="C123" s="326"/>
      <c r="D123" s="2886"/>
      <c r="E123" s="2821"/>
      <c r="F123" s="2839"/>
      <c r="G123" s="2796"/>
      <c r="H123" s="2806"/>
      <c r="I123" s="2796"/>
      <c r="J123" s="2770"/>
      <c r="K123" s="2760"/>
      <c r="L123" s="2744"/>
      <c r="M123" s="2984" t="s">
        <v>167</v>
      </c>
      <c r="N123" s="2985"/>
      <c r="O123" s="2986"/>
      <c r="P123" s="2985"/>
      <c r="Q123" s="2984"/>
      <c r="R123" s="2985"/>
      <c r="S123" s="2985"/>
      <c r="T123" s="2986"/>
      <c r="U123" s="725"/>
      <c r="V123" s="2531"/>
      <c r="W123" s="2532"/>
      <c r="X123" s="2535"/>
      <c r="Y123" s="2536"/>
      <c r="Z123" s="733"/>
    </row>
    <row r="124" spans="1:26" ht="48" customHeight="1">
      <c r="A124" s="577"/>
      <c r="B124" s="2893">
        <v>0.70833333333333304</v>
      </c>
      <c r="C124" s="326"/>
      <c r="D124" s="2866">
        <v>26</v>
      </c>
      <c r="E124" s="2820">
        <v>3579</v>
      </c>
      <c r="F124" s="2844"/>
      <c r="G124" s="2795"/>
      <c r="H124" s="2805"/>
      <c r="I124" s="2795"/>
      <c r="J124" s="2771">
        <f>E124+G124+I124</f>
        <v>3579</v>
      </c>
      <c r="K124" s="2759">
        <f>J124/450</f>
        <v>7.9533333333333331</v>
      </c>
      <c r="L124" s="2743">
        <v>1</v>
      </c>
      <c r="M124" s="728">
        <v>1016</v>
      </c>
      <c r="N124" s="729">
        <v>8</v>
      </c>
      <c r="O124" s="3147" t="s">
        <v>106</v>
      </c>
      <c r="P124" s="3148"/>
      <c r="Q124" s="730">
        <v>2</v>
      </c>
      <c r="R124" s="731">
        <v>0</v>
      </c>
      <c r="S124" s="732" t="s">
        <v>107</v>
      </c>
      <c r="T124" s="731">
        <v>606</v>
      </c>
      <c r="U124" s="725"/>
      <c r="V124" s="2529">
        <f>VLOOKUP(M124,'[1]TABELA FRETE'!$A$6:$B$12,2,0)</f>
        <v>425.7</v>
      </c>
      <c r="W124" s="2530"/>
      <c r="X124" s="2533"/>
      <c r="Y124" s="2534"/>
      <c r="Z124" s="733"/>
    </row>
    <row r="125" spans="1:26" ht="30" customHeight="1">
      <c r="A125" s="577"/>
      <c r="B125" s="2892"/>
      <c r="C125" s="326"/>
      <c r="D125" s="2657"/>
      <c r="E125" s="2821"/>
      <c r="F125" s="2839"/>
      <c r="G125" s="2796"/>
      <c r="H125" s="2806"/>
      <c r="I125" s="2796"/>
      <c r="J125" s="2770"/>
      <c r="K125" s="2760"/>
      <c r="L125" s="2744"/>
      <c r="M125" s="2984" t="s">
        <v>168</v>
      </c>
      <c r="N125" s="2985"/>
      <c r="O125" s="2986"/>
      <c r="P125" s="2985"/>
      <c r="Q125" s="2984"/>
      <c r="R125" s="2985"/>
      <c r="S125" s="2985"/>
      <c r="T125" s="2986"/>
      <c r="U125" s="725"/>
      <c r="V125" s="2531"/>
      <c r="W125" s="2532"/>
      <c r="X125" s="2535"/>
      <c r="Y125" s="2536"/>
      <c r="Z125" s="733"/>
    </row>
    <row r="126" spans="1:26" ht="48" customHeight="1">
      <c r="A126" s="577"/>
      <c r="B126" s="2893">
        <v>0.70833333333333304</v>
      </c>
      <c r="C126" s="326"/>
      <c r="D126" s="2866">
        <v>30</v>
      </c>
      <c r="E126" s="2820">
        <v>2931</v>
      </c>
      <c r="F126" s="2844"/>
      <c r="G126" s="2795"/>
      <c r="H126" s="2805"/>
      <c r="I126" s="2795"/>
      <c r="J126" s="2771">
        <f>E126+G126+I126</f>
        <v>2931</v>
      </c>
      <c r="K126" s="2759">
        <f>J126/450</f>
        <v>6.5133333333333336</v>
      </c>
      <c r="L126" s="2743">
        <v>1</v>
      </c>
      <c r="M126" s="738">
        <v>1016</v>
      </c>
      <c r="N126" s="739">
        <v>8</v>
      </c>
      <c r="O126" s="3155" t="s">
        <v>44</v>
      </c>
      <c r="P126" s="2928"/>
      <c r="Q126" s="742">
        <v>2</v>
      </c>
      <c r="R126" s="740">
        <v>0</v>
      </c>
      <c r="S126" s="743" t="s">
        <v>103</v>
      </c>
      <c r="T126" s="740">
        <v>674</v>
      </c>
      <c r="U126" s="725"/>
      <c r="V126" s="2529">
        <f>VLOOKUP(M126,'[1]TABELA FRETE'!$A$6:$B$12,2,0)</f>
        <v>425.7</v>
      </c>
      <c r="W126" s="2530"/>
      <c r="X126" s="2533"/>
      <c r="Y126" s="2534"/>
      <c r="Z126" s="733"/>
    </row>
    <row r="127" spans="1:26" ht="30" customHeight="1">
      <c r="A127" s="577"/>
      <c r="B127" s="2892"/>
      <c r="C127" s="326"/>
      <c r="D127" s="2657"/>
      <c r="E127" s="2821"/>
      <c r="F127" s="2839"/>
      <c r="G127" s="2796"/>
      <c r="H127" s="2806"/>
      <c r="I127" s="2796"/>
      <c r="J127" s="2770"/>
      <c r="K127" s="2760"/>
      <c r="L127" s="2744"/>
      <c r="M127" s="2972" t="s">
        <v>169</v>
      </c>
      <c r="N127" s="2984"/>
      <c r="O127" s="2986"/>
      <c r="P127" s="2985"/>
      <c r="Q127" s="2984"/>
      <c r="R127" s="2985"/>
      <c r="S127" s="2985"/>
      <c r="T127" s="2986"/>
      <c r="U127" s="725"/>
      <c r="V127" s="2531"/>
      <c r="W127" s="2532"/>
      <c r="X127" s="2535"/>
      <c r="Y127" s="2536"/>
      <c r="Z127" s="733"/>
    </row>
    <row r="128" spans="1:26" ht="47.25" customHeight="1">
      <c r="A128" s="577"/>
      <c r="B128" s="2894">
        <v>0.70833333333333304</v>
      </c>
      <c r="C128" s="326"/>
      <c r="D128" s="2866">
        <v>21</v>
      </c>
      <c r="E128" s="2820">
        <v>4003</v>
      </c>
      <c r="F128" s="2845">
        <v>33</v>
      </c>
      <c r="G128" s="2795">
        <v>1649</v>
      </c>
      <c r="H128" s="2807"/>
      <c r="I128" s="2795"/>
      <c r="J128" s="2771">
        <f>E128+G128+I128</f>
        <v>5652</v>
      </c>
      <c r="K128" s="2759">
        <f>J128/450</f>
        <v>12.56</v>
      </c>
      <c r="L128" s="2743">
        <v>1</v>
      </c>
      <c r="M128" s="738" t="s">
        <v>7</v>
      </c>
      <c r="N128" s="735">
        <v>12</v>
      </c>
      <c r="O128" s="3143" t="s">
        <v>62</v>
      </c>
      <c r="P128" s="3148"/>
      <c r="Q128" s="736">
        <v>2</v>
      </c>
      <c r="R128" s="736">
        <v>0</v>
      </c>
      <c r="S128" s="737" t="s">
        <v>170</v>
      </c>
      <c r="T128" s="736">
        <v>740</v>
      </c>
      <c r="U128" s="636"/>
      <c r="V128" s="2529">
        <f>VLOOKUP(M128,'[1]TABELA FRETE'!$A$6:$B$12,2,0)</f>
        <v>466.4</v>
      </c>
      <c r="W128" s="2530"/>
      <c r="X128" s="2533"/>
      <c r="Y128" s="2534"/>
      <c r="Z128" s="733"/>
    </row>
    <row r="129" spans="1:26" ht="30" customHeight="1">
      <c r="A129" s="577"/>
      <c r="B129" s="2892"/>
      <c r="C129" s="326"/>
      <c r="D129" s="2657"/>
      <c r="E129" s="2821"/>
      <c r="F129" s="2846"/>
      <c r="G129" s="2819"/>
      <c r="H129" s="2808"/>
      <c r="I129" s="2796"/>
      <c r="J129" s="2770"/>
      <c r="K129" s="2760"/>
      <c r="L129" s="2744"/>
      <c r="M129" s="2972" t="s">
        <v>171</v>
      </c>
      <c r="N129" s="2972"/>
      <c r="O129" s="2973"/>
      <c r="P129" s="2972"/>
      <c r="Q129" s="2974"/>
      <c r="R129" s="2972"/>
      <c r="S129" s="2972"/>
      <c r="T129" s="2973"/>
      <c r="U129" s="636"/>
      <c r="V129" s="2531"/>
      <c r="W129" s="2532"/>
      <c r="X129" s="2535"/>
      <c r="Y129" s="2536"/>
      <c r="Z129" s="733"/>
    </row>
    <row r="130" spans="1:26" ht="47.25" customHeight="1">
      <c r="A130" s="577"/>
      <c r="B130" s="2894">
        <v>0.70833333333333304</v>
      </c>
      <c r="C130" s="326"/>
      <c r="D130" s="2656">
        <v>36</v>
      </c>
      <c r="E130" s="2822">
        <v>5215</v>
      </c>
      <c r="F130" s="2838"/>
      <c r="G130" s="2797"/>
      <c r="H130" s="2809"/>
      <c r="I130" s="2797"/>
      <c r="J130" s="2755">
        <f>E130+G130+I130</f>
        <v>5215</v>
      </c>
      <c r="K130" s="2739">
        <f>J130/450</f>
        <v>11.588888888888889</v>
      </c>
      <c r="L130" s="2745">
        <v>1</v>
      </c>
      <c r="M130" s="734" t="s">
        <v>7</v>
      </c>
      <c r="N130" s="735">
        <v>12</v>
      </c>
      <c r="O130" s="3147" t="s">
        <v>50</v>
      </c>
      <c r="P130" s="3148"/>
      <c r="Q130" s="736">
        <v>2</v>
      </c>
      <c r="R130" s="736">
        <v>0</v>
      </c>
      <c r="S130" s="737" t="s">
        <v>51</v>
      </c>
      <c r="T130" s="736">
        <v>612</v>
      </c>
      <c r="U130" s="636"/>
      <c r="V130" s="2529">
        <f>VLOOKUP(M130,'[1]TABELA FRETE'!$A$6:$B$12,2,0)</f>
        <v>466.4</v>
      </c>
      <c r="W130" s="2530"/>
      <c r="X130" s="2533"/>
      <c r="Y130" s="2534"/>
      <c r="Z130" s="733"/>
    </row>
    <row r="131" spans="1:26" ht="30" customHeight="1">
      <c r="A131" s="577"/>
      <c r="B131" s="2892"/>
      <c r="C131" s="326"/>
      <c r="D131" s="2657"/>
      <c r="E131" s="2821"/>
      <c r="F131" s="2839"/>
      <c r="G131" s="2796"/>
      <c r="H131" s="2808"/>
      <c r="I131" s="2796"/>
      <c r="J131" s="2770"/>
      <c r="K131" s="2760"/>
      <c r="L131" s="2744"/>
      <c r="M131" s="2972" t="s">
        <v>172</v>
      </c>
      <c r="N131" s="2972"/>
      <c r="O131" s="2973"/>
      <c r="P131" s="2972"/>
      <c r="Q131" s="2974"/>
      <c r="R131" s="2972"/>
      <c r="S131" s="2972"/>
      <c r="T131" s="2973"/>
      <c r="U131" s="636"/>
      <c r="V131" s="2531"/>
      <c r="W131" s="2532"/>
      <c r="X131" s="2535"/>
      <c r="Y131" s="2536"/>
      <c r="Z131" s="733"/>
    </row>
    <row r="132" spans="1:26" ht="47.25" customHeight="1">
      <c r="A132" s="577"/>
      <c r="B132" s="2894">
        <v>0.70833333333333304</v>
      </c>
      <c r="C132" s="326"/>
      <c r="D132" s="2656">
        <v>48</v>
      </c>
      <c r="E132" s="2822">
        <v>2772</v>
      </c>
      <c r="F132" s="2838"/>
      <c r="G132" s="2797"/>
      <c r="H132" s="2809"/>
      <c r="I132" s="2797"/>
      <c r="J132" s="2755">
        <f>E132+G132+I132</f>
        <v>2772</v>
      </c>
      <c r="K132" s="2739">
        <f>J132/450</f>
        <v>6.16</v>
      </c>
      <c r="L132" s="2745">
        <v>1</v>
      </c>
      <c r="M132" s="734">
        <v>1016</v>
      </c>
      <c r="N132" s="735">
        <v>8</v>
      </c>
      <c r="O132" s="3147" t="s">
        <v>88</v>
      </c>
      <c r="P132" s="3148"/>
      <c r="Q132" s="736">
        <v>1</v>
      </c>
      <c r="R132" s="736">
        <v>0</v>
      </c>
      <c r="S132" s="737" t="s">
        <v>89</v>
      </c>
      <c r="T132" s="736">
        <v>799</v>
      </c>
      <c r="U132" s="636"/>
      <c r="V132" s="2529">
        <f>VLOOKUP(M132,'[1]TABELA FRETE'!$A$6:$B$12,2,0)</f>
        <v>425.7</v>
      </c>
      <c r="W132" s="2530"/>
      <c r="X132" s="2533"/>
      <c r="Y132" s="2534"/>
      <c r="Z132" s="733"/>
    </row>
    <row r="133" spans="1:26" ht="30" customHeight="1">
      <c r="A133" s="577"/>
      <c r="B133" s="2892"/>
      <c r="C133" s="326"/>
      <c r="D133" s="2657"/>
      <c r="E133" s="2821"/>
      <c r="F133" s="2839"/>
      <c r="G133" s="2796"/>
      <c r="H133" s="2808"/>
      <c r="I133" s="2796"/>
      <c r="J133" s="2770"/>
      <c r="K133" s="2760"/>
      <c r="L133" s="2744"/>
      <c r="M133" s="2972" t="s">
        <v>173</v>
      </c>
      <c r="N133" s="2972"/>
      <c r="O133" s="2973"/>
      <c r="P133" s="2972"/>
      <c r="Q133" s="2974"/>
      <c r="R133" s="2972"/>
      <c r="S133" s="2972"/>
      <c r="T133" s="2973"/>
      <c r="U133" s="636"/>
      <c r="V133" s="2531"/>
      <c r="W133" s="2532"/>
      <c r="X133" s="2535"/>
      <c r="Y133" s="2536"/>
      <c r="Z133" s="733"/>
    </row>
    <row r="134" spans="1:26" ht="47.25" customHeight="1">
      <c r="A134" s="577"/>
      <c r="B134" s="2892">
        <v>0.70833333333333304</v>
      </c>
      <c r="C134" s="326"/>
      <c r="D134" s="2657">
        <v>13</v>
      </c>
      <c r="E134" s="2821">
        <v>4008</v>
      </c>
      <c r="F134" s="2839"/>
      <c r="G134" s="2796"/>
      <c r="H134" s="2808"/>
      <c r="I134" s="2796"/>
      <c r="J134" s="2770">
        <f t="shared" ref="J134:J139" si="15">E134+G134+I134</f>
        <v>4008</v>
      </c>
      <c r="K134" s="2760">
        <f>J134/450</f>
        <v>8.9066666666666663</v>
      </c>
      <c r="L134" s="2744">
        <v>1</v>
      </c>
      <c r="M134" s="734" t="s">
        <v>7</v>
      </c>
      <c r="N134" s="735">
        <v>12</v>
      </c>
      <c r="O134" s="3143" t="s">
        <v>68</v>
      </c>
      <c r="P134" s="3144"/>
      <c r="Q134" s="720">
        <v>1</v>
      </c>
      <c r="R134" s="736">
        <v>0</v>
      </c>
      <c r="S134" s="737" t="s">
        <v>174</v>
      </c>
      <c r="T134" s="736">
        <v>808</v>
      </c>
      <c r="U134" s="636"/>
      <c r="V134" s="2529">
        <f>VLOOKUP(M134,'[1]TABELA FRETE'!$D$7:$E$12,2,0)</f>
        <v>1161.5999999999999</v>
      </c>
      <c r="W134" s="2530"/>
      <c r="X134" s="2533"/>
      <c r="Y134" s="2534"/>
      <c r="Z134" s="733"/>
    </row>
    <row r="135" spans="1:26" ht="30" customHeight="1">
      <c r="A135" s="577"/>
      <c r="B135" s="2902"/>
      <c r="C135" s="326"/>
      <c r="D135" s="2658"/>
      <c r="E135" s="2863"/>
      <c r="F135" s="2840"/>
      <c r="G135" s="2798"/>
      <c r="H135" s="2814"/>
      <c r="I135" s="2798"/>
      <c r="J135" s="2756"/>
      <c r="K135" s="2740"/>
      <c r="L135" s="2746"/>
      <c r="M135" s="2981" t="s">
        <v>175</v>
      </c>
      <c r="N135" s="2981"/>
      <c r="O135" s="2982"/>
      <c r="P135" s="2981"/>
      <c r="Q135" s="2983"/>
      <c r="R135" s="2981"/>
      <c r="S135" s="2981"/>
      <c r="T135" s="2982"/>
      <c r="U135" s="636"/>
      <c r="V135" s="2634"/>
      <c r="W135" s="2635"/>
      <c r="X135" s="2636"/>
      <c r="Y135" s="2637"/>
      <c r="Z135" s="733"/>
    </row>
    <row r="136" spans="1:26" ht="6" customHeight="1">
      <c r="A136" s="577"/>
      <c r="B136" s="609"/>
      <c r="C136" s="609"/>
      <c r="D136" s="745"/>
      <c r="E136" s="746"/>
      <c r="F136" s="745"/>
      <c r="G136" s="746"/>
      <c r="H136" s="747"/>
      <c r="I136" s="746"/>
      <c r="J136" s="613"/>
      <c r="K136" s="614"/>
      <c r="L136" s="613"/>
      <c r="M136" s="748"/>
      <c r="N136" s="748"/>
      <c r="O136" s="748"/>
      <c r="P136" s="748"/>
      <c r="Q136" s="748"/>
      <c r="R136" s="748"/>
      <c r="S136" s="748"/>
      <c r="T136" s="748"/>
      <c r="U136" s="636"/>
      <c r="V136" s="679"/>
      <c r="W136" s="679"/>
      <c r="X136" s="434"/>
      <c r="Y136" s="434"/>
      <c r="Z136" s="733"/>
    </row>
    <row r="137" spans="1:26" ht="47.25" customHeight="1">
      <c r="A137" s="577"/>
      <c r="B137" s="2903">
        <v>0.91666666666666696</v>
      </c>
      <c r="C137" s="326"/>
      <c r="D137" s="2659">
        <v>27</v>
      </c>
      <c r="E137" s="2864">
        <v>1505</v>
      </c>
      <c r="F137" s="2652">
        <v>15</v>
      </c>
      <c r="G137" s="2833">
        <v>2697</v>
      </c>
      <c r="H137" s="2817"/>
      <c r="I137" s="2836"/>
      <c r="J137" s="2772">
        <f t="shared" si="15"/>
        <v>4202</v>
      </c>
      <c r="K137" s="2761">
        <f>J137/450</f>
        <v>9.3377777777777773</v>
      </c>
      <c r="L137" s="2747">
        <v>1</v>
      </c>
      <c r="M137" s="318" t="s">
        <v>7</v>
      </c>
      <c r="N137" s="749">
        <v>12</v>
      </c>
      <c r="O137" s="750" t="s">
        <v>62</v>
      </c>
      <c r="P137" s="751"/>
      <c r="Q137" s="752">
        <v>2</v>
      </c>
      <c r="R137" s="752">
        <v>0</v>
      </c>
      <c r="S137" s="753" t="s">
        <v>63</v>
      </c>
      <c r="T137" s="754">
        <v>740</v>
      </c>
      <c r="U137" s="636"/>
      <c r="V137" s="2529">
        <f>VLOOKUP(M137,'[1]TABELA FRETE'!$A$6:$B$12,2,0)</f>
        <v>466.4</v>
      </c>
      <c r="W137" s="2638"/>
      <c r="X137" s="2533"/>
      <c r="Y137" s="2534"/>
      <c r="Z137" s="733"/>
    </row>
    <row r="138" spans="1:26" ht="30" customHeight="1">
      <c r="A138" s="577"/>
      <c r="B138" s="2900"/>
      <c r="C138" s="326"/>
      <c r="D138" s="2660"/>
      <c r="E138" s="2865"/>
      <c r="F138" s="2653"/>
      <c r="G138" s="2834"/>
      <c r="H138" s="2818"/>
      <c r="I138" s="2819"/>
      <c r="J138" s="2773"/>
      <c r="K138" s="2762"/>
      <c r="L138" s="2748"/>
      <c r="M138" s="2984" t="s">
        <v>176</v>
      </c>
      <c r="N138" s="2985"/>
      <c r="O138" s="2986"/>
      <c r="P138" s="2985"/>
      <c r="Q138" s="2984"/>
      <c r="R138" s="2985"/>
      <c r="S138" s="2985"/>
      <c r="T138" s="2986"/>
      <c r="U138" s="636"/>
      <c r="V138" s="2531"/>
      <c r="W138" s="2639"/>
      <c r="X138" s="2535"/>
      <c r="Y138" s="2536"/>
      <c r="Z138" s="733"/>
    </row>
    <row r="139" spans="1:26" ht="47.25" customHeight="1">
      <c r="A139" s="577"/>
      <c r="B139" s="2894">
        <v>0.91666666666666696</v>
      </c>
      <c r="C139" s="326"/>
      <c r="D139" s="2661">
        <v>7</v>
      </c>
      <c r="E139" s="2822">
        <v>5558</v>
      </c>
      <c r="F139" s="2654"/>
      <c r="G139" s="2797"/>
      <c r="H139" s="2809"/>
      <c r="I139" s="2797"/>
      <c r="J139" s="2755">
        <f t="shared" si="15"/>
        <v>5558</v>
      </c>
      <c r="K139" s="2739">
        <f>J139/450</f>
        <v>12.351111111111111</v>
      </c>
      <c r="L139" s="2737">
        <v>1</v>
      </c>
      <c r="M139" s="738" t="s">
        <v>7</v>
      </c>
      <c r="N139" s="735">
        <v>12</v>
      </c>
      <c r="O139" s="3143" t="s">
        <v>50</v>
      </c>
      <c r="P139" s="3147"/>
      <c r="Q139" s="736">
        <v>2</v>
      </c>
      <c r="R139" s="736">
        <v>0</v>
      </c>
      <c r="S139" s="737" t="s">
        <v>177</v>
      </c>
      <c r="T139" s="736">
        <v>612</v>
      </c>
      <c r="U139" s="636"/>
      <c r="V139" s="2529">
        <f>VLOOKUP(M139,'[1]TABELA FRETE'!$A$6:$B$12,2,0)</f>
        <v>466.4</v>
      </c>
      <c r="W139" s="2638"/>
      <c r="X139" s="2533"/>
      <c r="Y139" s="2534"/>
      <c r="Z139" s="733"/>
    </row>
    <row r="140" spans="1:26" ht="30" customHeight="1">
      <c r="A140" s="577"/>
      <c r="B140" s="2902"/>
      <c r="C140" s="326"/>
      <c r="D140" s="2662"/>
      <c r="E140" s="2863"/>
      <c r="F140" s="2655"/>
      <c r="G140" s="2798"/>
      <c r="H140" s="2814"/>
      <c r="I140" s="2798"/>
      <c r="J140" s="2756"/>
      <c r="K140" s="2740"/>
      <c r="L140" s="2738"/>
      <c r="M140" s="2984" t="s">
        <v>178</v>
      </c>
      <c r="N140" s="2985"/>
      <c r="O140" s="2986"/>
      <c r="P140" s="2985"/>
      <c r="Q140" s="2984"/>
      <c r="R140" s="2985"/>
      <c r="S140" s="2985"/>
      <c r="T140" s="2986"/>
      <c r="U140" s="636"/>
      <c r="V140" s="2531"/>
      <c r="W140" s="2639"/>
      <c r="X140" s="2535"/>
      <c r="Y140" s="2536"/>
      <c r="Z140" s="733"/>
    </row>
    <row r="141" spans="1:26" s="303" customFormat="1" ht="6" customHeight="1">
      <c r="A141" s="711"/>
      <c r="B141" s="609"/>
      <c r="C141" s="609"/>
      <c r="D141" s="757"/>
      <c r="E141" s="746"/>
      <c r="F141" s="757"/>
      <c r="G141" s="746"/>
      <c r="H141" s="747"/>
      <c r="I141" s="746"/>
      <c r="J141" s="613"/>
      <c r="K141" s="614"/>
      <c r="L141" s="613"/>
      <c r="M141" s="758"/>
      <c r="N141" s="759"/>
      <c r="O141" s="758"/>
      <c r="P141" s="758"/>
      <c r="Q141" s="758"/>
      <c r="R141" s="758"/>
      <c r="S141" s="758"/>
      <c r="T141" s="758"/>
      <c r="U141" s="725"/>
      <c r="V141" s="433"/>
      <c r="W141" s="433"/>
      <c r="X141" s="760"/>
      <c r="Y141" s="760"/>
      <c r="Z141" s="761"/>
    </row>
    <row r="142" spans="1:26" ht="48" customHeight="1">
      <c r="A142" s="577"/>
      <c r="B142" s="2987" t="s">
        <v>108</v>
      </c>
      <c r="C142" s="2988"/>
      <c r="D142" s="2989"/>
      <c r="E142" s="318">
        <f>SUM(E74:E140)</f>
        <v>184896</v>
      </c>
      <c r="F142" s="557" t="s">
        <v>109</v>
      </c>
      <c r="G142" s="557">
        <f>SUM(G74:G140)</f>
        <v>11152</v>
      </c>
      <c r="H142" s="557" t="s">
        <v>109</v>
      </c>
      <c r="I142" s="319">
        <f>SUM(I74:I140)</f>
        <v>0</v>
      </c>
      <c r="J142" s="319">
        <f>E142+G142+I142</f>
        <v>196048</v>
      </c>
      <c r="K142" s="558">
        <f>SUM(K74:K140)</f>
        <v>432.01333333333332</v>
      </c>
      <c r="L142" s="559">
        <f>SUM(L74:L140)</f>
        <v>48</v>
      </c>
      <c r="M142" s="560" t="s">
        <v>110</v>
      </c>
      <c r="N142" s="554">
        <f>SUM(N74:N131)</f>
        <v>422</v>
      </c>
      <c r="O142" s="2896" t="s">
        <v>32</v>
      </c>
      <c r="P142" s="2896"/>
      <c r="Q142" s="2965"/>
      <c r="R142" s="762">
        <f>K142</f>
        <v>432.01333333333332</v>
      </c>
      <c r="S142" s="763" t="s">
        <v>111</v>
      </c>
      <c r="T142" s="764"/>
      <c r="U142" s="636"/>
      <c r="V142" s="2558">
        <f>SUM(V74:W140)</f>
        <v>21837.200000000012</v>
      </c>
      <c r="W142" s="2559"/>
      <c r="X142" s="2564">
        <f>COUNT(X74:Y140)</f>
        <v>0</v>
      </c>
      <c r="Y142" s="2565"/>
      <c r="Z142" s="733"/>
    </row>
    <row r="143" spans="1:26" ht="40.5" customHeight="1">
      <c r="A143" s="577"/>
      <c r="B143" s="2853" t="s">
        <v>112</v>
      </c>
      <c r="C143" s="2899"/>
      <c r="D143" s="2899"/>
      <c r="E143" s="2899"/>
      <c r="F143" s="2899"/>
      <c r="G143" s="2899"/>
      <c r="H143" s="2899"/>
      <c r="I143" s="2899"/>
      <c r="J143" s="2854"/>
      <c r="K143" s="564">
        <v>44</v>
      </c>
      <c r="L143" s="2899" t="s">
        <v>113</v>
      </c>
      <c r="M143" s="2854"/>
      <c r="N143" s="2915" t="s">
        <v>114</v>
      </c>
      <c r="O143" s="2916"/>
      <c r="P143" s="2916"/>
      <c r="Q143" s="2916"/>
      <c r="R143" s="2917"/>
      <c r="S143" s="2915" t="s">
        <v>115</v>
      </c>
      <c r="T143" s="2917"/>
      <c r="U143" s="636"/>
      <c r="V143" s="2560"/>
      <c r="W143" s="2561"/>
      <c r="X143" s="2566"/>
      <c r="Y143" s="2567"/>
      <c r="Z143" s="733"/>
    </row>
    <row r="144" spans="1:26" ht="3.95" customHeight="1">
      <c r="A144" s="577"/>
      <c r="B144" s="2570" t="s">
        <v>116</v>
      </c>
      <c r="C144" s="2571"/>
      <c r="D144" s="2571"/>
      <c r="E144" s="2575">
        <f>L142</f>
        <v>48</v>
      </c>
      <c r="F144" s="2570" t="s">
        <v>30</v>
      </c>
      <c r="G144" s="2571"/>
      <c r="H144" s="2574">
        <f>J142</f>
        <v>196048</v>
      </c>
      <c r="I144" s="2575"/>
      <c r="J144" s="2570" t="s">
        <v>117</v>
      </c>
      <c r="K144" s="2575">
        <f>H144/E144</f>
        <v>4084.3333333333335</v>
      </c>
      <c r="L144" s="2640" t="s">
        <v>118</v>
      </c>
      <c r="M144" s="2574"/>
      <c r="N144" s="2574"/>
      <c r="O144" s="2575">
        <v>44</v>
      </c>
      <c r="P144" s="565"/>
      <c r="Q144" s="565"/>
      <c r="R144" s="565"/>
      <c r="S144" s="565"/>
      <c r="T144" s="765"/>
      <c r="U144" s="636"/>
      <c r="V144" s="2562"/>
      <c r="W144" s="2563"/>
      <c r="X144" s="2568"/>
      <c r="Y144" s="2569"/>
      <c r="Z144" s="733"/>
    </row>
    <row r="145" spans="1:26" ht="48" customHeight="1">
      <c r="A145" s="577"/>
      <c r="B145" s="2572"/>
      <c r="C145" s="2573"/>
      <c r="D145" s="2573"/>
      <c r="E145" s="2577"/>
      <c r="F145" s="2572"/>
      <c r="G145" s="2573"/>
      <c r="H145" s="2576"/>
      <c r="I145" s="2577"/>
      <c r="J145" s="2572"/>
      <c r="K145" s="2577"/>
      <c r="L145" s="2641"/>
      <c r="M145" s="2576"/>
      <c r="N145" s="2576"/>
      <c r="O145" s="2577"/>
      <c r="P145" s="567"/>
      <c r="Q145" s="2663" t="s">
        <v>119</v>
      </c>
      <c r="R145" s="2664"/>
      <c r="S145" s="2664"/>
      <c r="T145" s="2665"/>
      <c r="U145" s="636"/>
      <c r="V145" s="2578" t="s">
        <v>120</v>
      </c>
      <c r="W145" s="2579"/>
      <c r="X145" s="2582" t="s">
        <v>121</v>
      </c>
      <c r="Y145" s="2583"/>
      <c r="Z145" s="733"/>
    </row>
    <row r="146" spans="1:26" ht="52.5" customHeight="1">
      <c r="A146" s="577"/>
      <c r="B146" s="2904" t="s">
        <v>122</v>
      </c>
      <c r="C146" s="2696" t="s">
        <v>33</v>
      </c>
      <c r="D146" s="2697"/>
      <c r="E146" s="2586" t="s">
        <v>123</v>
      </c>
      <c r="F146" s="2587"/>
      <c r="G146" s="2587"/>
      <c r="H146" s="2587"/>
      <c r="I146" s="2587"/>
      <c r="J146" s="2587"/>
      <c r="K146" s="2587"/>
      <c r="L146" s="2587"/>
      <c r="M146" s="2587"/>
      <c r="N146" s="2587"/>
      <c r="O146" s="2588"/>
      <c r="P146" s="568"/>
      <c r="Q146" s="2646" t="s">
        <v>179</v>
      </c>
      <c r="R146" s="2647"/>
      <c r="S146" s="2647"/>
      <c r="T146" s="2648"/>
      <c r="U146" s="636"/>
      <c r="V146" s="2578"/>
      <c r="W146" s="2579"/>
      <c r="X146" s="2582"/>
      <c r="Y146" s="2583"/>
      <c r="Z146" s="733"/>
    </row>
    <row r="147" spans="1:26" ht="52.5" customHeight="1">
      <c r="A147" s="577"/>
      <c r="B147" s="2905"/>
      <c r="C147" s="2698"/>
      <c r="D147" s="2699"/>
      <c r="E147" s="2589"/>
      <c r="F147" s="2590"/>
      <c r="G147" s="2590"/>
      <c r="H147" s="2590"/>
      <c r="I147" s="2590"/>
      <c r="J147" s="2590"/>
      <c r="K147" s="2590"/>
      <c r="L147" s="2590"/>
      <c r="M147" s="2590"/>
      <c r="N147" s="2590"/>
      <c r="O147" s="2591"/>
      <c r="P147" s="569"/>
      <c r="Q147" s="2649"/>
      <c r="R147" s="2650"/>
      <c r="S147" s="2650"/>
      <c r="T147" s="2651"/>
      <c r="U147" s="636"/>
      <c r="V147" s="2580"/>
      <c r="W147" s="2581"/>
      <c r="X147" s="2584"/>
      <c r="Y147" s="2585"/>
      <c r="Z147" s="733"/>
    </row>
    <row r="148" spans="1:26" ht="52.5" customHeight="1">
      <c r="A148" s="577"/>
      <c r="B148" s="766" t="s">
        <v>9</v>
      </c>
      <c r="C148" s="3151">
        <f>COUNTIF(M74:M140,"kia")</f>
        <v>0</v>
      </c>
      <c r="D148" s="3152"/>
      <c r="E148" s="2586" t="s">
        <v>127</v>
      </c>
      <c r="F148" s="2587"/>
      <c r="G148" s="2587"/>
      <c r="H148" s="2587"/>
      <c r="I148" s="2587"/>
      <c r="J148" s="2587"/>
      <c r="K148" s="2587"/>
      <c r="L148" s="2587"/>
      <c r="M148" s="2587"/>
      <c r="N148" s="2587"/>
      <c r="O148" s="2588"/>
      <c r="P148" s="569"/>
      <c r="Q148" s="2958" t="s">
        <v>126</v>
      </c>
      <c r="R148" s="2959"/>
      <c r="S148" s="2959"/>
      <c r="T148" s="2960"/>
      <c r="U148" s="636"/>
      <c r="V148" s="321"/>
      <c r="W148" s="321"/>
      <c r="X148" s="321"/>
      <c r="Y148" s="321"/>
      <c r="Z148" s="733"/>
    </row>
    <row r="149" spans="1:26" ht="52.5" customHeight="1">
      <c r="A149" s="577"/>
      <c r="B149" s="767" t="s">
        <v>8</v>
      </c>
      <c r="C149" s="3138">
        <f>COUNTIF(M74:M140,"IVECO")</f>
        <v>1</v>
      </c>
      <c r="D149" s="3139"/>
      <c r="E149" s="2589"/>
      <c r="F149" s="2590"/>
      <c r="G149" s="2590"/>
      <c r="H149" s="2590"/>
      <c r="I149" s="2590"/>
      <c r="J149" s="2590"/>
      <c r="K149" s="2590"/>
      <c r="L149" s="2590"/>
      <c r="M149" s="2590"/>
      <c r="N149" s="2590"/>
      <c r="O149" s="2591"/>
      <c r="P149" s="569"/>
      <c r="Q149" s="2783" t="s">
        <v>180</v>
      </c>
      <c r="R149" s="2784"/>
      <c r="S149" s="2784"/>
      <c r="T149" s="2785"/>
      <c r="U149" s="636"/>
      <c r="V149" s="2689" t="s">
        <v>129</v>
      </c>
      <c r="W149" s="2690"/>
      <c r="X149" s="2690"/>
      <c r="Y149" s="2691"/>
      <c r="Z149" s="733"/>
    </row>
    <row r="150" spans="1:26" ht="52.5" customHeight="1">
      <c r="A150" s="577"/>
      <c r="B150" s="767">
        <v>1016</v>
      </c>
      <c r="C150" s="3138">
        <f>COUNTIF(M74:M140,"1016")</f>
        <v>24</v>
      </c>
      <c r="D150" s="3139"/>
      <c r="E150" s="2607" t="s">
        <v>131</v>
      </c>
      <c r="F150" s="2608"/>
      <c r="G150" s="2608"/>
      <c r="H150" s="2608"/>
      <c r="I150" s="2608"/>
      <c r="J150" s="2608"/>
      <c r="K150" s="2608"/>
      <c r="L150" s="2608"/>
      <c r="M150" s="2608"/>
      <c r="N150" s="2608"/>
      <c r="O150" s="2609"/>
      <c r="P150" s="569"/>
      <c r="Q150" s="2786"/>
      <c r="R150" s="2787"/>
      <c r="S150" s="2787"/>
      <c r="T150" s="2788"/>
      <c r="U150" s="636"/>
      <c r="V150" s="2601" t="s">
        <v>130</v>
      </c>
      <c r="W150" s="2602"/>
      <c r="X150" s="2602"/>
      <c r="Y150" s="2603"/>
      <c r="Z150" s="733"/>
    </row>
    <row r="151" spans="1:26" ht="52.5" customHeight="1">
      <c r="A151" s="577"/>
      <c r="B151" s="767" t="s">
        <v>7</v>
      </c>
      <c r="C151" s="3138">
        <f>COUNTIF(M74:M140,"TOCO")</f>
        <v>19</v>
      </c>
      <c r="D151" s="3139"/>
      <c r="E151" s="2552" t="s">
        <v>181</v>
      </c>
      <c r="F151" s="2553"/>
      <c r="G151" s="2553"/>
      <c r="H151" s="2553"/>
      <c r="I151" s="2553"/>
      <c r="J151" s="2553"/>
      <c r="K151" s="2553"/>
      <c r="L151" s="2553"/>
      <c r="M151" s="2553"/>
      <c r="N151" s="2553"/>
      <c r="O151" s="2554"/>
      <c r="P151" s="568"/>
      <c r="Q151" s="2774" t="s">
        <v>132</v>
      </c>
      <c r="R151" s="2775"/>
      <c r="S151" s="2775"/>
      <c r="T151" s="2776"/>
      <c r="U151" s="636"/>
      <c r="V151" s="2604"/>
      <c r="W151" s="2605"/>
      <c r="X151" s="2605"/>
      <c r="Y151" s="2606"/>
      <c r="Z151" s="733"/>
    </row>
    <row r="152" spans="1:26" ht="52.5" customHeight="1">
      <c r="A152" s="577"/>
      <c r="B152" s="768" t="s">
        <v>6</v>
      </c>
      <c r="C152" s="3140">
        <f>COUNTIF(M74:M140,"TRUCK")</f>
        <v>4</v>
      </c>
      <c r="D152" s="3141"/>
      <c r="E152" s="2555"/>
      <c r="F152" s="2556"/>
      <c r="G152" s="2556"/>
      <c r="H152" s="2556"/>
      <c r="I152" s="2556"/>
      <c r="J152" s="2556"/>
      <c r="K152" s="2556"/>
      <c r="L152" s="2556"/>
      <c r="M152" s="2556"/>
      <c r="N152" s="2556"/>
      <c r="O152" s="2557"/>
      <c r="P152" s="568"/>
      <c r="Q152" s="2777"/>
      <c r="R152" s="2778"/>
      <c r="S152" s="2778"/>
      <c r="T152" s="2779"/>
      <c r="U152" s="725"/>
      <c r="V152" s="2616" t="s">
        <v>133</v>
      </c>
      <c r="W152" s="2617"/>
      <c r="X152" s="2622">
        <f>SUM(E74:E140,G74:G140,I74:I140)</f>
        <v>196048</v>
      </c>
      <c r="Y152" s="2623"/>
      <c r="Z152" s="733"/>
    </row>
    <row r="153" spans="1:26" ht="52.5" customHeight="1">
      <c r="A153" s="577"/>
      <c r="B153" s="2696" t="s">
        <v>134</v>
      </c>
      <c r="C153" s="2751">
        <f>C148+C149+C150+C151+C152</f>
        <v>48</v>
      </c>
      <c r="D153" s="2697"/>
      <c r="E153" s="2552" t="s">
        <v>182</v>
      </c>
      <c r="F153" s="2553"/>
      <c r="G153" s="2553"/>
      <c r="H153" s="2553"/>
      <c r="I153" s="2553"/>
      <c r="J153" s="2553"/>
      <c r="K153" s="2553"/>
      <c r="L153" s="2553"/>
      <c r="M153" s="2553"/>
      <c r="N153" s="2553"/>
      <c r="O153" s="2554"/>
      <c r="P153" s="573"/>
      <c r="Q153" s="2780"/>
      <c r="R153" s="2781"/>
      <c r="S153" s="2781"/>
      <c r="T153" s="2782"/>
      <c r="U153" s="636"/>
      <c r="V153" s="2618"/>
      <c r="W153" s="2619"/>
      <c r="X153" s="2624"/>
      <c r="Y153" s="2625"/>
      <c r="Z153" s="733"/>
    </row>
    <row r="154" spans="1:26" ht="52.5" customHeight="1">
      <c r="A154" s="577"/>
      <c r="B154" s="2698"/>
      <c r="C154" s="2752"/>
      <c r="D154" s="2699"/>
      <c r="E154" s="2555"/>
      <c r="F154" s="2556"/>
      <c r="G154" s="2556"/>
      <c r="H154" s="2556"/>
      <c r="I154" s="2556"/>
      <c r="J154" s="2556"/>
      <c r="K154" s="2556"/>
      <c r="L154" s="2556"/>
      <c r="M154" s="2556"/>
      <c r="N154" s="2556"/>
      <c r="O154" s="2557"/>
      <c r="P154" s="769"/>
      <c r="Q154" s="2777" t="s">
        <v>183</v>
      </c>
      <c r="R154" s="2778"/>
      <c r="S154" s="2778"/>
      <c r="T154" s="2779"/>
      <c r="U154" s="636"/>
      <c r="V154" s="2618"/>
      <c r="W154" s="2619"/>
      <c r="X154" s="2624"/>
      <c r="Y154" s="2625"/>
      <c r="Z154" s="733"/>
    </row>
    <row r="155" spans="1:26" ht="52.5" customHeight="1">
      <c r="A155" s="577"/>
      <c r="B155" s="770" t="s">
        <v>136</v>
      </c>
      <c r="C155" s="2847" t="s">
        <v>137</v>
      </c>
      <c r="D155" s="2848"/>
      <c r="E155" s="2848"/>
      <c r="F155" s="2848"/>
      <c r="G155" s="2848"/>
      <c r="H155" s="2848"/>
      <c r="I155" s="2848"/>
      <c r="J155" s="2848"/>
      <c r="K155" s="2848"/>
      <c r="L155" s="2848"/>
      <c r="M155" s="2848"/>
      <c r="N155" s="2848"/>
      <c r="O155" s="2849"/>
      <c r="P155" s="771"/>
      <c r="Q155" s="2780"/>
      <c r="R155" s="2781"/>
      <c r="S155" s="2781"/>
      <c r="T155" s="2782"/>
      <c r="U155" s="636"/>
      <c r="V155" s="2620"/>
      <c r="W155" s="2621"/>
      <c r="X155" s="2626"/>
      <c r="Y155" s="2627"/>
      <c r="Z155" s="733"/>
    </row>
    <row r="163" spans="1:26" s="299" customFormat="1" ht="42.75" customHeight="1">
      <c r="A163" s="299" t="s">
        <v>17</v>
      </c>
      <c r="B163" s="2712"/>
      <c r="C163" s="2713"/>
      <c r="D163" s="2713"/>
      <c r="E163" s="2713"/>
      <c r="F163" s="2713"/>
      <c r="G163" s="2713"/>
      <c r="H163" s="2713"/>
      <c r="I163" s="2714"/>
      <c r="J163" s="2850" t="s">
        <v>18</v>
      </c>
      <c r="K163" s="2851"/>
      <c r="L163" s="2851"/>
      <c r="M163" s="2851"/>
      <c r="N163" s="2851"/>
      <c r="O163" s="2851"/>
      <c r="P163" s="2851"/>
      <c r="Q163" s="2852"/>
      <c r="R163" s="2789">
        <v>46146</v>
      </c>
      <c r="S163" s="2790"/>
      <c r="T163" s="2791"/>
      <c r="U163" s="307"/>
      <c r="V163" s="2700" t="s">
        <v>19</v>
      </c>
      <c r="W163" s="2701"/>
      <c r="X163" s="2700" t="s">
        <v>19</v>
      </c>
      <c r="Y163" s="2701"/>
    </row>
    <row r="164" spans="1:26" s="299" customFormat="1" ht="42.75" customHeight="1">
      <c r="B164" s="2715"/>
      <c r="C164" s="2716"/>
      <c r="D164" s="2716"/>
      <c r="E164" s="2716"/>
      <c r="F164" s="2716"/>
      <c r="G164" s="2716"/>
      <c r="H164" s="2716"/>
      <c r="I164" s="2717"/>
      <c r="J164" s="2724" t="s">
        <v>20</v>
      </c>
      <c r="K164" s="2725"/>
      <c r="L164" s="2725"/>
      <c r="M164" s="2725"/>
      <c r="N164" s="2725"/>
      <c r="O164" s="2725"/>
      <c r="P164" s="2725"/>
      <c r="Q164" s="2726"/>
      <c r="R164" s="2792"/>
      <c r="S164" s="2793"/>
      <c r="T164" s="2794"/>
      <c r="U164" s="307"/>
      <c r="V164" s="2702"/>
      <c r="W164" s="2703"/>
      <c r="X164" s="2702"/>
      <c r="Y164" s="2703"/>
    </row>
    <row r="165" spans="1:26" s="299" customFormat="1" ht="6" customHeight="1">
      <c r="B165" s="311"/>
      <c r="C165" s="312"/>
      <c r="D165" s="308"/>
      <c r="E165" s="308"/>
      <c r="F165" s="308"/>
      <c r="G165" s="308"/>
      <c r="H165" s="308"/>
      <c r="I165" s="308"/>
      <c r="J165" s="2727"/>
      <c r="K165" s="2728"/>
      <c r="L165" s="2728"/>
      <c r="M165" s="2728"/>
      <c r="N165" s="2728"/>
      <c r="O165" s="2728"/>
      <c r="P165" s="2728"/>
      <c r="Q165" s="2729"/>
      <c r="R165" s="313" t="s">
        <v>21</v>
      </c>
      <c r="S165" s="313"/>
      <c r="T165" s="314"/>
      <c r="U165" s="307"/>
      <c r="V165" s="309"/>
      <c r="W165" s="310"/>
      <c r="X165" s="309"/>
      <c r="Y165" s="310"/>
    </row>
    <row r="166" spans="1:26" s="299" customFormat="1" ht="48.95" customHeight="1">
      <c r="B166" s="2881" t="s">
        <v>22</v>
      </c>
      <c r="C166" s="315"/>
      <c r="D166" s="2853" t="s">
        <v>23</v>
      </c>
      <c r="E166" s="2854"/>
      <c r="F166" s="2853" t="s">
        <v>24</v>
      </c>
      <c r="G166" s="2854"/>
      <c r="H166" s="2853" t="s">
        <v>25</v>
      </c>
      <c r="I166" s="2854"/>
      <c r="J166" s="2730"/>
      <c r="K166" s="2731"/>
      <c r="L166" s="2731"/>
      <c r="M166" s="2731"/>
      <c r="N166" s="2731"/>
      <c r="O166" s="2731"/>
      <c r="P166" s="2731"/>
      <c r="Q166" s="2732"/>
      <c r="R166" s="2895" t="s">
        <v>26</v>
      </c>
      <c r="S166" s="2965"/>
      <c r="T166" s="320">
        <f>L228</f>
        <v>56</v>
      </c>
      <c r="U166" s="321"/>
      <c r="V166" s="2525" t="s">
        <v>27</v>
      </c>
      <c r="W166" s="2526"/>
      <c r="X166" s="2525" t="s">
        <v>28</v>
      </c>
      <c r="Y166" s="2526"/>
      <c r="Z166" s="322"/>
    </row>
    <row r="167" spans="1:26" s="299" customFormat="1" ht="45.95" customHeight="1">
      <c r="B167" s="2882"/>
      <c r="C167" s="315"/>
      <c r="D167" s="772" t="s">
        <v>29</v>
      </c>
      <c r="E167" s="772" t="s">
        <v>30</v>
      </c>
      <c r="F167" s="772" t="s">
        <v>29</v>
      </c>
      <c r="G167" s="772" t="s">
        <v>30</v>
      </c>
      <c r="H167" s="772" t="s">
        <v>29</v>
      </c>
      <c r="I167" s="772" t="s">
        <v>30</v>
      </c>
      <c r="J167" s="773" t="s">
        <v>31</v>
      </c>
      <c r="K167" s="772" t="s">
        <v>32</v>
      </c>
      <c r="L167" s="323" t="s">
        <v>33</v>
      </c>
      <c r="M167" s="323" t="s">
        <v>34</v>
      </c>
      <c r="N167" s="323" t="s">
        <v>32</v>
      </c>
      <c r="O167" s="316" t="s">
        <v>35</v>
      </c>
      <c r="P167" s="317"/>
      <c r="Q167" s="323" t="s">
        <v>36</v>
      </c>
      <c r="R167" s="323" t="s">
        <v>37</v>
      </c>
      <c r="S167" s="323" t="s">
        <v>38</v>
      </c>
      <c r="T167" s="324" t="s">
        <v>39</v>
      </c>
      <c r="U167" s="321"/>
      <c r="V167" s="2527"/>
      <c r="W167" s="2528"/>
      <c r="X167" s="2527"/>
      <c r="Y167" s="2528"/>
      <c r="Z167" s="322"/>
    </row>
    <row r="168" spans="1:26" s="304" customFormat="1" ht="48" customHeight="1">
      <c r="B168" s="774">
        <v>0.333333333343035</v>
      </c>
      <c r="C168" s="775"/>
      <c r="D168" s="776">
        <v>4</v>
      </c>
      <c r="E168" s="777">
        <v>1000</v>
      </c>
      <c r="F168" s="776">
        <v>18</v>
      </c>
      <c r="G168" s="778">
        <v>1500</v>
      </c>
      <c r="H168" s="779"/>
      <c r="I168" s="780"/>
      <c r="J168" s="778">
        <f t="shared" ref="J168:J177" si="16">E168+G168+I168</f>
        <v>2500</v>
      </c>
      <c r="K168" s="781">
        <f t="shared" ref="K168:K177" si="17">J168/500</f>
        <v>5</v>
      </c>
      <c r="L168" s="780">
        <v>1</v>
      </c>
      <c r="M168" s="782">
        <v>1016</v>
      </c>
      <c r="N168" s="783">
        <v>6</v>
      </c>
      <c r="O168" s="3231" t="s">
        <v>139</v>
      </c>
      <c r="P168" s="3231"/>
      <c r="Q168" s="785">
        <v>1</v>
      </c>
      <c r="R168" s="784">
        <v>1</v>
      </c>
      <c r="S168" s="786" t="s">
        <v>140</v>
      </c>
      <c r="T168" s="787">
        <v>809</v>
      </c>
      <c r="V168" s="2630">
        <f>VLOOKUP(M168,'[1]TABELA FRETE'!$A$6:$B$12,2,0)</f>
        <v>425.7</v>
      </c>
      <c r="W168" s="2631"/>
      <c r="X168" s="2944"/>
      <c r="Y168" s="2945"/>
    </row>
    <row r="169" spans="1:26" s="304" customFormat="1" ht="48" customHeight="1">
      <c r="B169" s="788">
        <v>0.333333333343035</v>
      </c>
      <c r="C169" s="775"/>
      <c r="D169" s="789">
        <v>15</v>
      </c>
      <c r="E169" s="790">
        <v>1000</v>
      </c>
      <c r="F169" s="791">
        <v>25</v>
      </c>
      <c r="G169" s="792">
        <v>2000</v>
      </c>
      <c r="H169" s="793"/>
      <c r="I169" s="794"/>
      <c r="J169" s="792">
        <f t="shared" si="16"/>
        <v>3000</v>
      </c>
      <c r="K169" s="795">
        <f t="shared" si="17"/>
        <v>6</v>
      </c>
      <c r="L169" s="794">
        <v>1</v>
      </c>
      <c r="M169" s="796">
        <v>1016</v>
      </c>
      <c r="N169" s="797">
        <v>7</v>
      </c>
      <c r="O169" s="2943" t="s">
        <v>56</v>
      </c>
      <c r="P169" s="2943"/>
      <c r="Q169" s="799">
        <v>1</v>
      </c>
      <c r="R169" s="798">
        <v>1</v>
      </c>
      <c r="S169" s="800" t="s">
        <v>57</v>
      </c>
      <c r="T169" s="801">
        <v>663</v>
      </c>
      <c r="V169" s="2630">
        <f>VLOOKUP(M169,'[1]TABELA FRETE'!$A$6:$B$12,2,0)</f>
        <v>425.7</v>
      </c>
      <c r="W169" s="2631"/>
      <c r="X169" s="2944"/>
      <c r="Y169" s="2945"/>
    </row>
    <row r="170" spans="1:26" s="305" customFormat="1" ht="48" customHeight="1">
      <c r="B170" s="802">
        <v>0.333333333343035</v>
      </c>
      <c r="C170" s="775"/>
      <c r="D170" s="789">
        <v>46</v>
      </c>
      <c r="E170" s="803">
        <v>2000</v>
      </c>
      <c r="F170" s="789">
        <v>36</v>
      </c>
      <c r="G170" s="804">
        <v>2000</v>
      </c>
      <c r="H170" s="789"/>
      <c r="I170" s="805"/>
      <c r="J170" s="806">
        <f t="shared" si="16"/>
        <v>4000</v>
      </c>
      <c r="K170" s="795">
        <f t="shared" si="17"/>
        <v>8</v>
      </c>
      <c r="L170" s="805">
        <v>1</v>
      </c>
      <c r="M170" s="807">
        <v>1016</v>
      </c>
      <c r="N170" s="808">
        <v>8</v>
      </c>
      <c r="O170" s="3229" t="s">
        <v>106</v>
      </c>
      <c r="P170" s="3212"/>
      <c r="Q170" s="510">
        <v>2</v>
      </c>
      <c r="R170" s="357">
        <v>2</v>
      </c>
      <c r="S170" s="809" t="s">
        <v>107</v>
      </c>
      <c r="T170" s="731">
        <v>606</v>
      </c>
      <c r="U170" s="304"/>
      <c r="V170" s="2630">
        <f>VLOOKUP(M170,'[1]TABELA FRETE'!$A$6:$B$12,2,0)</f>
        <v>425.7</v>
      </c>
      <c r="W170" s="2631"/>
      <c r="X170" s="2944"/>
      <c r="Y170" s="2945"/>
    </row>
    <row r="171" spans="1:26" s="305" customFormat="1" ht="48" customHeight="1">
      <c r="B171" s="788">
        <v>0.333333333343035</v>
      </c>
      <c r="C171" s="775"/>
      <c r="D171" s="789">
        <v>47</v>
      </c>
      <c r="E171" s="803">
        <v>2000</v>
      </c>
      <c r="F171" s="789">
        <v>31</v>
      </c>
      <c r="G171" s="804">
        <v>2000</v>
      </c>
      <c r="H171" s="789"/>
      <c r="I171" s="805"/>
      <c r="J171" s="806">
        <f t="shared" si="16"/>
        <v>4000</v>
      </c>
      <c r="K171" s="795">
        <f t="shared" si="17"/>
        <v>8</v>
      </c>
      <c r="L171" s="805">
        <v>1</v>
      </c>
      <c r="M171" s="810">
        <v>1016</v>
      </c>
      <c r="N171" s="811">
        <v>8</v>
      </c>
      <c r="O171" s="2947" t="s">
        <v>88</v>
      </c>
      <c r="P171" s="2947"/>
      <c r="Q171" s="813">
        <v>1</v>
      </c>
      <c r="R171" s="812">
        <v>1</v>
      </c>
      <c r="S171" s="814" t="s">
        <v>184</v>
      </c>
      <c r="T171" s="815">
        <v>799</v>
      </c>
      <c r="U171" s="304"/>
      <c r="V171" s="2630">
        <f>VLOOKUP(M171,'[1]TABELA FRETE'!$A$6:$B$12,2,0)</f>
        <v>425.7</v>
      </c>
      <c r="W171" s="2631"/>
      <c r="X171" s="2944"/>
      <c r="Y171" s="2945"/>
    </row>
    <row r="172" spans="1:26" s="305" customFormat="1" ht="48" customHeight="1">
      <c r="B172" s="802">
        <v>0.333333333343035</v>
      </c>
      <c r="C172" s="775"/>
      <c r="D172" s="791">
        <v>10</v>
      </c>
      <c r="E172" s="816">
        <v>3000</v>
      </c>
      <c r="F172" s="791">
        <v>17</v>
      </c>
      <c r="G172" s="794">
        <v>2000</v>
      </c>
      <c r="H172" s="791"/>
      <c r="I172" s="794"/>
      <c r="J172" s="792">
        <f t="shared" si="16"/>
        <v>5000</v>
      </c>
      <c r="K172" s="817">
        <f t="shared" si="17"/>
        <v>10</v>
      </c>
      <c r="L172" s="805">
        <v>1</v>
      </c>
      <c r="M172" s="818">
        <v>1016</v>
      </c>
      <c r="N172" s="819">
        <v>10</v>
      </c>
      <c r="O172" s="3230" t="s">
        <v>81</v>
      </c>
      <c r="P172" s="2953"/>
      <c r="Q172" s="822">
        <v>2</v>
      </c>
      <c r="R172" s="821">
        <v>2</v>
      </c>
      <c r="S172" s="823" t="s">
        <v>185</v>
      </c>
      <c r="T172" s="820">
        <v>606</v>
      </c>
      <c r="U172" s="304"/>
      <c r="V172" s="2630">
        <f>VLOOKUP(M172,'[1]TABELA FRETE'!$A$6:$B$12,2,0)</f>
        <v>425.7</v>
      </c>
      <c r="W172" s="2631"/>
      <c r="X172" s="2944"/>
      <c r="Y172" s="2945"/>
    </row>
    <row r="173" spans="1:26" s="305" customFormat="1" ht="62.25" customHeight="1">
      <c r="B173" s="802">
        <v>0.333333333343035</v>
      </c>
      <c r="C173" s="775"/>
      <c r="D173" s="824">
        <v>1129</v>
      </c>
      <c r="E173" s="803">
        <v>2000</v>
      </c>
      <c r="F173" s="825" t="s">
        <v>87</v>
      </c>
      <c r="G173" s="804">
        <v>4000</v>
      </c>
      <c r="H173" s="789"/>
      <c r="I173" s="826"/>
      <c r="J173" s="792">
        <f t="shared" si="16"/>
        <v>6000</v>
      </c>
      <c r="K173" s="817">
        <f t="shared" si="17"/>
        <v>12</v>
      </c>
      <c r="L173" s="794">
        <v>1</v>
      </c>
      <c r="M173" s="796" t="s">
        <v>7</v>
      </c>
      <c r="N173" s="797">
        <v>12</v>
      </c>
      <c r="O173" s="2943" t="s">
        <v>58</v>
      </c>
      <c r="P173" s="2943"/>
      <c r="Q173" s="799">
        <v>2</v>
      </c>
      <c r="R173" s="798">
        <v>2</v>
      </c>
      <c r="S173" s="800" t="s">
        <v>186</v>
      </c>
      <c r="T173" s="801">
        <v>674</v>
      </c>
      <c r="U173" s="304"/>
      <c r="V173" s="2630">
        <f>VLOOKUP(M173,'[1]TABELA FRETE'!$A$6:$B$12,2,0)</f>
        <v>466.4</v>
      </c>
      <c r="W173" s="2631"/>
      <c r="X173" s="2944"/>
      <c r="Y173" s="2945"/>
    </row>
    <row r="174" spans="1:26" s="305" customFormat="1" ht="59.25" customHeight="1">
      <c r="B174" s="802">
        <v>0.333333333343035</v>
      </c>
      <c r="C174" s="775"/>
      <c r="D174" s="824">
        <v>8</v>
      </c>
      <c r="E174" s="803">
        <v>5500</v>
      </c>
      <c r="F174" s="789"/>
      <c r="G174" s="804"/>
      <c r="H174" s="789"/>
      <c r="I174" s="805"/>
      <c r="J174" s="792">
        <f t="shared" si="16"/>
        <v>5500</v>
      </c>
      <c r="K174" s="817">
        <f t="shared" si="17"/>
        <v>11</v>
      </c>
      <c r="L174" s="794">
        <v>1</v>
      </c>
      <c r="M174" s="796" t="s">
        <v>6</v>
      </c>
      <c r="N174" s="797">
        <v>14</v>
      </c>
      <c r="O174" s="2943" t="s">
        <v>64</v>
      </c>
      <c r="P174" s="2943"/>
      <c r="Q174" s="799">
        <v>2</v>
      </c>
      <c r="R174" s="798">
        <v>6</v>
      </c>
      <c r="S174" s="800" t="s">
        <v>187</v>
      </c>
      <c r="T174" s="801">
        <v>598</v>
      </c>
      <c r="U174" s="304"/>
      <c r="V174" s="2630">
        <f>VLOOKUP(M174,'[1]TABELA FRETE'!$A$6:$B$12,2,0)</f>
        <v>489.5</v>
      </c>
      <c r="W174" s="2631"/>
      <c r="X174" s="2944"/>
      <c r="Y174" s="2945"/>
    </row>
    <row r="175" spans="1:26" s="305" customFormat="1" ht="56.25" customHeight="1">
      <c r="B175" s="802">
        <v>0.333333333343035</v>
      </c>
      <c r="C175" s="775"/>
      <c r="D175" s="825">
        <v>19</v>
      </c>
      <c r="E175" s="803">
        <v>5500</v>
      </c>
      <c r="F175" s="789"/>
      <c r="G175" s="804"/>
      <c r="H175" s="789"/>
      <c r="I175" s="805"/>
      <c r="J175" s="792">
        <f t="shared" si="16"/>
        <v>5500</v>
      </c>
      <c r="K175" s="817">
        <f t="shared" si="17"/>
        <v>11</v>
      </c>
      <c r="L175" s="794">
        <v>1</v>
      </c>
      <c r="M175" s="796" t="s">
        <v>7</v>
      </c>
      <c r="N175" s="797">
        <v>12</v>
      </c>
      <c r="O175" s="2943" t="s">
        <v>146</v>
      </c>
      <c r="P175" s="2943"/>
      <c r="Q175" s="799">
        <v>1</v>
      </c>
      <c r="R175" s="798">
        <v>1</v>
      </c>
      <c r="S175" s="800" t="s">
        <v>147</v>
      </c>
      <c r="T175" s="815">
        <v>91</v>
      </c>
      <c r="U175" s="304"/>
      <c r="V175" s="2630">
        <f>VLOOKUP(M175,'[1]TABELA FRETE'!$A$6:$B$12,2,0)</f>
        <v>466.4</v>
      </c>
      <c r="W175" s="2631"/>
      <c r="X175" s="2944"/>
      <c r="Y175" s="2945"/>
    </row>
    <row r="176" spans="1:26" s="305" customFormat="1" ht="62.25" customHeight="1">
      <c r="B176" s="802">
        <v>0.333333333343035</v>
      </c>
      <c r="C176" s="775"/>
      <c r="D176" s="825" t="s">
        <v>152</v>
      </c>
      <c r="E176" s="803">
        <v>5500</v>
      </c>
      <c r="F176" s="789"/>
      <c r="G176" s="804"/>
      <c r="H176" s="789"/>
      <c r="I176" s="805"/>
      <c r="J176" s="806">
        <f t="shared" si="16"/>
        <v>5500</v>
      </c>
      <c r="K176" s="795">
        <f t="shared" si="17"/>
        <v>11</v>
      </c>
      <c r="L176" s="805">
        <v>1</v>
      </c>
      <c r="M176" s="827" t="s">
        <v>7</v>
      </c>
      <c r="N176" s="828">
        <v>12</v>
      </c>
      <c r="O176" s="3162" t="s">
        <v>66</v>
      </c>
      <c r="P176" s="3162"/>
      <c r="Q176" s="829">
        <v>2</v>
      </c>
      <c r="R176" s="830">
        <v>2</v>
      </c>
      <c r="S176" s="831" t="s">
        <v>67</v>
      </c>
      <c r="T176" s="832">
        <v>184461</v>
      </c>
      <c r="U176" s="304"/>
      <c r="V176" s="2630">
        <f>VLOOKUP(M176,'[1]TABELA FRETE'!$A$6:$B$12,2,0)</f>
        <v>466.4</v>
      </c>
      <c r="W176" s="2631"/>
      <c r="X176" s="2944"/>
      <c r="Y176" s="2945"/>
    </row>
    <row r="177" spans="2:25" s="305" customFormat="1" ht="51" customHeight="1">
      <c r="B177" s="833">
        <v>0.333333333343035</v>
      </c>
      <c r="C177" s="775"/>
      <c r="D177" s="834">
        <v>34</v>
      </c>
      <c r="E177" s="835">
        <v>4000</v>
      </c>
      <c r="F177" s="834"/>
      <c r="G177" s="836"/>
      <c r="H177" s="834"/>
      <c r="I177" s="837"/>
      <c r="J177" s="838">
        <f t="shared" si="16"/>
        <v>4000</v>
      </c>
      <c r="K177" s="839">
        <f t="shared" si="17"/>
        <v>8</v>
      </c>
      <c r="L177" s="837">
        <v>1</v>
      </c>
      <c r="M177" s="840">
        <v>1016</v>
      </c>
      <c r="N177" s="841">
        <v>9</v>
      </c>
      <c r="O177" s="2930" t="s">
        <v>79</v>
      </c>
      <c r="P177" s="2930"/>
      <c r="Q177" s="551">
        <v>1</v>
      </c>
      <c r="R177" s="842">
        <v>1</v>
      </c>
      <c r="S177" s="843" t="s">
        <v>188</v>
      </c>
      <c r="T177" s="670">
        <v>184725</v>
      </c>
      <c r="U177" s="304"/>
      <c r="V177" s="2630">
        <f>VLOOKUP(M177,'[1]TABELA FRETE'!$A$6:$B$12,2,0)</f>
        <v>425.7</v>
      </c>
      <c r="W177" s="2631"/>
      <c r="X177" s="2944"/>
      <c r="Y177" s="2945"/>
    </row>
    <row r="178" spans="2:25" s="301" customFormat="1" ht="6" customHeight="1">
      <c r="B178" s="326"/>
      <c r="C178" s="326"/>
      <c r="D178" s="844"/>
      <c r="E178" s="422"/>
      <c r="F178" s="845"/>
      <c r="G178" s="423"/>
      <c r="H178" s="845"/>
      <c r="I178" s="423"/>
      <c r="J178" s="423"/>
      <c r="K178" s="425"/>
      <c r="L178" s="423"/>
      <c r="M178" s="846"/>
      <c r="N178" s="847"/>
      <c r="O178" s="428"/>
      <c r="P178" s="428"/>
      <c r="Q178" s="429"/>
      <c r="R178" s="429"/>
      <c r="S178" s="430"/>
      <c r="T178" s="428"/>
      <c r="U178" s="432"/>
      <c r="V178" s="679"/>
      <c r="W178" s="679"/>
      <c r="X178" s="434"/>
      <c r="Y178" s="434"/>
    </row>
    <row r="179" spans="2:25" s="300" customFormat="1" ht="48" customHeight="1">
      <c r="B179" s="325">
        <v>0.41666666666666702</v>
      </c>
      <c r="C179" s="326"/>
      <c r="D179" s="848">
        <v>28</v>
      </c>
      <c r="E179" s="849">
        <v>1747</v>
      </c>
      <c r="F179" s="848">
        <v>29</v>
      </c>
      <c r="G179" s="330">
        <v>2108</v>
      </c>
      <c r="H179" s="587"/>
      <c r="I179" s="330"/>
      <c r="J179" s="332">
        <f>E179+G179+I179</f>
        <v>3855</v>
      </c>
      <c r="K179" s="333">
        <f>J179/450</f>
        <v>8.5666666666666664</v>
      </c>
      <c r="L179" s="332">
        <v>1</v>
      </c>
      <c r="M179" s="850" t="s">
        <v>7</v>
      </c>
      <c r="N179" s="851">
        <v>11</v>
      </c>
      <c r="O179" s="3170" t="s">
        <v>42</v>
      </c>
      <c r="P179" s="3174"/>
      <c r="Q179" s="853">
        <v>3</v>
      </c>
      <c r="R179" s="854">
        <v>3</v>
      </c>
      <c r="S179" s="855" t="s">
        <v>43</v>
      </c>
      <c r="T179" s="856">
        <v>479</v>
      </c>
      <c r="U179" s="307"/>
      <c r="V179" s="2630">
        <f>VLOOKUP(M179,'[1]TABELA FRETE'!$A$6:$B$12,2,0)</f>
        <v>466.4</v>
      </c>
      <c r="W179" s="2631"/>
      <c r="X179" s="2694"/>
      <c r="Y179" s="2695"/>
    </row>
    <row r="180" spans="2:25" s="299" customFormat="1" ht="48" customHeight="1">
      <c r="B180" s="463">
        <v>0.41666666666666702</v>
      </c>
      <c r="C180" s="326"/>
      <c r="D180" s="857">
        <v>7</v>
      </c>
      <c r="E180" s="858">
        <v>1500</v>
      </c>
      <c r="F180" s="857"/>
      <c r="G180" s="375"/>
      <c r="H180" s="363"/>
      <c r="I180" s="364"/>
      <c r="J180" s="365">
        <f>E180+G180+I180</f>
        <v>1500</v>
      </c>
      <c r="K180" s="366">
        <f>J180/450</f>
        <v>3.3333333333333335</v>
      </c>
      <c r="L180" s="365">
        <v>1</v>
      </c>
      <c r="M180" s="859" t="s">
        <v>9</v>
      </c>
      <c r="N180" s="860">
        <v>3</v>
      </c>
      <c r="O180" s="3053" t="s">
        <v>189</v>
      </c>
      <c r="P180" s="3226"/>
      <c r="Q180" s="862">
        <v>1</v>
      </c>
      <c r="R180" s="863">
        <v>1</v>
      </c>
      <c r="S180" s="864" t="s">
        <v>190</v>
      </c>
      <c r="T180" s="861">
        <v>738</v>
      </c>
      <c r="U180" s="307"/>
      <c r="V180" s="2630">
        <f>VLOOKUP(M180,'[1]TABELA FRETE'!$A$6:$B$12,2,0)</f>
        <v>250.8</v>
      </c>
      <c r="W180" s="2631"/>
      <c r="X180" s="2632"/>
      <c r="Y180" s="2633"/>
    </row>
    <row r="181" spans="2:25" s="299" customFormat="1" ht="48" customHeight="1">
      <c r="B181" s="463">
        <v>0.41666666666666702</v>
      </c>
      <c r="C181" s="326"/>
      <c r="D181" s="857">
        <v>11</v>
      </c>
      <c r="E181" s="867">
        <v>1706</v>
      </c>
      <c r="F181" s="868"/>
      <c r="G181" s="395"/>
      <c r="H181" s="394"/>
      <c r="I181" s="727"/>
      <c r="J181" s="365">
        <f>E181+G181+I181</f>
        <v>1706</v>
      </c>
      <c r="K181" s="366">
        <f>J181/450</f>
        <v>3.7911111111111113</v>
      </c>
      <c r="L181" s="365">
        <v>1</v>
      </c>
      <c r="M181" s="869" t="s">
        <v>8</v>
      </c>
      <c r="N181" s="870">
        <v>4</v>
      </c>
      <c r="O181" s="2628" t="s">
        <v>96</v>
      </c>
      <c r="P181" s="2629"/>
      <c r="Q181" s="407">
        <v>2</v>
      </c>
      <c r="R181" s="451">
        <v>2</v>
      </c>
      <c r="S181" s="871" t="s">
        <v>97</v>
      </c>
      <c r="T181" s="451">
        <v>456</v>
      </c>
      <c r="U181" s="307"/>
      <c r="V181" s="339"/>
      <c r="W181" s="340"/>
      <c r="X181" s="865"/>
      <c r="Y181" s="866"/>
    </row>
    <row r="182" spans="2:25" s="299" customFormat="1" ht="48" customHeight="1">
      <c r="B182" s="463">
        <v>0.41666666666666702</v>
      </c>
      <c r="C182" s="326"/>
      <c r="D182" s="857">
        <v>11</v>
      </c>
      <c r="E182" s="867">
        <v>1706</v>
      </c>
      <c r="F182" s="868"/>
      <c r="G182" s="395"/>
      <c r="H182" s="394"/>
      <c r="I182" s="727"/>
      <c r="J182" s="365">
        <f>E182+G182+I182</f>
        <v>1706</v>
      </c>
      <c r="K182" s="366">
        <f>J182/450</f>
        <v>3.7911111111111113</v>
      </c>
      <c r="L182" s="365">
        <v>1</v>
      </c>
      <c r="M182" s="872" t="s">
        <v>8</v>
      </c>
      <c r="N182" s="873">
        <v>4</v>
      </c>
      <c r="O182" s="3227" t="s">
        <v>100</v>
      </c>
      <c r="P182" s="3228"/>
      <c r="Q182" s="514">
        <v>1</v>
      </c>
      <c r="R182" s="874">
        <v>0</v>
      </c>
      <c r="S182" s="875" t="s">
        <v>191</v>
      </c>
      <c r="T182" s="874">
        <v>353</v>
      </c>
      <c r="U182" s="307"/>
      <c r="V182" s="2630">
        <f>VLOOKUP(M182,'[1]TABELA FRETE'!$A$6:$B$12,2,0)</f>
        <v>286</v>
      </c>
      <c r="W182" s="2631"/>
      <c r="X182" s="2632"/>
      <c r="Y182" s="2633"/>
    </row>
    <row r="183" spans="2:25" s="299" customFormat="1" ht="48" customHeight="1">
      <c r="B183" s="408">
        <v>0.41666666666666702</v>
      </c>
      <c r="C183" s="326"/>
      <c r="D183" s="876">
        <v>11</v>
      </c>
      <c r="E183" s="877">
        <v>1405</v>
      </c>
      <c r="F183" s="876"/>
      <c r="G183" s="544"/>
      <c r="H183" s="545"/>
      <c r="I183" s="705"/>
      <c r="J183" s="413">
        <f>E183+G183+I183</f>
        <v>1405</v>
      </c>
      <c r="K183" s="414">
        <f>J183/450</f>
        <v>3.1222222222222222</v>
      </c>
      <c r="L183" s="413">
        <v>1</v>
      </c>
      <c r="M183" s="878" t="s">
        <v>9</v>
      </c>
      <c r="N183" s="879">
        <v>3</v>
      </c>
      <c r="O183" s="880" t="s">
        <v>98</v>
      </c>
      <c r="P183" s="881"/>
      <c r="Q183" s="882">
        <v>1</v>
      </c>
      <c r="R183" s="881">
        <v>1</v>
      </c>
      <c r="S183" s="883" t="s">
        <v>99</v>
      </c>
      <c r="T183" s="881">
        <v>496</v>
      </c>
      <c r="U183" s="884"/>
      <c r="V183" s="2630">
        <f>VLOOKUP(M183,'[1]TABELA FRETE'!$A$6:$B$12,2,0)</f>
        <v>250.8</v>
      </c>
      <c r="W183" s="2631"/>
      <c r="X183" s="2694"/>
      <c r="Y183" s="2695"/>
    </row>
    <row r="184" spans="2:25" s="301" customFormat="1" ht="6" customHeight="1">
      <c r="B184" s="326"/>
      <c r="C184" s="326"/>
      <c r="D184" s="421"/>
      <c r="E184" s="422"/>
      <c r="F184" s="421"/>
      <c r="G184" s="423"/>
      <c r="H184" s="424"/>
      <c r="I184" s="423"/>
      <c r="J184" s="423"/>
      <c r="K184" s="425"/>
      <c r="L184" s="423"/>
      <c r="M184" s="885"/>
      <c r="N184" s="886"/>
      <c r="O184" s="428"/>
      <c r="P184" s="428"/>
      <c r="Q184" s="429"/>
      <c r="R184" s="429"/>
      <c r="S184" s="430"/>
      <c r="T184" s="428"/>
      <c r="U184" s="432"/>
      <c r="V184" s="679"/>
      <c r="W184" s="679"/>
      <c r="X184" s="434"/>
      <c r="Y184" s="434"/>
    </row>
    <row r="185" spans="2:25" s="299" customFormat="1" ht="48" customHeight="1">
      <c r="B185" s="325">
        <v>0.5</v>
      </c>
      <c r="C185" s="326"/>
      <c r="D185" s="327">
        <v>8</v>
      </c>
      <c r="E185" s="849">
        <v>4234</v>
      </c>
      <c r="F185" s="887"/>
      <c r="G185" s="437"/>
      <c r="H185" s="438"/>
      <c r="I185" s="330"/>
      <c r="J185" s="888">
        <f>E185+G185+I185</f>
        <v>4234</v>
      </c>
      <c r="K185" s="889">
        <f t="shared" ref="K185:K227" si="18">J185/450</f>
        <v>9.4088888888888889</v>
      </c>
      <c r="L185" s="890">
        <v>1</v>
      </c>
      <c r="M185" s="891" t="s">
        <v>7</v>
      </c>
      <c r="N185" s="892">
        <v>12</v>
      </c>
      <c r="O185" s="3224" t="s">
        <v>68</v>
      </c>
      <c r="P185" s="3225"/>
      <c r="Q185" s="893">
        <v>1</v>
      </c>
      <c r="R185" s="894">
        <v>1</v>
      </c>
      <c r="S185" s="895" t="s">
        <v>69</v>
      </c>
      <c r="T185" s="896">
        <v>808</v>
      </c>
      <c r="U185" s="307"/>
      <c r="V185" s="2630">
        <f>VLOOKUP(M185,'[1]TABELA FRETE'!$A$6:$B$12,2,0)</f>
        <v>466.4</v>
      </c>
      <c r="W185" s="2631"/>
      <c r="X185" s="2632"/>
      <c r="Y185" s="2633"/>
    </row>
    <row r="186" spans="2:25" s="299" customFormat="1" ht="48" customHeight="1">
      <c r="B186" s="343">
        <v>0.5</v>
      </c>
      <c r="C186" s="326"/>
      <c r="D186" s="344">
        <v>9</v>
      </c>
      <c r="E186" s="897">
        <v>6357</v>
      </c>
      <c r="F186" s="344"/>
      <c r="G186" s="455"/>
      <c r="H186" s="348"/>
      <c r="I186" s="364"/>
      <c r="J186" s="898">
        <f>E186+G186+I186</f>
        <v>6357</v>
      </c>
      <c r="K186" s="899">
        <f t="shared" si="18"/>
        <v>14.126666666666667</v>
      </c>
      <c r="L186" s="900">
        <v>1</v>
      </c>
      <c r="M186" s="901" t="s">
        <v>6</v>
      </c>
      <c r="N186" s="902">
        <v>14</v>
      </c>
      <c r="O186" s="3218" t="s">
        <v>192</v>
      </c>
      <c r="P186" s="3219"/>
      <c r="Q186" s="903">
        <v>1</v>
      </c>
      <c r="R186" s="904">
        <v>1</v>
      </c>
      <c r="S186" s="905" t="s">
        <v>193</v>
      </c>
      <c r="T186" s="906">
        <v>808</v>
      </c>
      <c r="U186" s="307"/>
      <c r="V186" s="2630">
        <f>VLOOKUP(M186,'[1]TABELA FRETE'!$A$6:$B$12,2,0)</f>
        <v>489.5</v>
      </c>
      <c r="W186" s="2631"/>
      <c r="X186" s="2632"/>
      <c r="Y186" s="2633"/>
    </row>
    <row r="187" spans="2:25" s="299" customFormat="1" ht="48" customHeight="1">
      <c r="B187" s="343">
        <v>0.5</v>
      </c>
      <c r="C187" s="326"/>
      <c r="D187" s="344">
        <v>1</v>
      </c>
      <c r="E187" s="897">
        <v>5467</v>
      </c>
      <c r="F187" s="517"/>
      <c r="G187" s="455"/>
      <c r="H187" s="348"/>
      <c r="I187" s="349"/>
      <c r="J187" s="907">
        <f>E187+G187+I187</f>
        <v>5467</v>
      </c>
      <c r="K187" s="899">
        <f t="shared" si="18"/>
        <v>12.148888888888889</v>
      </c>
      <c r="L187" s="908">
        <v>1</v>
      </c>
      <c r="M187" s="909" t="s">
        <v>7</v>
      </c>
      <c r="N187" s="910">
        <v>12</v>
      </c>
      <c r="O187" s="3222" t="s">
        <v>76</v>
      </c>
      <c r="P187" s="3223"/>
      <c r="Q187" s="911">
        <v>1</v>
      </c>
      <c r="R187" s="912">
        <v>1</v>
      </c>
      <c r="S187" s="913" t="s">
        <v>77</v>
      </c>
      <c r="T187" s="906">
        <v>184708</v>
      </c>
      <c r="U187" s="307"/>
      <c r="V187" s="2630">
        <f>VLOOKUP(M187,'[1]TABELA FRETE'!$A$6:$B$12,2,0)</f>
        <v>466.4</v>
      </c>
      <c r="W187" s="2631"/>
      <c r="X187" s="2632"/>
      <c r="Y187" s="2633"/>
    </row>
    <row r="188" spans="2:25" s="299" customFormat="1" ht="48" customHeight="1">
      <c r="B188" s="358">
        <v>0.5</v>
      </c>
      <c r="C188" s="326"/>
      <c r="D188" s="359">
        <v>12</v>
      </c>
      <c r="E188" s="900">
        <v>4257</v>
      </c>
      <c r="F188" s="646"/>
      <c r="G188" s="375"/>
      <c r="H188" s="348"/>
      <c r="I188" s="349"/>
      <c r="J188" s="898">
        <f>E188+G188+I188</f>
        <v>4257</v>
      </c>
      <c r="K188" s="914">
        <f t="shared" si="18"/>
        <v>9.4600000000000009</v>
      </c>
      <c r="L188" s="900">
        <v>1</v>
      </c>
      <c r="M188" s="901" t="s">
        <v>7</v>
      </c>
      <c r="N188" s="902">
        <v>12</v>
      </c>
      <c r="O188" s="3218" t="s">
        <v>58</v>
      </c>
      <c r="P188" s="3219"/>
      <c r="Q188" s="915">
        <v>2</v>
      </c>
      <c r="R188" s="904">
        <v>2</v>
      </c>
      <c r="S188" s="905" t="s">
        <v>59</v>
      </c>
      <c r="T188" s="906">
        <v>674</v>
      </c>
      <c r="U188" s="307"/>
      <c r="V188" s="2630">
        <f>VLOOKUP(M188,'[1]TABELA FRETE'!$A$6:$B$12,2,0)</f>
        <v>466.4</v>
      </c>
      <c r="W188" s="2631"/>
      <c r="X188" s="2694"/>
      <c r="Y188" s="2695"/>
    </row>
    <row r="189" spans="2:25" s="299" customFormat="1" ht="48" customHeight="1">
      <c r="B189" s="358">
        <v>0.5</v>
      </c>
      <c r="C189" s="326"/>
      <c r="D189" s="359">
        <v>38</v>
      </c>
      <c r="E189" s="900">
        <v>4264</v>
      </c>
      <c r="F189" s="646"/>
      <c r="G189" s="375"/>
      <c r="H189" s="348"/>
      <c r="I189" s="349"/>
      <c r="J189" s="898">
        <f>E189+G189+I189</f>
        <v>4264</v>
      </c>
      <c r="K189" s="914">
        <f t="shared" si="18"/>
        <v>9.4755555555555553</v>
      </c>
      <c r="L189" s="900">
        <v>1</v>
      </c>
      <c r="M189" s="901" t="s">
        <v>7</v>
      </c>
      <c r="N189" s="902">
        <v>11</v>
      </c>
      <c r="O189" s="3218" t="s">
        <v>52</v>
      </c>
      <c r="P189" s="3219"/>
      <c r="Q189" s="915">
        <v>1</v>
      </c>
      <c r="R189" s="916">
        <v>1</v>
      </c>
      <c r="S189" s="905" t="s">
        <v>53</v>
      </c>
      <c r="T189" s="917">
        <v>633</v>
      </c>
      <c r="U189" s="307"/>
      <c r="V189" s="2630">
        <f>VLOOKUP(M189,'[1]TABELA FRETE'!$A$6:$B$12,2,0)</f>
        <v>466.4</v>
      </c>
      <c r="W189" s="2631"/>
      <c r="X189" s="2632"/>
      <c r="Y189" s="2633"/>
    </row>
    <row r="190" spans="2:25" s="299" customFormat="1" ht="48" customHeight="1">
      <c r="B190" s="343">
        <v>0.5</v>
      </c>
      <c r="C190" s="326"/>
      <c r="D190" s="359">
        <v>14</v>
      </c>
      <c r="E190" s="540">
        <v>5020</v>
      </c>
      <c r="F190" s="359"/>
      <c r="G190" s="375"/>
      <c r="H190" s="363"/>
      <c r="I190" s="364"/>
      <c r="J190" s="898">
        <f t="shared" ref="J190:J228" si="19">E190+G190+I190</f>
        <v>5020</v>
      </c>
      <c r="K190" s="914">
        <f t="shared" si="18"/>
        <v>11.155555555555555</v>
      </c>
      <c r="L190" s="900">
        <v>1</v>
      </c>
      <c r="M190" s="901" t="s">
        <v>7</v>
      </c>
      <c r="N190" s="902">
        <v>12</v>
      </c>
      <c r="O190" s="3218" t="s">
        <v>74</v>
      </c>
      <c r="P190" s="3219"/>
      <c r="Q190" s="915">
        <v>1</v>
      </c>
      <c r="R190" s="916">
        <v>1</v>
      </c>
      <c r="S190" s="918" t="s">
        <v>75</v>
      </c>
      <c r="T190" s="917">
        <v>184328</v>
      </c>
      <c r="U190" s="307"/>
      <c r="V190" s="2630">
        <f>VLOOKUP(M190,'[1]TABELA FRETE'!$A$6:$B$12,2,0)</f>
        <v>466.4</v>
      </c>
      <c r="W190" s="2631"/>
      <c r="X190" s="2632"/>
      <c r="Y190" s="2633"/>
    </row>
    <row r="191" spans="2:25" s="299" customFormat="1" ht="48" customHeight="1">
      <c r="B191" s="358">
        <v>0.5</v>
      </c>
      <c r="C191" s="326"/>
      <c r="D191" s="359">
        <v>43</v>
      </c>
      <c r="E191" s="858">
        <v>5663</v>
      </c>
      <c r="F191" s="359"/>
      <c r="G191" s="375"/>
      <c r="H191" s="363"/>
      <c r="I191" s="364"/>
      <c r="J191" s="898">
        <f t="shared" si="19"/>
        <v>5663</v>
      </c>
      <c r="K191" s="914">
        <f>J191/480</f>
        <v>11.797916666666667</v>
      </c>
      <c r="L191" s="900">
        <v>1</v>
      </c>
      <c r="M191" s="901" t="s">
        <v>7</v>
      </c>
      <c r="N191" s="902">
        <v>12</v>
      </c>
      <c r="O191" s="3218" t="s">
        <v>50</v>
      </c>
      <c r="P191" s="3219"/>
      <c r="Q191" s="915">
        <v>2</v>
      </c>
      <c r="R191" s="916">
        <v>2</v>
      </c>
      <c r="S191" s="905" t="s">
        <v>51</v>
      </c>
      <c r="T191" s="917">
        <v>612</v>
      </c>
      <c r="U191" s="307"/>
      <c r="V191" s="2630">
        <f>VLOOKUP(M191,'[1]TABELA FRETE'!$A$6:$B$12,2,0)</f>
        <v>466.4</v>
      </c>
      <c r="W191" s="2631"/>
      <c r="X191" s="2632"/>
      <c r="Y191" s="2633"/>
    </row>
    <row r="192" spans="2:25" s="299" customFormat="1" ht="48" customHeight="1">
      <c r="B192" s="358">
        <v>0.5</v>
      </c>
      <c r="C192" s="326"/>
      <c r="D192" s="359">
        <v>34</v>
      </c>
      <c r="E192" s="858">
        <v>2633</v>
      </c>
      <c r="F192" s="646"/>
      <c r="G192" s="360"/>
      <c r="H192" s="363"/>
      <c r="I192" s="364"/>
      <c r="J192" s="898">
        <f t="shared" si="19"/>
        <v>2633</v>
      </c>
      <c r="K192" s="914">
        <f t="shared" si="18"/>
        <v>5.8511111111111109</v>
      </c>
      <c r="L192" s="900">
        <v>1</v>
      </c>
      <c r="M192" s="919">
        <v>1016</v>
      </c>
      <c r="N192" s="920">
        <v>7</v>
      </c>
      <c r="O192" s="3218" t="s">
        <v>141</v>
      </c>
      <c r="P192" s="3219"/>
      <c r="Q192" s="915">
        <v>2</v>
      </c>
      <c r="R192" s="912">
        <v>2</v>
      </c>
      <c r="S192" s="913" t="s">
        <v>142</v>
      </c>
      <c r="T192" s="906">
        <v>605</v>
      </c>
      <c r="U192" s="307"/>
      <c r="V192" s="2630">
        <f>VLOOKUP(M192,'[1]TABELA FRETE'!$A$6:$B$12,2,0)</f>
        <v>425.7</v>
      </c>
      <c r="W192" s="2631"/>
      <c r="X192" s="2632"/>
      <c r="Y192" s="2633"/>
    </row>
    <row r="193" spans="2:25" s="299" customFormat="1" ht="48" customHeight="1">
      <c r="B193" s="358">
        <v>0.5</v>
      </c>
      <c r="C193" s="326"/>
      <c r="D193" s="359">
        <v>35</v>
      </c>
      <c r="E193" s="858">
        <v>4174</v>
      </c>
      <c r="F193" s="359"/>
      <c r="G193" s="360"/>
      <c r="H193" s="363"/>
      <c r="I193" s="364"/>
      <c r="J193" s="898">
        <f t="shared" si="19"/>
        <v>4174</v>
      </c>
      <c r="K193" s="914">
        <f t="shared" si="18"/>
        <v>9.275555555555556</v>
      </c>
      <c r="L193" s="900">
        <v>1</v>
      </c>
      <c r="M193" s="909" t="s">
        <v>7</v>
      </c>
      <c r="N193" s="909">
        <v>12</v>
      </c>
      <c r="O193" s="3220" t="s">
        <v>66</v>
      </c>
      <c r="P193" s="3221"/>
      <c r="Q193" s="921">
        <v>2</v>
      </c>
      <c r="R193" s="912">
        <v>2</v>
      </c>
      <c r="S193" s="922" t="s">
        <v>67</v>
      </c>
      <c r="T193" s="832">
        <v>184461</v>
      </c>
      <c r="U193" s="307"/>
      <c r="V193" s="339"/>
      <c r="W193" s="340"/>
      <c r="X193" s="865"/>
      <c r="Y193" s="866"/>
    </row>
    <row r="194" spans="2:25" s="299" customFormat="1" ht="48" customHeight="1">
      <c r="B194" s="358">
        <v>0.5</v>
      </c>
      <c r="C194" s="326"/>
      <c r="D194" s="359">
        <v>45</v>
      </c>
      <c r="E194" s="858">
        <v>6700</v>
      </c>
      <c r="F194" s="359"/>
      <c r="G194" s="360"/>
      <c r="H194" s="363"/>
      <c r="I194" s="364"/>
      <c r="J194" s="898">
        <f t="shared" si="19"/>
        <v>6700</v>
      </c>
      <c r="K194" s="914">
        <f>J194/480</f>
        <v>13.958333333333334</v>
      </c>
      <c r="L194" s="900">
        <v>1</v>
      </c>
      <c r="M194" s="901" t="s">
        <v>6</v>
      </c>
      <c r="N194" s="902">
        <v>14</v>
      </c>
      <c r="O194" s="3218" t="s">
        <v>54</v>
      </c>
      <c r="P194" s="3219"/>
      <c r="Q194" s="915">
        <v>1</v>
      </c>
      <c r="R194" s="916">
        <v>1</v>
      </c>
      <c r="S194" s="905" t="s">
        <v>194</v>
      </c>
      <c r="T194" s="917">
        <v>590</v>
      </c>
      <c r="U194" s="307"/>
      <c r="V194" s="2630">
        <f>VLOOKUP(M194,'[1]TABELA FRETE'!$A$6:$B$12,2,0)</f>
        <v>489.5</v>
      </c>
      <c r="W194" s="2631"/>
      <c r="X194" s="2632"/>
      <c r="Y194" s="2633"/>
    </row>
    <row r="195" spans="2:25" s="299" customFormat="1" ht="48" customHeight="1">
      <c r="B195" s="358">
        <v>0.5</v>
      </c>
      <c r="C195" s="326"/>
      <c r="D195" s="359">
        <v>45</v>
      </c>
      <c r="E195" s="923">
        <v>2526</v>
      </c>
      <c r="F195" s="401"/>
      <c r="G195" s="360"/>
      <c r="H195" s="363"/>
      <c r="I195" s="364"/>
      <c r="J195" s="898">
        <f t="shared" si="19"/>
        <v>2526</v>
      </c>
      <c r="K195" s="914">
        <f>J195/480</f>
        <v>5.2625000000000002</v>
      </c>
      <c r="L195" s="900">
        <v>1</v>
      </c>
      <c r="M195" s="909">
        <v>1016</v>
      </c>
      <c r="N195" s="910">
        <v>6</v>
      </c>
      <c r="O195" s="3222" t="s">
        <v>70</v>
      </c>
      <c r="P195" s="3223"/>
      <c r="Q195" s="911">
        <v>1</v>
      </c>
      <c r="R195" s="912">
        <v>1</v>
      </c>
      <c r="S195" s="913" t="s">
        <v>195</v>
      </c>
      <c r="T195" s="906">
        <v>333</v>
      </c>
      <c r="U195" s="307"/>
      <c r="V195" s="2630">
        <f>VLOOKUP(M195,'[1]TABELA FRETE'!$A$6:$B$12,2,0)</f>
        <v>425.7</v>
      </c>
      <c r="W195" s="2631"/>
      <c r="X195" s="2632"/>
      <c r="Y195" s="2633"/>
    </row>
    <row r="196" spans="2:25" s="299" customFormat="1" ht="48" customHeight="1">
      <c r="B196" s="463">
        <v>0.5</v>
      </c>
      <c r="C196" s="326"/>
      <c r="D196" s="924">
        <v>47</v>
      </c>
      <c r="E196" s="923">
        <v>3025</v>
      </c>
      <c r="F196" s="925"/>
      <c r="G196" s="392"/>
      <c r="H196" s="394"/>
      <c r="I196" s="727"/>
      <c r="J196" s="898">
        <f t="shared" si="19"/>
        <v>3025</v>
      </c>
      <c r="K196" s="914">
        <f>J196/480</f>
        <v>6.302083333333333</v>
      </c>
      <c r="L196" s="908">
        <v>1</v>
      </c>
      <c r="M196" s="901">
        <v>1016</v>
      </c>
      <c r="N196" s="902">
        <v>9</v>
      </c>
      <c r="O196" s="3218" t="s">
        <v>79</v>
      </c>
      <c r="P196" s="3219"/>
      <c r="Q196" s="915">
        <v>1</v>
      </c>
      <c r="R196" s="916">
        <v>1</v>
      </c>
      <c r="S196" s="905" t="s">
        <v>80</v>
      </c>
      <c r="T196" s="917">
        <v>184725</v>
      </c>
      <c r="U196" s="307"/>
      <c r="V196" s="339"/>
      <c r="W196" s="340"/>
      <c r="X196" s="865"/>
      <c r="Y196" s="866"/>
    </row>
    <row r="197" spans="2:25" s="299" customFormat="1" ht="48" customHeight="1">
      <c r="B197" s="408">
        <v>0.5</v>
      </c>
      <c r="C197" s="326"/>
      <c r="D197" s="409">
        <v>19</v>
      </c>
      <c r="E197" s="410">
        <v>3592</v>
      </c>
      <c r="F197" s="411"/>
      <c r="G197" s="410"/>
      <c r="H197" s="412"/>
      <c r="I197" s="410"/>
      <c r="J197" s="926">
        <f t="shared" si="19"/>
        <v>3592</v>
      </c>
      <c r="K197" s="927">
        <f>J197/450</f>
        <v>7.9822222222222221</v>
      </c>
      <c r="L197" s="928">
        <v>1</v>
      </c>
      <c r="M197" s="929">
        <v>1016</v>
      </c>
      <c r="N197" s="930">
        <v>8</v>
      </c>
      <c r="O197" s="3216" t="s">
        <v>46</v>
      </c>
      <c r="P197" s="3217"/>
      <c r="Q197" s="931">
        <v>2</v>
      </c>
      <c r="R197" s="932">
        <v>2</v>
      </c>
      <c r="S197" s="933" t="s">
        <v>47</v>
      </c>
      <c r="T197" s="934">
        <v>48</v>
      </c>
      <c r="U197" s="307"/>
      <c r="V197" s="2630">
        <f>VLOOKUP(M197,'[1]TABELA FRETE'!$A$6:$B$12,2,0)</f>
        <v>425.7</v>
      </c>
      <c r="W197" s="2631"/>
      <c r="X197" s="2632"/>
      <c r="Y197" s="2633"/>
    </row>
    <row r="198" spans="2:25" s="301" customFormat="1" ht="6" customHeight="1">
      <c r="B198" s="326"/>
      <c r="C198" s="326"/>
      <c r="D198" s="421"/>
      <c r="E198" s="422"/>
      <c r="F198" s="421"/>
      <c r="G198" s="423"/>
      <c r="H198" s="424"/>
      <c r="I198" s="423"/>
      <c r="J198" s="423"/>
      <c r="K198" s="425"/>
      <c r="L198" s="423"/>
      <c r="M198" s="885"/>
      <c r="N198" s="886"/>
      <c r="O198" s="428"/>
      <c r="P198" s="428"/>
      <c r="Q198" s="429"/>
      <c r="R198" s="429"/>
      <c r="S198" s="430"/>
      <c r="T198" s="428"/>
      <c r="U198" s="432"/>
      <c r="V198" s="679"/>
      <c r="W198" s="679"/>
      <c r="X198" s="434"/>
      <c r="Y198" s="434"/>
    </row>
    <row r="199" spans="2:25" s="299" customFormat="1" ht="48" customHeight="1">
      <c r="B199" s="325">
        <v>0.58333333333333304</v>
      </c>
      <c r="C199" s="326"/>
      <c r="D199" s="935">
        <v>20</v>
      </c>
      <c r="E199" s="328">
        <v>6720</v>
      </c>
      <c r="F199" s="936"/>
      <c r="G199" s="330"/>
      <c r="H199" s="438"/>
      <c r="I199" s="330"/>
      <c r="J199" s="888">
        <f t="shared" si="19"/>
        <v>6720</v>
      </c>
      <c r="K199" s="889">
        <f t="shared" si="18"/>
        <v>14.933333333333334</v>
      </c>
      <c r="L199" s="330">
        <v>1</v>
      </c>
      <c r="M199" s="937" t="s">
        <v>6</v>
      </c>
      <c r="N199" s="938">
        <v>14</v>
      </c>
      <c r="O199" s="3190" t="s">
        <v>143</v>
      </c>
      <c r="P199" s="3191"/>
      <c r="Q199" s="940">
        <v>1</v>
      </c>
      <c r="R199" s="941">
        <v>1</v>
      </c>
      <c r="S199" s="855" t="s">
        <v>69</v>
      </c>
      <c r="T199" s="939">
        <v>184422</v>
      </c>
      <c r="U199" s="307"/>
      <c r="V199" s="2630">
        <f>VLOOKUP(M199,'[1]TABELA FRETE'!$A$6:$B$12,2,0)</f>
        <v>489.5</v>
      </c>
      <c r="W199" s="2631"/>
      <c r="X199" s="2632"/>
      <c r="Y199" s="2633"/>
    </row>
    <row r="200" spans="2:25" s="299" customFormat="1" ht="48" customHeight="1">
      <c r="B200" s="358">
        <v>0.58333333333333304</v>
      </c>
      <c r="C200" s="326"/>
      <c r="D200" s="942">
        <v>5</v>
      </c>
      <c r="E200" s="360">
        <v>2909</v>
      </c>
      <c r="F200" s="943"/>
      <c r="G200" s="364"/>
      <c r="H200" s="363"/>
      <c r="I200" s="364"/>
      <c r="J200" s="898">
        <f t="shared" si="19"/>
        <v>2909</v>
      </c>
      <c r="K200" s="914">
        <f t="shared" si="18"/>
        <v>6.4644444444444442</v>
      </c>
      <c r="L200" s="364">
        <v>1</v>
      </c>
      <c r="M200" s="944">
        <v>1016</v>
      </c>
      <c r="N200" s="945">
        <v>8</v>
      </c>
      <c r="O200" s="2829" t="s">
        <v>85</v>
      </c>
      <c r="P200" s="3172"/>
      <c r="Q200" s="946">
        <v>2</v>
      </c>
      <c r="R200" s="947">
        <v>2</v>
      </c>
      <c r="S200" s="905" t="s">
        <v>86</v>
      </c>
      <c r="T200" s="917">
        <v>714</v>
      </c>
      <c r="U200" s="307"/>
      <c r="V200" s="2630">
        <f>VLOOKUP(M200,'[1]TABELA FRETE'!$A$6:$B$12,2,0)</f>
        <v>425.7</v>
      </c>
      <c r="W200" s="2631"/>
      <c r="X200" s="2632"/>
      <c r="Y200" s="2633"/>
    </row>
    <row r="201" spans="2:25" s="299" customFormat="1" ht="48" customHeight="1">
      <c r="B201" s="358">
        <v>0.58333333333333304</v>
      </c>
      <c r="C201" s="326"/>
      <c r="D201" s="948">
        <v>22</v>
      </c>
      <c r="E201" s="460">
        <v>3797</v>
      </c>
      <c r="F201" s="949"/>
      <c r="G201" s="950"/>
      <c r="H201" s="951"/>
      <c r="I201" s="950"/>
      <c r="J201" s="907">
        <f t="shared" si="19"/>
        <v>3797</v>
      </c>
      <c r="K201" s="914">
        <f t="shared" si="18"/>
        <v>8.4377777777777769</v>
      </c>
      <c r="L201" s="950">
        <v>1</v>
      </c>
      <c r="M201" s="952">
        <v>1016</v>
      </c>
      <c r="N201" s="953">
        <v>10</v>
      </c>
      <c r="O201" s="3198" t="s">
        <v>72</v>
      </c>
      <c r="P201" s="3204"/>
      <c r="Q201" s="955">
        <v>2</v>
      </c>
      <c r="R201" s="956">
        <v>2</v>
      </c>
      <c r="S201" s="957" t="s">
        <v>73</v>
      </c>
      <c r="T201" s="954">
        <v>184090</v>
      </c>
      <c r="U201" s="307"/>
      <c r="V201" s="339"/>
      <c r="W201" s="340"/>
      <c r="X201" s="865"/>
      <c r="Y201" s="866"/>
    </row>
    <row r="202" spans="2:25" s="299" customFormat="1" ht="48" customHeight="1">
      <c r="B202" s="358">
        <v>0.58333333333333304</v>
      </c>
      <c r="C202" s="326"/>
      <c r="D202" s="958">
        <v>25</v>
      </c>
      <c r="E202" s="727">
        <v>1986</v>
      </c>
      <c r="F202" s="465"/>
      <c r="G202" s="392"/>
      <c r="H202" s="465"/>
      <c r="I202" s="392"/>
      <c r="J202" s="959">
        <f t="shared" si="19"/>
        <v>1986</v>
      </c>
      <c r="K202" s="960">
        <f t="shared" si="18"/>
        <v>4.4133333333333331</v>
      </c>
      <c r="L202" s="727">
        <v>1</v>
      </c>
      <c r="M202" s="828">
        <v>1016</v>
      </c>
      <c r="N202" s="961">
        <v>6</v>
      </c>
      <c r="O202" s="2829" t="s">
        <v>83</v>
      </c>
      <c r="P202" s="3172"/>
      <c r="Q202" s="946">
        <v>2</v>
      </c>
      <c r="R202" s="947">
        <v>2</v>
      </c>
      <c r="S202" s="905" t="s">
        <v>84</v>
      </c>
      <c r="T202" s="917">
        <v>655</v>
      </c>
      <c r="U202" s="307"/>
      <c r="V202" s="2630">
        <f>VLOOKUP(M202,'[1]TABELA FRETE'!$A$6:$B$12,2,0)</f>
        <v>425.7</v>
      </c>
      <c r="W202" s="2631"/>
      <c r="X202" s="2632"/>
      <c r="Y202" s="2633"/>
    </row>
    <row r="203" spans="2:25" s="299" customFormat="1" ht="48" customHeight="1">
      <c r="B203" s="358">
        <v>0.58333333333333304</v>
      </c>
      <c r="C203" s="326"/>
      <c r="D203" s="962">
        <v>6</v>
      </c>
      <c r="E203" s="360">
        <v>3586</v>
      </c>
      <c r="F203" s="641"/>
      <c r="G203" s="375"/>
      <c r="H203" s="445"/>
      <c r="I203" s="360"/>
      <c r="J203" s="898">
        <f t="shared" si="19"/>
        <v>3586</v>
      </c>
      <c r="K203" s="914">
        <f t="shared" si="18"/>
        <v>7.9688888888888885</v>
      </c>
      <c r="L203" s="364">
        <v>1</v>
      </c>
      <c r="M203" s="828">
        <v>1016</v>
      </c>
      <c r="N203" s="961">
        <v>8</v>
      </c>
      <c r="O203" s="2827" t="s">
        <v>106</v>
      </c>
      <c r="P203" s="3163"/>
      <c r="Q203" s="946">
        <v>2</v>
      </c>
      <c r="R203" s="963">
        <v>2</v>
      </c>
      <c r="S203" s="964" t="s">
        <v>107</v>
      </c>
      <c r="T203" s="912">
        <v>606</v>
      </c>
      <c r="U203" s="307"/>
      <c r="V203" s="2630">
        <f>VLOOKUP(M203,'[1]TABELA FRETE'!$A$6:$B$12,2,0)</f>
        <v>425.7</v>
      </c>
      <c r="W203" s="2631"/>
      <c r="X203" s="2694"/>
      <c r="Y203" s="2695"/>
    </row>
    <row r="204" spans="2:25" s="299" customFormat="1" ht="48" customHeight="1">
      <c r="B204" s="358">
        <v>0.58333333333333304</v>
      </c>
      <c r="C204" s="326"/>
      <c r="D204" s="962">
        <v>31</v>
      </c>
      <c r="E204" s="360">
        <v>2823</v>
      </c>
      <c r="F204" s="724"/>
      <c r="G204" s="455"/>
      <c r="H204" s="700"/>
      <c r="I204" s="345"/>
      <c r="J204" s="898">
        <f t="shared" si="19"/>
        <v>2823</v>
      </c>
      <c r="K204" s="914">
        <f t="shared" si="18"/>
        <v>6.2733333333333334</v>
      </c>
      <c r="L204" s="364">
        <v>1</v>
      </c>
      <c r="M204" s="828">
        <v>1016</v>
      </c>
      <c r="N204" s="961">
        <v>8</v>
      </c>
      <c r="O204" s="2829" t="s">
        <v>88</v>
      </c>
      <c r="P204" s="3172"/>
      <c r="Q204" s="946">
        <v>1</v>
      </c>
      <c r="R204" s="947">
        <v>1</v>
      </c>
      <c r="S204" s="905" t="s">
        <v>89</v>
      </c>
      <c r="T204" s="906">
        <v>799</v>
      </c>
      <c r="U204" s="307"/>
      <c r="V204" s="2630">
        <f>VLOOKUP(M204,'[1]TABELA FRETE'!$A$6:$B$12,2,0)</f>
        <v>425.7</v>
      </c>
      <c r="W204" s="2631"/>
      <c r="X204" s="2632"/>
      <c r="Y204" s="2633"/>
    </row>
    <row r="205" spans="2:25" s="299" customFormat="1" ht="48" customHeight="1">
      <c r="B205" s="343">
        <v>0.58333333333333304</v>
      </c>
      <c r="C205" s="326"/>
      <c r="D205" s="654">
        <v>17</v>
      </c>
      <c r="E205" s="345">
        <v>6236</v>
      </c>
      <c r="F205" s="700"/>
      <c r="G205" s="345"/>
      <c r="H205" s="348"/>
      <c r="I205" s="455"/>
      <c r="J205" s="965">
        <f t="shared" si="19"/>
        <v>6236</v>
      </c>
      <c r="K205" s="899">
        <f t="shared" si="18"/>
        <v>13.857777777777779</v>
      </c>
      <c r="L205" s="349">
        <v>1</v>
      </c>
      <c r="M205" s="944" t="s">
        <v>6</v>
      </c>
      <c r="N205" s="945">
        <v>14</v>
      </c>
      <c r="O205" s="2829" t="s">
        <v>64</v>
      </c>
      <c r="P205" s="3172"/>
      <c r="Q205" s="946">
        <v>1</v>
      </c>
      <c r="R205" s="966">
        <v>1</v>
      </c>
      <c r="S205" s="905" t="s">
        <v>65</v>
      </c>
      <c r="T205" s="906">
        <v>598</v>
      </c>
      <c r="U205" s="307"/>
      <c r="V205" s="2630">
        <f>VLOOKUP(M205,'[1]TABELA FRETE'!$A$6:$B$12,2,0)</f>
        <v>489.5</v>
      </c>
      <c r="W205" s="2631"/>
      <c r="X205" s="2632"/>
      <c r="Y205" s="2633"/>
    </row>
    <row r="206" spans="2:25" s="299" customFormat="1" ht="48" customHeight="1">
      <c r="B206" s="343">
        <v>0.58333333333333304</v>
      </c>
      <c r="C206" s="326"/>
      <c r="D206" s="470">
        <v>23</v>
      </c>
      <c r="E206" s="392">
        <v>5956</v>
      </c>
      <c r="F206" s="465"/>
      <c r="G206" s="392"/>
      <c r="H206" s="394"/>
      <c r="I206" s="395"/>
      <c r="J206" s="959">
        <f t="shared" si="19"/>
        <v>5956</v>
      </c>
      <c r="K206" s="960">
        <v>12</v>
      </c>
      <c r="L206" s="727">
        <v>1</v>
      </c>
      <c r="M206" s="828" t="s">
        <v>7</v>
      </c>
      <c r="N206" s="961">
        <v>12</v>
      </c>
      <c r="O206" s="2827" t="s">
        <v>155</v>
      </c>
      <c r="P206" s="3163"/>
      <c r="Q206" s="830">
        <v>2</v>
      </c>
      <c r="R206" s="963">
        <v>2</v>
      </c>
      <c r="S206" s="913" t="s">
        <v>156</v>
      </c>
      <c r="T206" s="906">
        <v>184446</v>
      </c>
      <c r="U206" s="307"/>
      <c r="V206" s="2630">
        <f>VLOOKUP(M206,'[1]TABELA FRETE'!$A$6:$B$12,2,0)</f>
        <v>466.4</v>
      </c>
      <c r="W206" s="2631"/>
      <c r="X206" s="2632"/>
      <c r="Y206" s="2633"/>
    </row>
    <row r="207" spans="2:25" s="299" customFormat="1" ht="48" customHeight="1">
      <c r="B207" s="343">
        <v>0.58333333333333304</v>
      </c>
      <c r="C207" s="326"/>
      <c r="D207" s="942">
        <v>44</v>
      </c>
      <c r="E207" s="360">
        <v>2627</v>
      </c>
      <c r="F207" s="943"/>
      <c r="G207" s="364"/>
      <c r="H207" s="702"/>
      <c r="I207" s="364"/>
      <c r="J207" s="364">
        <f t="shared" si="19"/>
        <v>2627</v>
      </c>
      <c r="K207" s="914">
        <f t="shared" si="18"/>
        <v>5.8377777777777782</v>
      </c>
      <c r="L207" s="364">
        <v>1</v>
      </c>
      <c r="M207" s="828">
        <v>1016</v>
      </c>
      <c r="N207" s="961">
        <v>7</v>
      </c>
      <c r="O207" s="2827" t="s">
        <v>56</v>
      </c>
      <c r="P207" s="3163"/>
      <c r="Q207" s="946">
        <v>1</v>
      </c>
      <c r="R207" s="963">
        <v>1</v>
      </c>
      <c r="S207" s="913" t="s">
        <v>57</v>
      </c>
      <c r="T207" s="906">
        <v>663</v>
      </c>
      <c r="U207" s="432"/>
      <c r="V207" s="2630">
        <f>VLOOKUP(M207,'[1]TABELA FRETE'!$A$6:$B$12,2,0)</f>
        <v>425.7</v>
      </c>
      <c r="W207" s="2631"/>
      <c r="X207" s="2632"/>
      <c r="Y207" s="2633"/>
    </row>
    <row r="208" spans="2:25" s="299" customFormat="1" ht="60" customHeight="1">
      <c r="B208" s="358">
        <v>0.58333333333333304</v>
      </c>
      <c r="C208" s="326"/>
      <c r="D208" s="462" t="s">
        <v>78</v>
      </c>
      <c r="E208" s="360">
        <v>4217</v>
      </c>
      <c r="F208" s="445"/>
      <c r="G208" s="360"/>
      <c r="H208" s="363"/>
      <c r="I208" s="375"/>
      <c r="J208" s="898">
        <f t="shared" si="19"/>
        <v>4217</v>
      </c>
      <c r="K208" s="914">
        <f t="shared" si="18"/>
        <v>9.3711111111111105</v>
      </c>
      <c r="L208" s="364">
        <v>1</v>
      </c>
      <c r="M208" s="944" t="s">
        <v>7</v>
      </c>
      <c r="N208" s="945">
        <v>12</v>
      </c>
      <c r="O208" s="2829" t="s">
        <v>146</v>
      </c>
      <c r="P208" s="3172"/>
      <c r="Q208" s="946">
        <v>1</v>
      </c>
      <c r="R208" s="947">
        <v>1</v>
      </c>
      <c r="S208" s="913" t="s">
        <v>147</v>
      </c>
      <c r="T208" s="967">
        <v>91</v>
      </c>
      <c r="U208" s="307"/>
      <c r="V208" s="2630">
        <f>VLOOKUP(M208,'[1]TABELA FRETE'!$A$6:$B$12,2,0)</f>
        <v>466.4</v>
      </c>
      <c r="W208" s="2631"/>
      <c r="X208" s="2632"/>
      <c r="Y208" s="2633"/>
    </row>
    <row r="209" spans="2:25" s="299" customFormat="1" ht="48" customHeight="1">
      <c r="B209" s="358">
        <v>0.58333333333333304</v>
      </c>
      <c r="C209" s="326"/>
      <c r="D209" s="462">
        <v>10</v>
      </c>
      <c r="E209" s="360">
        <v>4018</v>
      </c>
      <c r="F209" s="445"/>
      <c r="G209" s="360"/>
      <c r="H209" s="363"/>
      <c r="I209" s="375"/>
      <c r="J209" s="898">
        <f t="shared" si="19"/>
        <v>4018</v>
      </c>
      <c r="K209" s="914">
        <f t="shared" si="18"/>
        <v>8.9288888888888884</v>
      </c>
      <c r="L209" s="364">
        <v>1</v>
      </c>
      <c r="M209" s="944" t="s">
        <v>7</v>
      </c>
      <c r="N209" s="945">
        <v>12</v>
      </c>
      <c r="O209" s="2827" t="s">
        <v>153</v>
      </c>
      <c r="P209" s="3163"/>
      <c r="Q209" s="946">
        <v>1</v>
      </c>
      <c r="R209" s="947">
        <v>1</v>
      </c>
      <c r="S209" s="905" t="s">
        <v>154</v>
      </c>
      <c r="T209" s="917">
        <v>664</v>
      </c>
      <c r="U209" s="307"/>
      <c r="V209" s="2630">
        <f>VLOOKUP(M209,'[1]TABELA FRETE'!$A$6:$B$12,2,0)</f>
        <v>466.4</v>
      </c>
      <c r="W209" s="2631"/>
      <c r="X209" s="2632"/>
      <c r="Y209" s="2633"/>
    </row>
    <row r="210" spans="2:25" s="299" customFormat="1" ht="48" customHeight="1">
      <c r="B210" s="343">
        <v>0.58333333333333304</v>
      </c>
      <c r="C210" s="471"/>
      <c r="D210" s="654">
        <v>40</v>
      </c>
      <c r="E210" s="345">
        <v>5500</v>
      </c>
      <c r="F210" s="700"/>
      <c r="G210" s="345"/>
      <c r="H210" s="700"/>
      <c r="I210" s="345"/>
      <c r="J210" s="965">
        <f t="shared" si="19"/>
        <v>5500</v>
      </c>
      <c r="K210" s="899">
        <f t="shared" si="18"/>
        <v>12.222222222222221</v>
      </c>
      <c r="L210" s="349">
        <v>1</v>
      </c>
      <c r="M210" s="944" t="s">
        <v>7</v>
      </c>
      <c r="N210" s="945">
        <v>12</v>
      </c>
      <c r="O210" s="2910" t="s">
        <v>62</v>
      </c>
      <c r="P210" s="2911"/>
      <c r="Q210" s="946">
        <v>2</v>
      </c>
      <c r="R210" s="947">
        <v>2</v>
      </c>
      <c r="S210" s="905" t="s">
        <v>63</v>
      </c>
      <c r="T210" s="917">
        <v>740</v>
      </c>
      <c r="U210" s="307"/>
      <c r="V210" s="2630">
        <f>VLOOKUP(M210,'[1]TABELA FRETE'!$A$6:$B$12,2,0)</f>
        <v>466.4</v>
      </c>
      <c r="W210" s="2631"/>
      <c r="X210" s="2632"/>
      <c r="Y210" s="2633"/>
    </row>
    <row r="211" spans="2:25" s="299" customFormat="1" ht="48" customHeight="1">
      <c r="B211" s="343">
        <v>0.58333333333333304</v>
      </c>
      <c r="C211" s="326"/>
      <c r="D211" s="968">
        <v>40</v>
      </c>
      <c r="E211" s="460">
        <v>3319</v>
      </c>
      <c r="F211" s="700"/>
      <c r="G211" s="460"/>
      <c r="H211" s="969"/>
      <c r="I211" s="460"/>
      <c r="J211" s="965">
        <f t="shared" si="19"/>
        <v>3319</v>
      </c>
      <c r="K211" s="899">
        <f t="shared" si="18"/>
        <v>7.3755555555555556</v>
      </c>
      <c r="L211" s="349">
        <v>1</v>
      </c>
      <c r="M211" s="828">
        <v>1016</v>
      </c>
      <c r="N211" s="961">
        <v>8</v>
      </c>
      <c r="O211" s="2827" t="s">
        <v>157</v>
      </c>
      <c r="P211" s="3163"/>
      <c r="Q211" s="946">
        <v>1</v>
      </c>
      <c r="R211" s="963">
        <v>1</v>
      </c>
      <c r="S211" s="913" t="s">
        <v>196</v>
      </c>
      <c r="T211" s="906">
        <v>642</v>
      </c>
      <c r="U211" s="307"/>
      <c r="V211" s="2630">
        <f>VLOOKUP(M211,'[1]TABELA FRETE'!$A$6:$B$12,2,0)</f>
        <v>425.7</v>
      </c>
      <c r="W211" s="2631"/>
      <c r="X211" s="2632"/>
      <c r="Y211" s="2633"/>
    </row>
    <row r="212" spans="2:25" s="299" customFormat="1" ht="48" customHeight="1">
      <c r="B212" s="463">
        <v>0.58333333333333304</v>
      </c>
      <c r="C212" s="326"/>
      <c r="D212" s="470">
        <v>32</v>
      </c>
      <c r="E212" s="392">
        <v>3187</v>
      </c>
      <c r="F212" s="445"/>
      <c r="G212" s="392"/>
      <c r="H212" s="465"/>
      <c r="I212" s="392"/>
      <c r="J212" s="898">
        <f t="shared" si="19"/>
        <v>3187</v>
      </c>
      <c r="K212" s="914">
        <f t="shared" si="18"/>
        <v>7.0822222222222226</v>
      </c>
      <c r="L212" s="727">
        <v>1</v>
      </c>
      <c r="M212" s="828">
        <v>1016</v>
      </c>
      <c r="N212" s="961">
        <v>8</v>
      </c>
      <c r="O212" s="2827" t="s">
        <v>44</v>
      </c>
      <c r="P212" s="3163"/>
      <c r="Q212" s="946">
        <v>2</v>
      </c>
      <c r="R212" s="963">
        <v>2</v>
      </c>
      <c r="S212" s="913" t="s">
        <v>197</v>
      </c>
      <c r="T212" s="906">
        <v>674</v>
      </c>
      <c r="U212" s="307"/>
      <c r="V212" s="2630">
        <f>VLOOKUP(M212,'[1]TABELA FRETE'!$A$6:$B$12,2,0)</f>
        <v>425.7</v>
      </c>
      <c r="W212" s="2631"/>
      <c r="X212" s="2632"/>
      <c r="Y212" s="2633"/>
    </row>
    <row r="213" spans="2:25" s="299" customFormat="1" ht="48" customHeight="1">
      <c r="B213" s="463">
        <v>0.58333333333333304</v>
      </c>
      <c r="C213" s="326"/>
      <c r="D213" s="470">
        <v>42</v>
      </c>
      <c r="E213" s="392">
        <v>3077</v>
      </c>
      <c r="F213" s="465"/>
      <c r="G213" s="392"/>
      <c r="H213" s="465"/>
      <c r="I213" s="392"/>
      <c r="J213" s="898">
        <f t="shared" si="19"/>
        <v>3077</v>
      </c>
      <c r="K213" s="914">
        <f t="shared" si="18"/>
        <v>6.8377777777777782</v>
      </c>
      <c r="L213" s="727">
        <v>1</v>
      </c>
      <c r="M213" s="970">
        <v>1016</v>
      </c>
      <c r="N213" s="971">
        <v>8</v>
      </c>
      <c r="O213" s="3156" t="s">
        <v>159</v>
      </c>
      <c r="P213" s="3183"/>
      <c r="Q213" s="973">
        <v>1</v>
      </c>
      <c r="R213" s="974">
        <v>1</v>
      </c>
      <c r="S213" s="975" t="s">
        <v>160</v>
      </c>
      <c r="T213" s="972">
        <v>456</v>
      </c>
      <c r="U213" s="307"/>
      <c r="V213" s="2630">
        <f>VLOOKUP(M213,'[1]TABELA FRETE'!$A$6:$B$12,2,0)</f>
        <v>425.7</v>
      </c>
      <c r="W213" s="2631"/>
      <c r="X213" s="2632"/>
      <c r="Y213" s="2633"/>
    </row>
    <row r="214" spans="2:25" s="299" customFormat="1" ht="48" customHeight="1">
      <c r="B214" s="463">
        <v>0.58333333333333304</v>
      </c>
      <c r="C214" s="326"/>
      <c r="D214" s="470">
        <v>36</v>
      </c>
      <c r="E214" s="392">
        <v>3090</v>
      </c>
      <c r="F214" s="465"/>
      <c r="G214" s="392"/>
      <c r="H214" s="465"/>
      <c r="I214" s="392"/>
      <c r="J214" s="898">
        <f t="shared" si="19"/>
        <v>3090</v>
      </c>
      <c r="K214" s="914">
        <f t="shared" si="18"/>
        <v>6.8666666666666663</v>
      </c>
      <c r="L214" s="727">
        <v>1</v>
      </c>
      <c r="M214" s="828">
        <v>1016</v>
      </c>
      <c r="N214" s="961">
        <v>8</v>
      </c>
      <c r="O214" s="2827" t="s">
        <v>150</v>
      </c>
      <c r="P214" s="3163"/>
      <c r="Q214" s="946">
        <v>1</v>
      </c>
      <c r="R214" s="963">
        <v>1</v>
      </c>
      <c r="S214" s="913" t="s">
        <v>151</v>
      </c>
      <c r="T214" s="906">
        <v>642</v>
      </c>
      <c r="U214" s="307"/>
      <c r="V214" s="339"/>
      <c r="W214" s="340"/>
      <c r="X214" s="865"/>
      <c r="Y214" s="866"/>
    </row>
    <row r="215" spans="2:25" s="299" customFormat="1" ht="48" customHeight="1">
      <c r="B215" s="463">
        <v>0.58333333333333304</v>
      </c>
      <c r="C215" s="326"/>
      <c r="D215" s="470">
        <v>3</v>
      </c>
      <c r="E215" s="392">
        <v>2511</v>
      </c>
      <c r="F215" s="465"/>
      <c r="G215" s="392"/>
      <c r="H215" s="465"/>
      <c r="I215" s="392"/>
      <c r="J215" s="898">
        <f t="shared" si="19"/>
        <v>2511</v>
      </c>
      <c r="K215" s="914">
        <f t="shared" si="18"/>
        <v>5.58</v>
      </c>
      <c r="L215" s="727">
        <v>1</v>
      </c>
      <c r="M215" s="976">
        <v>1016</v>
      </c>
      <c r="N215" s="977">
        <v>6</v>
      </c>
      <c r="O215" s="2827" t="s">
        <v>139</v>
      </c>
      <c r="P215" s="3163"/>
      <c r="Q215" s="830">
        <v>1</v>
      </c>
      <c r="R215" s="963">
        <v>1</v>
      </c>
      <c r="S215" s="913" t="s">
        <v>140</v>
      </c>
      <c r="T215" s="906">
        <v>809</v>
      </c>
      <c r="U215" s="307"/>
      <c r="V215" s="2630">
        <f>VLOOKUP(M215,'[1]TABELA FRETE'!$A$6:$B$12,2,0)</f>
        <v>425.7</v>
      </c>
      <c r="W215" s="2631"/>
      <c r="X215" s="2632"/>
      <c r="Y215" s="2633"/>
    </row>
    <row r="216" spans="2:25" s="299" customFormat="1" ht="48" customHeight="1">
      <c r="B216" s="463">
        <v>0.58333333333333304</v>
      </c>
      <c r="C216" s="326"/>
      <c r="D216" s="470">
        <v>26</v>
      </c>
      <c r="E216" s="392">
        <v>4022</v>
      </c>
      <c r="F216" s="465"/>
      <c r="G216" s="392"/>
      <c r="H216" s="465"/>
      <c r="I216" s="392"/>
      <c r="J216" s="898">
        <f t="shared" si="19"/>
        <v>4022</v>
      </c>
      <c r="K216" s="914">
        <f t="shared" si="18"/>
        <v>8.9377777777777769</v>
      </c>
      <c r="L216" s="727">
        <v>1</v>
      </c>
      <c r="M216" s="828" t="s">
        <v>7</v>
      </c>
      <c r="N216" s="961">
        <v>12</v>
      </c>
      <c r="O216" s="2827" t="s">
        <v>94</v>
      </c>
      <c r="P216" s="3163"/>
      <c r="Q216" s="830">
        <v>1</v>
      </c>
      <c r="R216" s="963">
        <v>1</v>
      </c>
      <c r="S216" s="913" t="s">
        <v>95</v>
      </c>
      <c r="T216" s="906">
        <v>184422</v>
      </c>
      <c r="U216" s="307"/>
      <c r="V216" s="339"/>
      <c r="W216" s="340"/>
      <c r="X216" s="865"/>
      <c r="Y216" s="866"/>
    </row>
    <row r="217" spans="2:25" s="299" customFormat="1" ht="60" customHeight="1">
      <c r="B217" s="463">
        <v>0.58333333333333304</v>
      </c>
      <c r="C217" s="326"/>
      <c r="D217" s="462">
        <v>1129</v>
      </c>
      <c r="E217" s="360">
        <v>3456</v>
      </c>
      <c r="F217" s="445" t="s">
        <v>198</v>
      </c>
      <c r="G217" s="375">
        <v>2366</v>
      </c>
      <c r="H217" s="445"/>
      <c r="I217" s="858"/>
      <c r="J217" s="364">
        <f t="shared" si="19"/>
        <v>5822</v>
      </c>
      <c r="K217" s="914">
        <f>J217/480</f>
        <v>12.129166666666666</v>
      </c>
      <c r="L217" s="364">
        <v>1</v>
      </c>
      <c r="M217" s="828" t="s">
        <v>7</v>
      </c>
      <c r="N217" s="961">
        <v>12</v>
      </c>
      <c r="O217" s="2998" t="s">
        <v>199</v>
      </c>
      <c r="P217" s="3215"/>
      <c r="Q217" s="830">
        <v>2</v>
      </c>
      <c r="R217" s="963">
        <v>2</v>
      </c>
      <c r="S217" s="979" t="s">
        <v>200</v>
      </c>
      <c r="T217" s="978">
        <v>804</v>
      </c>
      <c r="U217" s="307"/>
      <c r="V217" s="339"/>
      <c r="W217" s="340"/>
      <c r="X217" s="980"/>
      <c r="Y217" s="981"/>
    </row>
    <row r="218" spans="2:25" s="299" customFormat="1" ht="47.25" customHeight="1">
      <c r="B218" s="408">
        <v>0.58333333333333304</v>
      </c>
      <c r="C218" s="326"/>
      <c r="D218" s="982">
        <v>46</v>
      </c>
      <c r="E218" s="600">
        <v>3212</v>
      </c>
      <c r="F218" s="983"/>
      <c r="G218" s="600"/>
      <c r="H218" s="478"/>
      <c r="I218" s="984"/>
      <c r="J218" s="985">
        <f t="shared" si="19"/>
        <v>3212</v>
      </c>
      <c r="K218" s="986">
        <f t="shared" si="18"/>
        <v>7.137777777777778</v>
      </c>
      <c r="L218" s="602">
        <v>1</v>
      </c>
      <c r="M218" s="987">
        <v>1016</v>
      </c>
      <c r="N218" s="988">
        <v>8</v>
      </c>
      <c r="O218" s="2831" t="s">
        <v>90</v>
      </c>
      <c r="P218" s="2832"/>
      <c r="Q218" s="989">
        <v>2</v>
      </c>
      <c r="R218" s="882">
        <v>2</v>
      </c>
      <c r="S218" s="883" t="s">
        <v>91</v>
      </c>
      <c r="T218" s="881">
        <v>674</v>
      </c>
      <c r="U218" s="307"/>
      <c r="V218" s="2630">
        <f>VLOOKUP(M218,'[1]TABELA FRETE'!$A$6:$B$12,2,0)</f>
        <v>425.7</v>
      </c>
      <c r="W218" s="2631"/>
      <c r="X218" s="2694"/>
      <c r="Y218" s="2695"/>
    </row>
    <row r="219" spans="2:25" s="301" customFormat="1" ht="6" customHeight="1">
      <c r="B219" s="326"/>
      <c r="C219" s="326"/>
      <c r="D219" s="487"/>
      <c r="E219" s="423"/>
      <c r="F219" s="488"/>
      <c r="G219" s="423"/>
      <c r="H219" s="424"/>
      <c r="I219" s="423"/>
      <c r="J219" s="423"/>
      <c r="K219" s="425"/>
      <c r="L219" s="423"/>
      <c r="M219" s="426"/>
      <c r="N219" s="427"/>
      <c r="O219" s="431"/>
      <c r="P219" s="431"/>
      <c r="Q219" s="429"/>
      <c r="R219" s="431"/>
      <c r="S219" s="489"/>
      <c r="T219" s="431"/>
      <c r="U219" s="432"/>
      <c r="V219" s="679"/>
      <c r="W219" s="679"/>
      <c r="X219" s="434"/>
      <c r="Y219" s="434"/>
    </row>
    <row r="220" spans="2:25" s="299" customFormat="1" ht="48" customHeight="1">
      <c r="B220" s="325">
        <v>0.70833333333333304</v>
      </c>
      <c r="C220" s="326"/>
      <c r="D220" s="990">
        <v>33</v>
      </c>
      <c r="E220" s="991">
        <v>3451</v>
      </c>
      <c r="F220" s="490"/>
      <c r="G220" s="328"/>
      <c r="H220" s="992"/>
      <c r="I220" s="624"/>
      <c r="J220" s="624">
        <f t="shared" si="19"/>
        <v>3451</v>
      </c>
      <c r="K220" s="993">
        <f t="shared" si="18"/>
        <v>7.6688888888888886</v>
      </c>
      <c r="L220" s="715">
        <v>1</v>
      </c>
      <c r="M220" s="994">
        <v>1016</v>
      </c>
      <c r="N220" s="995">
        <v>8</v>
      </c>
      <c r="O220" s="3051" t="s">
        <v>92</v>
      </c>
      <c r="P220" s="3214"/>
      <c r="Q220" s="498">
        <v>2</v>
      </c>
      <c r="R220" s="996">
        <v>2</v>
      </c>
      <c r="S220" s="997" t="s">
        <v>93</v>
      </c>
      <c r="T220" s="588">
        <v>576</v>
      </c>
      <c r="U220" s="307"/>
      <c r="V220" s="2630">
        <f>VLOOKUP(M220,'[1]TABELA FRETE'!$A$6:$B$12,2,0)</f>
        <v>425.7</v>
      </c>
      <c r="W220" s="2631"/>
      <c r="X220" s="2632"/>
      <c r="Y220" s="2633"/>
    </row>
    <row r="221" spans="2:25" s="299" customFormat="1" ht="48" customHeight="1">
      <c r="B221" s="463">
        <v>0.70833333333333304</v>
      </c>
      <c r="C221" s="326"/>
      <c r="D221" s="998">
        <v>21</v>
      </c>
      <c r="E221" s="999">
        <v>3670</v>
      </c>
      <c r="F221" s="1000"/>
      <c r="G221" s="360"/>
      <c r="H221" s="1001"/>
      <c r="I221" s="1002"/>
      <c r="J221" s="541">
        <f t="shared" si="19"/>
        <v>3670</v>
      </c>
      <c r="K221" s="1003">
        <f t="shared" si="18"/>
        <v>8.155555555555555</v>
      </c>
      <c r="L221" s="375">
        <v>1</v>
      </c>
      <c r="M221" s="1004">
        <v>1016</v>
      </c>
      <c r="N221" s="1005">
        <v>8</v>
      </c>
      <c r="O221" s="2692" t="s">
        <v>81</v>
      </c>
      <c r="P221" s="2912"/>
      <c r="Q221" s="388">
        <v>1</v>
      </c>
      <c r="R221" s="1007">
        <v>1</v>
      </c>
      <c r="S221" s="1008" t="s">
        <v>163</v>
      </c>
      <c r="T221" s="1009">
        <v>606</v>
      </c>
      <c r="U221" s="307"/>
      <c r="V221" s="2630">
        <f>VLOOKUP(M221,'[1]TABELA FRETE'!$A$6:$B$12,2,0)</f>
        <v>425.7</v>
      </c>
      <c r="W221" s="2631"/>
      <c r="X221" s="2632"/>
      <c r="Y221" s="2633"/>
    </row>
    <row r="222" spans="2:25" s="299" customFormat="1" ht="48" customHeight="1">
      <c r="B222" s="358">
        <v>0.70833333333333304</v>
      </c>
      <c r="C222" s="326"/>
      <c r="D222" s="998">
        <v>30</v>
      </c>
      <c r="E222" s="999">
        <v>3166</v>
      </c>
      <c r="F222" s="723"/>
      <c r="G222" s="345"/>
      <c r="H222" s="1001"/>
      <c r="I222" s="1002"/>
      <c r="J222" s="541">
        <f t="shared" si="19"/>
        <v>3166</v>
      </c>
      <c r="K222" s="1003">
        <f t="shared" si="18"/>
        <v>7.0355555555555558</v>
      </c>
      <c r="L222" s="375">
        <v>1</v>
      </c>
      <c r="M222" s="869">
        <v>1016</v>
      </c>
      <c r="N222" s="870">
        <v>8</v>
      </c>
      <c r="O222" s="2628" t="s">
        <v>44</v>
      </c>
      <c r="P222" s="2926"/>
      <c r="Q222" s="388">
        <v>2</v>
      </c>
      <c r="R222" s="451">
        <v>2</v>
      </c>
      <c r="S222" s="871" t="s">
        <v>103</v>
      </c>
      <c r="T222" s="451">
        <v>674</v>
      </c>
      <c r="U222" s="307"/>
      <c r="V222" s="2630">
        <f>VLOOKUP(M222,'[1]TABELA FRETE'!$A$6:$B$12,2,0)</f>
        <v>425.7</v>
      </c>
      <c r="W222" s="2631"/>
      <c r="X222" s="2632"/>
      <c r="Y222" s="2633"/>
    </row>
    <row r="223" spans="2:25" s="299" customFormat="1" ht="48" customHeight="1">
      <c r="B223" s="358">
        <v>0.70833333333333304</v>
      </c>
      <c r="C223" s="326"/>
      <c r="D223" s="998">
        <v>27</v>
      </c>
      <c r="E223" s="999">
        <v>1606</v>
      </c>
      <c r="F223" s="1010" t="s">
        <v>201</v>
      </c>
      <c r="G223" s="345">
        <v>2674</v>
      </c>
      <c r="H223" s="1011"/>
      <c r="I223" s="1012"/>
      <c r="J223" s="541">
        <f t="shared" si="19"/>
        <v>4280</v>
      </c>
      <c r="K223" s="1003">
        <f t="shared" si="18"/>
        <v>9.5111111111111111</v>
      </c>
      <c r="L223" s="375">
        <v>1</v>
      </c>
      <c r="M223" s="901" t="s">
        <v>7</v>
      </c>
      <c r="N223" s="902">
        <v>12</v>
      </c>
      <c r="O223" s="2910" t="s">
        <v>62</v>
      </c>
      <c r="P223" s="3162"/>
      <c r="Q223" s="947">
        <v>2</v>
      </c>
      <c r="R223" s="1013">
        <v>3</v>
      </c>
      <c r="S223" s="905" t="s">
        <v>63</v>
      </c>
      <c r="T223" s="917">
        <v>740</v>
      </c>
      <c r="U223" s="432"/>
      <c r="V223" s="2630">
        <f>VLOOKUP(M223,'[1]TABELA FRETE'!$A$6:$B$12,2,0)</f>
        <v>466.4</v>
      </c>
      <c r="W223" s="2631"/>
      <c r="X223" s="2632"/>
      <c r="Y223" s="2633"/>
    </row>
    <row r="224" spans="2:25" s="299" customFormat="1" ht="48" customHeight="1">
      <c r="B224" s="358">
        <v>0.70833333333333304</v>
      </c>
      <c r="C224" s="326"/>
      <c r="D224" s="998">
        <v>4</v>
      </c>
      <c r="E224" s="999">
        <v>1565</v>
      </c>
      <c r="F224" s="1010" t="s">
        <v>202</v>
      </c>
      <c r="G224" s="345">
        <v>1936</v>
      </c>
      <c r="H224" s="1014"/>
      <c r="I224" s="1002"/>
      <c r="J224" s="541">
        <f t="shared" si="19"/>
        <v>3501</v>
      </c>
      <c r="K224" s="1003">
        <f t="shared" si="18"/>
        <v>7.78</v>
      </c>
      <c r="L224" s="375">
        <v>1</v>
      </c>
      <c r="M224" s="1015">
        <v>1016</v>
      </c>
      <c r="N224" s="902">
        <v>8</v>
      </c>
      <c r="O224" s="2829" t="s">
        <v>85</v>
      </c>
      <c r="P224" s="2830"/>
      <c r="Q224" s="947">
        <v>2</v>
      </c>
      <c r="R224" s="1013">
        <v>3</v>
      </c>
      <c r="S224" s="905" t="s">
        <v>86</v>
      </c>
      <c r="T224" s="917">
        <v>714</v>
      </c>
      <c r="U224" s="432"/>
      <c r="V224" s="2630">
        <f>VLOOKUP(M224,'[1]TABELA FRETE'!$A$6:$B$12,2,0)</f>
        <v>425.7</v>
      </c>
      <c r="W224" s="2631"/>
      <c r="X224" s="2632"/>
      <c r="Y224" s="2633"/>
    </row>
    <row r="225" spans="2:25" s="299" customFormat="1" ht="48" customHeight="1">
      <c r="B225" s="463">
        <v>0.70833333333333304</v>
      </c>
      <c r="C225" s="326"/>
      <c r="D225" s="998">
        <v>7</v>
      </c>
      <c r="E225" s="999">
        <v>4956</v>
      </c>
      <c r="F225" s="516"/>
      <c r="G225" s="375"/>
      <c r="H225" s="1001"/>
      <c r="I225" s="1002"/>
      <c r="J225" s="541">
        <f t="shared" si="19"/>
        <v>4956</v>
      </c>
      <c r="K225" s="1003">
        <f t="shared" si="18"/>
        <v>11.013333333333334</v>
      </c>
      <c r="L225" s="375">
        <v>1</v>
      </c>
      <c r="M225" s="1016" t="s">
        <v>7</v>
      </c>
      <c r="N225" s="1017">
        <v>12</v>
      </c>
      <c r="O225" s="2927" t="s">
        <v>50</v>
      </c>
      <c r="P225" s="2928"/>
      <c r="Q225" s="596">
        <v>2</v>
      </c>
      <c r="R225" s="597">
        <v>2</v>
      </c>
      <c r="S225" s="598" t="s">
        <v>105</v>
      </c>
      <c r="T225" s="597">
        <v>612</v>
      </c>
      <c r="U225" s="307"/>
      <c r="V225" s="2630">
        <f>VLOOKUP(M225,'[1]TABELA FRETE'!$A$6:$B$12,2,0)</f>
        <v>466.4</v>
      </c>
      <c r="W225" s="2631"/>
      <c r="X225" s="2632"/>
      <c r="Y225" s="2633"/>
    </row>
    <row r="226" spans="2:25" s="299" customFormat="1" ht="48" customHeight="1">
      <c r="B226" s="463">
        <v>0.70833333333333304</v>
      </c>
      <c r="C226" s="326"/>
      <c r="D226" s="1019">
        <v>48</v>
      </c>
      <c r="E226" s="1020">
        <v>3077</v>
      </c>
      <c r="F226" s="726"/>
      <c r="G226" s="395"/>
      <c r="H226" s="1021"/>
      <c r="I226" s="1022"/>
      <c r="J226" s="541">
        <f t="shared" si="19"/>
        <v>3077</v>
      </c>
      <c r="K226" s="1003">
        <f t="shared" si="18"/>
        <v>6.8377777777777782</v>
      </c>
      <c r="L226" s="395">
        <v>1</v>
      </c>
      <c r="M226" s="869">
        <v>1016</v>
      </c>
      <c r="N226" s="870">
        <v>8</v>
      </c>
      <c r="O226" s="2692" t="s">
        <v>88</v>
      </c>
      <c r="P226" s="2912"/>
      <c r="Q226" s="388">
        <v>1</v>
      </c>
      <c r="R226" s="1007">
        <v>1</v>
      </c>
      <c r="S226" s="1008" t="s">
        <v>184</v>
      </c>
      <c r="T226" s="451">
        <v>799</v>
      </c>
      <c r="U226" s="307"/>
      <c r="V226" s="2630">
        <f>VLOOKUP(M226,'[1]TABELA FRETE'!$A$6:$B$12,2,0)</f>
        <v>425.7</v>
      </c>
      <c r="W226" s="2631"/>
      <c r="X226" s="2632"/>
      <c r="Y226" s="2633"/>
    </row>
    <row r="227" spans="2:25" s="299" customFormat="1" ht="48" customHeight="1">
      <c r="B227" s="408">
        <v>0.70833333333333304</v>
      </c>
      <c r="C227" s="326"/>
      <c r="D227" s="1023">
        <v>13</v>
      </c>
      <c r="E227" s="1024">
        <v>3298</v>
      </c>
      <c r="F227" s="542"/>
      <c r="G227" s="544"/>
      <c r="H227" s="1025"/>
      <c r="I227" s="1026"/>
      <c r="J227" s="1026">
        <f t="shared" si="19"/>
        <v>3298</v>
      </c>
      <c r="K227" s="1027">
        <f t="shared" si="18"/>
        <v>7.3288888888888888</v>
      </c>
      <c r="L227" s="544">
        <v>1</v>
      </c>
      <c r="M227" s="840" t="s">
        <v>7</v>
      </c>
      <c r="N227" s="1028">
        <v>12</v>
      </c>
      <c r="O227" s="2929" t="s">
        <v>68</v>
      </c>
      <c r="P227" s="2930"/>
      <c r="Q227" s="551">
        <v>1</v>
      </c>
      <c r="R227" s="670">
        <v>1</v>
      </c>
      <c r="S227" s="1029" t="s">
        <v>174</v>
      </c>
      <c r="T227" s="670">
        <v>808</v>
      </c>
      <c r="U227" s="307"/>
      <c r="V227" s="2630">
        <v>1161.5999999999999</v>
      </c>
      <c r="W227" s="2631"/>
      <c r="X227" s="2694"/>
      <c r="Y227" s="2695"/>
    </row>
    <row r="228" spans="2:25" s="299" customFormat="1" ht="46.5" customHeight="1">
      <c r="B228" s="554" t="s">
        <v>108</v>
      </c>
      <c r="C228" s="1030"/>
      <c r="D228" s="556"/>
      <c r="E228" s="557">
        <f>SUM(E168:E227)</f>
        <v>198514</v>
      </c>
      <c r="F228" s="557" t="s">
        <v>109</v>
      </c>
      <c r="G228" s="557">
        <f>SUM(G168:G227)</f>
        <v>22584</v>
      </c>
      <c r="H228" s="557" t="s">
        <v>109</v>
      </c>
      <c r="I228" s="319">
        <f>SUM(I168:I227)</f>
        <v>0</v>
      </c>
      <c r="J228" s="319">
        <f t="shared" si="19"/>
        <v>221098</v>
      </c>
      <c r="K228" s="558">
        <f>SUM(K168:K227)</f>
        <v>476.79666666666674</v>
      </c>
      <c r="L228" s="559">
        <f>SUM(L168:L227)</f>
        <v>56</v>
      </c>
      <c r="M228" s="560" t="s">
        <v>110</v>
      </c>
      <c r="N228" s="554">
        <f>SUM(N168:N227)</f>
        <v>533</v>
      </c>
      <c r="O228" s="557" t="s">
        <v>32</v>
      </c>
      <c r="P228" s="557"/>
      <c r="Q228" s="319"/>
      <c r="R228" s="561">
        <f>SUM(R179:R227)</f>
        <v>69</v>
      </c>
      <c r="S228" s="562" t="s">
        <v>111</v>
      </c>
      <c r="T228" s="1031"/>
      <c r="U228" s="307"/>
      <c r="V228" s="2558">
        <f>SUM(V168:W227)</f>
        <v>22075.900000000012</v>
      </c>
      <c r="W228" s="2559"/>
      <c r="X228" s="2564">
        <f>COUNT(X168:Y227)</f>
        <v>0</v>
      </c>
      <c r="Y228" s="2565"/>
    </row>
    <row r="229" spans="2:25" s="299" customFormat="1" ht="40.5" customHeight="1">
      <c r="B229" s="2853" t="s">
        <v>112</v>
      </c>
      <c r="C229" s="2899"/>
      <c r="D229" s="2899"/>
      <c r="E229" s="2899"/>
      <c r="F229" s="2899"/>
      <c r="G229" s="2899"/>
      <c r="H229" s="2899"/>
      <c r="I229" s="2899"/>
      <c r="J229" s="2899"/>
      <c r="K229" s="564">
        <v>44</v>
      </c>
      <c r="L229" s="2899" t="s">
        <v>113</v>
      </c>
      <c r="M229" s="2854"/>
      <c r="N229" s="2915" t="s">
        <v>114</v>
      </c>
      <c r="O229" s="2916"/>
      <c r="P229" s="2916"/>
      <c r="Q229" s="2916"/>
      <c r="R229" s="2917"/>
      <c r="S229" s="2915" t="s">
        <v>115</v>
      </c>
      <c r="T229" s="2917"/>
      <c r="U229" s="307"/>
      <c r="V229" s="2560"/>
      <c r="W229" s="2561"/>
      <c r="X229" s="2566"/>
      <c r="Y229" s="2567"/>
    </row>
    <row r="230" spans="2:25" s="299" customFormat="1" ht="6.75" customHeight="1">
      <c r="B230" s="2570" t="s">
        <v>116</v>
      </c>
      <c r="C230" s="2571"/>
      <c r="D230" s="2571"/>
      <c r="E230" s="2574">
        <f>L228</f>
        <v>56</v>
      </c>
      <c r="F230" s="2570" t="s">
        <v>30</v>
      </c>
      <c r="G230" s="2571"/>
      <c r="H230" s="2574">
        <f>J228</f>
        <v>221098</v>
      </c>
      <c r="I230" s="2575"/>
      <c r="J230" s="2571" t="s">
        <v>117</v>
      </c>
      <c r="K230" s="2575">
        <f>H230/E230</f>
        <v>3948.1785714285716</v>
      </c>
      <c r="L230" s="2574" t="s">
        <v>118</v>
      </c>
      <c r="M230" s="2574"/>
      <c r="N230" s="2574"/>
      <c r="O230" s="2575">
        <v>44</v>
      </c>
      <c r="P230" s="565"/>
      <c r="Q230" s="565"/>
      <c r="R230" s="565"/>
      <c r="S230" s="565"/>
      <c r="T230" s="566"/>
      <c r="U230" s="307"/>
      <c r="V230" s="2562"/>
      <c r="W230" s="2563"/>
      <c r="X230" s="2568"/>
      <c r="Y230" s="2569"/>
    </row>
    <row r="231" spans="2:25" s="299" customFormat="1" ht="40.5" customHeight="1">
      <c r="B231" s="2572"/>
      <c r="C231" s="2573"/>
      <c r="D231" s="2573"/>
      <c r="E231" s="2576"/>
      <c r="F231" s="2572"/>
      <c r="G231" s="2573"/>
      <c r="H231" s="2576"/>
      <c r="I231" s="2577"/>
      <c r="J231" s="2573"/>
      <c r="K231" s="2577"/>
      <c r="L231" s="2576"/>
      <c r="M231" s="2576"/>
      <c r="N231" s="2576"/>
      <c r="O231" s="2577"/>
      <c r="P231" s="567"/>
      <c r="Q231" s="2663" t="s">
        <v>119</v>
      </c>
      <c r="R231" s="2664"/>
      <c r="S231" s="2664"/>
      <c r="T231" s="2665"/>
      <c r="U231" s="307"/>
      <c r="V231" s="2578" t="s">
        <v>120</v>
      </c>
      <c r="W231" s="2579"/>
      <c r="X231" s="2582" t="s">
        <v>121</v>
      </c>
      <c r="Y231" s="2583"/>
    </row>
    <row r="232" spans="2:25" s="299" customFormat="1" ht="51" customHeight="1">
      <c r="B232" s="2887" t="s">
        <v>122</v>
      </c>
      <c r="C232" s="2733" t="s">
        <v>33</v>
      </c>
      <c r="D232" s="2734"/>
      <c r="E232" s="2541" t="s">
        <v>123</v>
      </c>
      <c r="F232" s="2542"/>
      <c r="G232" s="2542"/>
      <c r="H232" s="2542"/>
      <c r="I232" s="2542"/>
      <c r="J232" s="2542"/>
      <c r="K232" s="2542"/>
      <c r="L232" s="2542"/>
      <c r="M232" s="2542"/>
      <c r="N232" s="2542"/>
      <c r="O232" s="2543"/>
      <c r="P232" s="568"/>
      <c r="Q232" s="2680" t="s">
        <v>124</v>
      </c>
      <c r="R232" s="2681"/>
      <c r="S232" s="2681"/>
      <c r="T232" s="2682"/>
      <c r="U232" s="307"/>
      <c r="V232" s="2578"/>
      <c r="W232" s="2579"/>
      <c r="X232" s="2582"/>
      <c r="Y232" s="2583"/>
    </row>
    <row r="233" spans="2:25" s="299" customFormat="1" ht="51" customHeight="1">
      <c r="B233" s="2888"/>
      <c r="C233" s="2753"/>
      <c r="D233" s="2754"/>
      <c r="E233" s="2544"/>
      <c r="F233" s="2545"/>
      <c r="G233" s="2545"/>
      <c r="H233" s="2545"/>
      <c r="I233" s="2545"/>
      <c r="J233" s="2545"/>
      <c r="K233" s="2545"/>
      <c r="L233" s="2545"/>
      <c r="M233" s="2545"/>
      <c r="N233" s="2545"/>
      <c r="O233" s="2546"/>
      <c r="P233" s="569"/>
      <c r="Q233" s="2683" t="s">
        <v>125</v>
      </c>
      <c r="R233" s="2684"/>
      <c r="S233" s="2684"/>
      <c r="T233" s="2685"/>
      <c r="U233" s="307"/>
      <c r="V233" s="2580"/>
      <c r="W233" s="2581"/>
      <c r="X233" s="2584"/>
      <c r="Y233" s="2585"/>
    </row>
    <row r="234" spans="2:25" s="299" customFormat="1" ht="51" customHeight="1">
      <c r="B234" s="1032" t="s">
        <v>9</v>
      </c>
      <c r="C234" s="3121">
        <f>COUNTIF(M168:M227,"kia")</f>
        <v>2</v>
      </c>
      <c r="D234" s="3122"/>
      <c r="E234" s="2547"/>
      <c r="F234" s="2548"/>
      <c r="G234" s="2548"/>
      <c r="H234" s="2548"/>
      <c r="I234" s="2548"/>
      <c r="J234" s="2548"/>
      <c r="K234" s="2548"/>
      <c r="L234" s="2548"/>
      <c r="M234" s="2548"/>
      <c r="N234" s="2548"/>
      <c r="O234" s="2549"/>
      <c r="P234" s="569"/>
      <c r="Q234" s="2686" t="s">
        <v>126</v>
      </c>
      <c r="R234" s="2687"/>
      <c r="S234" s="2687"/>
      <c r="T234" s="2688"/>
      <c r="U234" s="307"/>
      <c r="V234" s="321"/>
      <c r="W234" s="321"/>
      <c r="X234" s="321"/>
      <c r="Y234" s="321"/>
    </row>
    <row r="235" spans="2:25" s="299" customFormat="1" ht="51" customHeight="1">
      <c r="B235" s="1033" t="s">
        <v>8</v>
      </c>
      <c r="C235" s="2857">
        <f>COUNTIF(M168:M227,"iveco")</f>
        <v>2</v>
      </c>
      <c r="D235" s="2858"/>
      <c r="E235" s="2586" t="s">
        <v>127</v>
      </c>
      <c r="F235" s="2587"/>
      <c r="G235" s="2587"/>
      <c r="H235" s="2587"/>
      <c r="I235" s="2587"/>
      <c r="J235" s="2587"/>
      <c r="K235" s="2587"/>
      <c r="L235" s="2587"/>
      <c r="M235" s="2587"/>
      <c r="N235" s="2587"/>
      <c r="O235" s="2588"/>
      <c r="P235" s="569"/>
      <c r="Q235" s="2592" t="s">
        <v>128</v>
      </c>
      <c r="R235" s="2593"/>
      <c r="S235" s="2593"/>
      <c r="T235" s="2594"/>
      <c r="U235" s="307"/>
      <c r="V235" s="2689" t="s">
        <v>129</v>
      </c>
      <c r="W235" s="2690"/>
      <c r="X235" s="2690"/>
      <c r="Y235" s="2691"/>
    </row>
    <row r="236" spans="2:25" s="299" customFormat="1" ht="51" customHeight="1">
      <c r="B236" s="1033">
        <v>1016</v>
      </c>
      <c r="C236" s="2857">
        <f>COUNTIF(M168:M227,"1016")</f>
        <v>27</v>
      </c>
      <c r="D236" s="2858"/>
      <c r="E236" s="2589"/>
      <c r="F236" s="2590"/>
      <c r="G236" s="2590"/>
      <c r="H236" s="2590"/>
      <c r="I236" s="2590"/>
      <c r="J236" s="2590"/>
      <c r="K236" s="2590"/>
      <c r="L236" s="2590"/>
      <c r="M236" s="2590"/>
      <c r="N236" s="2590"/>
      <c r="O236" s="2591"/>
      <c r="P236" s="569"/>
      <c r="Q236" s="2595"/>
      <c r="R236" s="2596"/>
      <c r="S236" s="2596"/>
      <c r="T236" s="2597"/>
      <c r="U236" s="307"/>
      <c r="V236" s="2601" t="s">
        <v>130</v>
      </c>
      <c r="W236" s="2602"/>
      <c r="X236" s="2602"/>
      <c r="Y236" s="2603"/>
    </row>
    <row r="237" spans="2:25" s="299" customFormat="1" ht="51" customHeight="1">
      <c r="B237" s="1033" t="s">
        <v>7</v>
      </c>
      <c r="C237" s="2857">
        <f>COUNTIF(M168:M227,"toco")</f>
        <v>20</v>
      </c>
      <c r="D237" s="2858"/>
      <c r="E237" s="2607" t="s">
        <v>131</v>
      </c>
      <c r="F237" s="2608"/>
      <c r="G237" s="2608"/>
      <c r="H237" s="2608"/>
      <c r="I237" s="2608"/>
      <c r="J237" s="2608"/>
      <c r="K237" s="2608"/>
      <c r="L237" s="2608"/>
      <c r="M237" s="2608"/>
      <c r="N237" s="2608"/>
      <c r="O237" s="2609"/>
      <c r="P237" s="568"/>
      <c r="Q237" s="2598"/>
      <c r="R237" s="2599"/>
      <c r="S237" s="2599"/>
      <c r="T237" s="2600"/>
      <c r="U237" s="307"/>
      <c r="V237" s="2604"/>
      <c r="W237" s="2605"/>
      <c r="X237" s="2605"/>
      <c r="Y237" s="2606"/>
    </row>
    <row r="238" spans="2:25" s="299" customFormat="1" ht="51" customHeight="1">
      <c r="B238" s="1034" t="s">
        <v>6</v>
      </c>
      <c r="C238" s="2859">
        <f>COUNTIF(M168:M227,"truck")</f>
        <v>5</v>
      </c>
      <c r="D238" s="2860"/>
      <c r="E238" s="2555"/>
      <c r="F238" s="2556"/>
      <c r="G238" s="2556"/>
      <c r="H238" s="2556"/>
      <c r="I238" s="2556"/>
      <c r="J238" s="2556"/>
      <c r="K238" s="2556"/>
      <c r="L238" s="2556"/>
      <c r="M238" s="2556"/>
      <c r="N238" s="2556"/>
      <c r="O238" s="2557"/>
      <c r="P238" s="568"/>
      <c r="Q238" s="2610" t="s">
        <v>132</v>
      </c>
      <c r="R238" s="2611"/>
      <c r="S238" s="2611"/>
      <c r="T238" s="2612"/>
      <c r="U238" s="307"/>
      <c r="V238" s="2616" t="s">
        <v>133</v>
      </c>
      <c r="W238" s="2617"/>
      <c r="X238" s="2622">
        <f>SUM(E168:E227,G168:G227,I168:I227)</f>
        <v>221098</v>
      </c>
      <c r="Y238" s="2623"/>
    </row>
    <row r="239" spans="2:25" s="299" customFormat="1" ht="51" customHeight="1">
      <c r="B239" s="2887" t="s">
        <v>134</v>
      </c>
      <c r="C239" s="2753">
        <f>SUM(C234:D238)</f>
        <v>56</v>
      </c>
      <c r="D239" s="2754"/>
      <c r="E239" s="2552" t="s">
        <v>135</v>
      </c>
      <c r="F239" s="2553"/>
      <c r="G239" s="2553"/>
      <c r="H239" s="2553"/>
      <c r="I239" s="2553"/>
      <c r="J239" s="2553"/>
      <c r="K239" s="2553"/>
      <c r="L239" s="2553"/>
      <c r="M239" s="2553"/>
      <c r="N239" s="2553"/>
      <c r="O239" s="2554"/>
      <c r="P239" s="573"/>
      <c r="Q239" s="2610"/>
      <c r="R239" s="2611"/>
      <c r="S239" s="2611"/>
      <c r="T239" s="2612"/>
      <c r="U239" s="574"/>
      <c r="V239" s="2618"/>
      <c r="W239" s="2619"/>
      <c r="X239" s="2624"/>
      <c r="Y239" s="2625"/>
    </row>
    <row r="240" spans="2:25" s="299" customFormat="1" ht="51" customHeight="1">
      <c r="B240" s="2888"/>
      <c r="C240" s="2735"/>
      <c r="D240" s="2736"/>
      <c r="E240" s="2555"/>
      <c r="F240" s="2556"/>
      <c r="G240" s="2556"/>
      <c r="H240" s="2556"/>
      <c r="I240" s="2556"/>
      <c r="J240" s="2556"/>
      <c r="K240" s="2556"/>
      <c r="L240" s="2556"/>
      <c r="M240" s="2556"/>
      <c r="N240" s="2556"/>
      <c r="O240" s="2557"/>
      <c r="P240" s="575"/>
      <c r="Q240" s="2610"/>
      <c r="R240" s="2611"/>
      <c r="S240" s="2611"/>
      <c r="T240" s="2612"/>
      <c r="U240" s="574"/>
      <c r="V240" s="2618"/>
      <c r="W240" s="2619"/>
      <c r="X240" s="2624"/>
      <c r="Y240" s="2625"/>
    </row>
    <row r="241" spans="1:26" s="300" customFormat="1" ht="51" customHeight="1">
      <c r="B241" s="770" t="s">
        <v>136</v>
      </c>
      <c r="C241" s="2847" t="s">
        <v>137</v>
      </c>
      <c r="D241" s="2848"/>
      <c r="E241" s="2848"/>
      <c r="F241" s="2848"/>
      <c r="G241" s="2848"/>
      <c r="H241" s="2848"/>
      <c r="I241" s="2848"/>
      <c r="J241" s="2848"/>
      <c r="K241" s="2848"/>
      <c r="L241" s="2848"/>
      <c r="M241" s="2848"/>
      <c r="N241" s="2848"/>
      <c r="O241" s="2849"/>
      <c r="P241" s="575"/>
      <c r="Q241" s="2613"/>
      <c r="R241" s="2614"/>
      <c r="S241" s="2614"/>
      <c r="T241" s="2615"/>
      <c r="V241" s="2620"/>
      <c r="W241" s="2621"/>
      <c r="X241" s="2626"/>
      <c r="Y241" s="2627"/>
    </row>
    <row r="244" spans="1:26" s="306" customFormat="1"/>
    <row r="245" spans="1:26" s="306" customFormat="1"/>
    <row r="246" spans="1:26" s="299" customFormat="1" ht="42.75" customHeight="1">
      <c r="A246" s="299" t="s">
        <v>17</v>
      </c>
      <c r="B246" s="2712"/>
      <c r="C246" s="2713"/>
      <c r="D246" s="2713"/>
      <c r="E246" s="2713"/>
      <c r="F246" s="2713"/>
      <c r="G246" s="2713"/>
      <c r="H246" s="2713"/>
      <c r="I246" s="2714"/>
      <c r="J246" s="2850" t="s">
        <v>18</v>
      </c>
      <c r="K246" s="2851"/>
      <c r="L246" s="2851"/>
      <c r="M246" s="2851"/>
      <c r="N246" s="2851"/>
      <c r="O246" s="2851"/>
      <c r="P246" s="2851"/>
      <c r="Q246" s="2852"/>
      <c r="R246" s="2718">
        <v>46147</v>
      </c>
      <c r="S246" s="2719"/>
      <c r="T246" s="2720"/>
      <c r="U246" s="307"/>
      <c r="V246" s="2700" t="s">
        <v>19</v>
      </c>
      <c r="W246" s="2701"/>
      <c r="X246" s="2700" t="s">
        <v>19</v>
      </c>
      <c r="Y246" s="2701"/>
    </row>
    <row r="247" spans="1:26" s="299" customFormat="1" ht="42.75" customHeight="1">
      <c r="B247" s="2715"/>
      <c r="C247" s="2716"/>
      <c r="D247" s="2716"/>
      <c r="E247" s="2716"/>
      <c r="F247" s="2716"/>
      <c r="G247" s="2716"/>
      <c r="H247" s="2716"/>
      <c r="I247" s="2717"/>
      <c r="J247" s="2724" t="s">
        <v>20</v>
      </c>
      <c r="K247" s="2725"/>
      <c r="L247" s="2725"/>
      <c r="M247" s="2725"/>
      <c r="N247" s="2725"/>
      <c r="O247" s="2725"/>
      <c r="P247" s="2725"/>
      <c r="Q247" s="2726"/>
      <c r="R247" s="2721"/>
      <c r="S247" s="2722"/>
      <c r="T247" s="2723"/>
      <c r="U247" s="307"/>
      <c r="V247" s="2702"/>
      <c r="W247" s="2703"/>
      <c r="X247" s="2702"/>
      <c r="Y247" s="2703"/>
    </row>
    <row r="248" spans="1:26" s="299" customFormat="1" ht="4.1500000000000004" customHeight="1">
      <c r="B248" s="311"/>
      <c r="C248" s="312"/>
      <c r="D248" s="308"/>
      <c r="E248" s="308"/>
      <c r="F248" s="308"/>
      <c r="G248" s="308"/>
      <c r="H248" s="308"/>
      <c r="I248" s="308"/>
      <c r="J248" s="2727"/>
      <c r="K248" s="2728"/>
      <c r="L248" s="2728"/>
      <c r="M248" s="2728"/>
      <c r="N248" s="2728"/>
      <c r="O248" s="2728"/>
      <c r="P248" s="2728"/>
      <c r="Q248" s="2729"/>
      <c r="R248" s="313" t="s">
        <v>21</v>
      </c>
      <c r="S248" s="313"/>
      <c r="T248" s="314"/>
      <c r="U248" s="307"/>
      <c r="V248" s="309"/>
      <c r="W248" s="310"/>
      <c r="X248" s="309"/>
      <c r="Y248" s="310"/>
    </row>
    <row r="249" spans="1:26" s="299" customFormat="1" ht="49.5" customHeight="1">
      <c r="B249" s="2881" t="s">
        <v>22</v>
      </c>
      <c r="C249" s="315"/>
      <c r="D249" s="2853" t="s">
        <v>23</v>
      </c>
      <c r="E249" s="2854"/>
      <c r="F249" s="2853" t="s">
        <v>24</v>
      </c>
      <c r="G249" s="2854"/>
      <c r="H249" s="2853" t="s">
        <v>25</v>
      </c>
      <c r="I249" s="2854"/>
      <c r="J249" s="2730"/>
      <c r="K249" s="2731"/>
      <c r="L249" s="2731"/>
      <c r="M249" s="2731"/>
      <c r="N249" s="2731"/>
      <c r="O249" s="2731"/>
      <c r="P249" s="2731"/>
      <c r="Q249" s="2732"/>
      <c r="R249" s="2895" t="s">
        <v>26</v>
      </c>
      <c r="S249" s="2965"/>
      <c r="T249" s="320">
        <f>L297</f>
        <v>44</v>
      </c>
      <c r="U249" s="321"/>
      <c r="V249" s="2525" t="s">
        <v>27</v>
      </c>
      <c r="W249" s="2526"/>
      <c r="X249" s="2525" t="s">
        <v>28</v>
      </c>
      <c r="Y249" s="2526"/>
      <c r="Z249" s="322"/>
    </row>
    <row r="250" spans="1:26" s="299" customFormat="1" ht="49.5" customHeight="1">
      <c r="B250" s="2882"/>
      <c r="C250" s="315"/>
      <c r="D250" s="323" t="s">
        <v>29</v>
      </c>
      <c r="E250" s="323" t="s">
        <v>30</v>
      </c>
      <c r="F250" s="323" t="s">
        <v>29</v>
      </c>
      <c r="G250" s="323" t="s">
        <v>30</v>
      </c>
      <c r="H250" s="323" t="s">
        <v>29</v>
      </c>
      <c r="I250" s="323" t="s">
        <v>30</v>
      </c>
      <c r="J250" s="317" t="s">
        <v>31</v>
      </c>
      <c r="K250" s="323" t="s">
        <v>32</v>
      </c>
      <c r="L250" s="323" t="s">
        <v>33</v>
      </c>
      <c r="M250" s="323" t="s">
        <v>34</v>
      </c>
      <c r="N250" s="323" t="s">
        <v>32</v>
      </c>
      <c r="O250" s="316" t="s">
        <v>35</v>
      </c>
      <c r="P250" s="317"/>
      <c r="Q250" s="323" t="s">
        <v>36</v>
      </c>
      <c r="R250" s="323" t="s">
        <v>37</v>
      </c>
      <c r="S250" s="323" t="s">
        <v>38</v>
      </c>
      <c r="T250" s="324" t="s">
        <v>39</v>
      </c>
      <c r="U250" s="321"/>
      <c r="V250" s="2527"/>
      <c r="W250" s="2528"/>
      <c r="X250" s="2527"/>
      <c r="Y250" s="2528"/>
      <c r="Z250" s="322"/>
    </row>
    <row r="251" spans="1:26" s="300" customFormat="1" ht="48" customHeight="1">
      <c r="B251" s="325">
        <v>0.41666666666666702</v>
      </c>
      <c r="C251" s="326"/>
      <c r="D251" s="327">
        <v>28</v>
      </c>
      <c r="E251" s="328">
        <v>1170</v>
      </c>
      <c r="F251" s="329">
        <v>29</v>
      </c>
      <c r="G251" s="330">
        <v>2224</v>
      </c>
      <c r="H251" s="331"/>
      <c r="I251" s="330"/>
      <c r="J251" s="332">
        <f>E251+G251+I251</f>
        <v>3394</v>
      </c>
      <c r="K251" s="333">
        <f>J251/450</f>
        <v>7.5422222222222226</v>
      </c>
      <c r="L251" s="332">
        <v>1</v>
      </c>
      <c r="M251" s="1035">
        <v>1016</v>
      </c>
      <c r="N251" s="1036">
        <v>8</v>
      </c>
      <c r="O251" s="3190" t="s">
        <v>106</v>
      </c>
      <c r="P251" s="3191"/>
      <c r="Q251" s="1037">
        <v>2</v>
      </c>
      <c r="R251" s="941">
        <v>3</v>
      </c>
      <c r="S251" s="1038" t="s">
        <v>107</v>
      </c>
      <c r="T251" s="1039">
        <v>606</v>
      </c>
      <c r="U251" s="307"/>
      <c r="V251" s="3074">
        <f>VLOOKUP(M251,'[1]TABELA FRETE'!$A$6:$B$12,2,0)</f>
        <v>425.7</v>
      </c>
      <c r="W251" s="3075"/>
      <c r="X251" s="3076"/>
      <c r="Y251" s="3077"/>
    </row>
    <row r="252" spans="1:26" s="299" customFormat="1" ht="48" customHeight="1">
      <c r="B252" s="463">
        <v>0.41666666666666702</v>
      </c>
      <c r="C252" s="326"/>
      <c r="D252" s="359">
        <v>7</v>
      </c>
      <c r="E252" s="360">
        <v>1500</v>
      </c>
      <c r="F252" s="374"/>
      <c r="G252" s="375"/>
      <c r="H252" s="1040"/>
      <c r="I252" s="364"/>
      <c r="J252" s="365">
        <f>E252+G252+I252</f>
        <v>1500</v>
      </c>
      <c r="K252" s="366">
        <f>J252/450</f>
        <v>3.3333333333333335</v>
      </c>
      <c r="L252" s="365">
        <v>1</v>
      </c>
      <c r="M252" s="859" t="s">
        <v>9</v>
      </c>
      <c r="N252" s="860">
        <v>3</v>
      </c>
      <c r="O252" s="2692" t="s">
        <v>189</v>
      </c>
      <c r="P252" s="2693"/>
      <c r="Q252" s="638">
        <v>1</v>
      </c>
      <c r="R252" s="862">
        <v>1</v>
      </c>
      <c r="S252" s="1041" t="s">
        <v>190</v>
      </c>
      <c r="T252" s="693">
        <v>738</v>
      </c>
      <c r="U252" s="307"/>
      <c r="V252" s="3074">
        <f>VLOOKUP(M252,'[1]TABELA FRETE'!$A$6:$B$12,2,0)</f>
        <v>250.8</v>
      </c>
      <c r="W252" s="3075"/>
      <c r="X252" s="3076"/>
      <c r="Y252" s="3077"/>
    </row>
    <row r="253" spans="1:26" s="299" customFormat="1" ht="48" customHeight="1">
      <c r="B253" s="463">
        <v>0.41666666666666702</v>
      </c>
      <c r="C253" s="326"/>
      <c r="D253" s="359">
        <v>11</v>
      </c>
      <c r="E253" s="392">
        <v>2409</v>
      </c>
      <c r="F253" s="687"/>
      <c r="G253" s="395"/>
      <c r="H253" s="1042"/>
      <c r="I253" s="727"/>
      <c r="J253" s="365">
        <f>E253+G253+I253</f>
        <v>2409</v>
      </c>
      <c r="K253" s="366">
        <f>J253/450</f>
        <v>5.3533333333333335</v>
      </c>
      <c r="L253" s="365">
        <v>1</v>
      </c>
      <c r="M253" s="909">
        <v>1016</v>
      </c>
      <c r="N253" s="910">
        <v>6</v>
      </c>
      <c r="O253" s="2827" t="s">
        <v>203</v>
      </c>
      <c r="P253" s="3163"/>
      <c r="Q253" s="830">
        <v>1</v>
      </c>
      <c r="R253" s="963">
        <v>1</v>
      </c>
      <c r="S253" s="1043" t="s">
        <v>204</v>
      </c>
      <c r="T253" s="963">
        <v>807</v>
      </c>
      <c r="U253" s="307"/>
      <c r="V253" s="3074">
        <v>212</v>
      </c>
      <c r="W253" s="3075"/>
      <c r="X253" s="3076"/>
      <c r="Y253" s="3077"/>
    </row>
    <row r="254" spans="1:26" s="299" customFormat="1" ht="48" customHeight="1">
      <c r="B254" s="408">
        <v>0.41666666666666702</v>
      </c>
      <c r="C254" s="326"/>
      <c r="D254" s="665">
        <v>11</v>
      </c>
      <c r="E254" s="410">
        <v>1300</v>
      </c>
      <c r="F254" s="666"/>
      <c r="G254" s="544"/>
      <c r="H254" s="1044"/>
      <c r="I254" s="705"/>
      <c r="J254" s="413">
        <f>E254+G254+I254</f>
        <v>1300</v>
      </c>
      <c r="K254" s="414">
        <f>J254/450</f>
        <v>2.8888888888888888</v>
      </c>
      <c r="L254" s="413">
        <v>1</v>
      </c>
      <c r="M254" s="1045" t="s">
        <v>9</v>
      </c>
      <c r="N254" s="1046">
        <v>3</v>
      </c>
      <c r="O254" s="2855" t="s">
        <v>98</v>
      </c>
      <c r="P254" s="2856"/>
      <c r="Q254" s="708">
        <v>1</v>
      </c>
      <c r="R254" s="551">
        <v>1</v>
      </c>
      <c r="S254" s="1047" t="s">
        <v>99</v>
      </c>
      <c r="T254" s="553">
        <v>496</v>
      </c>
      <c r="U254" s="307"/>
      <c r="V254" s="3074">
        <f>VLOOKUP(M254,'[1]TABELA FRETE'!$A$6:$B$12,2,0)</f>
        <v>250.8</v>
      </c>
      <c r="W254" s="3075"/>
      <c r="X254" s="2694"/>
      <c r="Y254" s="2695"/>
    </row>
    <row r="255" spans="1:26" s="301" customFormat="1" ht="6" customHeight="1">
      <c r="B255" s="326"/>
      <c r="C255" s="326"/>
      <c r="D255" s="421"/>
      <c r="E255" s="422"/>
      <c r="F255" s="421"/>
      <c r="G255" s="423"/>
      <c r="H255" s="424"/>
      <c r="I255" s="423"/>
      <c r="J255" s="423"/>
      <c r="K255" s="425"/>
      <c r="L255" s="423"/>
      <c r="M255" s="885"/>
      <c r="N255" s="886"/>
      <c r="O255" s="428"/>
      <c r="P255" s="428"/>
      <c r="Q255" s="429"/>
      <c r="R255" s="429"/>
      <c r="S255" s="430"/>
      <c r="T255" s="428"/>
      <c r="U255" s="432"/>
      <c r="V255" s="433"/>
      <c r="W255" s="433"/>
      <c r="X255" s="434"/>
      <c r="Y255" s="434"/>
    </row>
    <row r="256" spans="1:26" s="299" customFormat="1" ht="48" customHeight="1">
      <c r="B256" s="325">
        <v>0.5</v>
      </c>
      <c r="C256" s="326"/>
      <c r="D256" s="327">
        <v>8</v>
      </c>
      <c r="E256" s="328">
        <v>3662</v>
      </c>
      <c r="F256" s="1048"/>
      <c r="G256" s="437"/>
      <c r="H256" s="438"/>
      <c r="I256" s="330"/>
      <c r="J256" s="332">
        <f t="shared" ref="J256:J297" si="20">E256+G256+I256</f>
        <v>3662</v>
      </c>
      <c r="K256" s="333">
        <f>J256/460</f>
        <v>7.9608695652173909</v>
      </c>
      <c r="L256" s="332">
        <v>1</v>
      </c>
      <c r="M256" s="891">
        <v>1016</v>
      </c>
      <c r="N256" s="1049">
        <v>8</v>
      </c>
      <c r="O256" s="3207" t="s">
        <v>46</v>
      </c>
      <c r="P256" s="3207"/>
      <c r="Q256" s="1050">
        <v>2</v>
      </c>
      <c r="R256" s="1051">
        <v>2</v>
      </c>
      <c r="S256" s="1052" t="s">
        <v>47</v>
      </c>
      <c r="T256" s="896">
        <v>48</v>
      </c>
      <c r="U256" s="307"/>
      <c r="V256" s="3074">
        <f>VLOOKUP(M256,'[1]TABELA FRETE'!$A$6:$B$12,2,0)</f>
        <v>425.7</v>
      </c>
      <c r="W256" s="3075"/>
      <c r="X256" s="3076"/>
      <c r="Y256" s="3077"/>
    </row>
    <row r="257" spans="2:25" s="299" customFormat="1" ht="48" customHeight="1">
      <c r="B257" s="343">
        <v>0.5</v>
      </c>
      <c r="C257" s="326"/>
      <c r="D257" s="359">
        <v>1</v>
      </c>
      <c r="E257" s="360">
        <v>2895</v>
      </c>
      <c r="F257" s="361"/>
      <c r="G257" s="362"/>
      <c r="H257" s="363"/>
      <c r="I257" s="364"/>
      <c r="J257" s="365">
        <f t="shared" si="20"/>
        <v>2895</v>
      </c>
      <c r="K257" s="366">
        <f>J257/460</f>
        <v>6.2934782608695654</v>
      </c>
      <c r="L257" s="365">
        <v>2</v>
      </c>
      <c r="M257" s="909">
        <v>1016</v>
      </c>
      <c r="N257" s="1053">
        <v>7</v>
      </c>
      <c r="O257" s="2828" t="s">
        <v>56</v>
      </c>
      <c r="P257" s="2828"/>
      <c r="Q257" s="947">
        <v>1</v>
      </c>
      <c r="R257" s="963">
        <v>1</v>
      </c>
      <c r="S257" s="1054" t="s">
        <v>57</v>
      </c>
      <c r="T257" s="906">
        <v>663</v>
      </c>
      <c r="U257" s="307"/>
      <c r="V257" s="3074">
        <f>VLOOKUP(M257,'[1]TABELA FRETE'!$A$6:$B$12,2,0)</f>
        <v>425.7</v>
      </c>
      <c r="W257" s="3075"/>
      <c r="X257" s="2694"/>
      <c r="Y257" s="2695"/>
    </row>
    <row r="258" spans="2:25" s="299" customFormat="1" ht="48" customHeight="1">
      <c r="B258" s="358">
        <v>0.5</v>
      </c>
      <c r="C258" s="326"/>
      <c r="D258" s="359">
        <v>14</v>
      </c>
      <c r="E258" s="375">
        <v>3607</v>
      </c>
      <c r="F258" s="401"/>
      <c r="G258" s="375"/>
      <c r="H258" s="363"/>
      <c r="I258" s="364"/>
      <c r="J258" s="365">
        <f t="shared" si="20"/>
        <v>3607</v>
      </c>
      <c r="K258" s="366">
        <f t="shared" ref="K258:K296" si="21">J258/450</f>
        <v>8.0155555555555562</v>
      </c>
      <c r="L258" s="365">
        <v>1</v>
      </c>
      <c r="M258" s="909">
        <v>1016</v>
      </c>
      <c r="N258" s="1053">
        <v>10</v>
      </c>
      <c r="O258" s="2828" t="s">
        <v>81</v>
      </c>
      <c r="P258" s="2828"/>
      <c r="Q258" s="963">
        <v>2</v>
      </c>
      <c r="R258" s="963">
        <v>2</v>
      </c>
      <c r="S258" s="1054" t="s">
        <v>82</v>
      </c>
      <c r="T258" s="906">
        <v>606</v>
      </c>
      <c r="U258" s="307"/>
      <c r="V258" s="3074">
        <f>VLOOKUP(M258,'[1]TABELA FRETE'!$A$6:$B$12,2,0)</f>
        <v>425.7</v>
      </c>
      <c r="W258" s="3075"/>
      <c r="X258" s="3076"/>
      <c r="Y258" s="3077"/>
    </row>
    <row r="259" spans="2:25" s="299" customFormat="1" ht="48" customHeight="1">
      <c r="B259" s="358">
        <v>0.5</v>
      </c>
      <c r="C259" s="326"/>
      <c r="D259" s="359">
        <v>9</v>
      </c>
      <c r="E259" s="360">
        <v>4678</v>
      </c>
      <c r="F259" s="361"/>
      <c r="G259" s="362"/>
      <c r="H259" s="363"/>
      <c r="I259" s="364"/>
      <c r="J259" s="365">
        <f t="shared" si="20"/>
        <v>4678</v>
      </c>
      <c r="K259" s="366">
        <f t="shared" si="21"/>
        <v>10.395555555555555</v>
      </c>
      <c r="L259" s="365">
        <v>1</v>
      </c>
      <c r="M259" s="901" t="s">
        <v>7</v>
      </c>
      <c r="N259" s="1055">
        <v>11</v>
      </c>
      <c r="O259" s="2830" t="s">
        <v>42</v>
      </c>
      <c r="P259" s="2830"/>
      <c r="Q259" s="947">
        <v>3</v>
      </c>
      <c r="R259" s="947">
        <v>3</v>
      </c>
      <c r="S259" s="1054" t="s">
        <v>43</v>
      </c>
      <c r="T259" s="967">
        <v>479</v>
      </c>
      <c r="U259" s="307"/>
      <c r="V259" s="3074">
        <f>VLOOKUP(M259,'[1]TABELA FRETE'!$A$6:$B$12,2,0)</f>
        <v>466.4</v>
      </c>
      <c r="W259" s="3075"/>
      <c r="X259" s="3076"/>
      <c r="Y259" s="3077"/>
    </row>
    <row r="260" spans="2:25" s="299" customFormat="1" ht="48" customHeight="1">
      <c r="B260" s="358">
        <v>0.5</v>
      </c>
      <c r="C260" s="326"/>
      <c r="D260" s="359">
        <v>12</v>
      </c>
      <c r="E260" s="364">
        <v>3320</v>
      </c>
      <c r="F260" s="374"/>
      <c r="G260" s="375"/>
      <c r="H260" s="363"/>
      <c r="I260" s="364"/>
      <c r="J260" s="365">
        <f t="shared" si="20"/>
        <v>3320</v>
      </c>
      <c r="K260" s="366">
        <f t="shared" si="21"/>
        <v>7.3777777777777782</v>
      </c>
      <c r="L260" s="365">
        <v>1</v>
      </c>
      <c r="M260" s="919">
        <v>1016</v>
      </c>
      <c r="N260" s="1056">
        <v>7</v>
      </c>
      <c r="O260" s="2830" t="s">
        <v>141</v>
      </c>
      <c r="P260" s="2830"/>
      <c r="Q260" s="947">
        <v>2</v>
      </c>
      <c r="R260" s="963">
        <v>2</v>
      </c>
      <c r="S260" s="1054" t="s">
        <v>142</v>
      </c>
      <c r="T260" s="906">
        <v>605</v>
      </c>
      <c r="U260" s="307"/>
      <c r="V260" s="3074">
        <f>VLOOKUP(M260,'[1]TABELA FRETE'!$A$6:$B$12,2,0)</f>
        <v>425.7</v>
      </c>
      <c r="W260" s="3075"/>
      <c r="X260" s="3076"/>
      <c r="Y260" s="3077"/>
    </row>
    <row r="261" spans="2:25" s="299" customFormat="1" ht="48" customHeight="1">
      <c r="B261" s="358">
        <v>0.5</v>
      </c>
      <c r="C261" s="326"/>
      <c r="D261" s="359">
        <v>38</v>
      </c>
      <c r="E261" s="360">
        <v>3547</v>
      </c>
      <c r="F261" s="374"/>
      <c r="G261" s="375"/>
      <c r="H261" s="363"/>
      <c r="I261" s="364"/>
      <c r="J261" s="365">
        <f t="shared" si="20"/>
        <v>3547</v>
      </c>
      <c r="K261" s="366">
        <f t="shared" si="21"/>
        <v>7.8822222222222225</v>
      </c>
      <c r="L261" s="365">
        <v>1</v>
      </c>
      <c r="M261" s="1057">
        <v>1016</v>
      </c>
      <c r="N261" s="1058">
        <v>8</v>
      </c>
      <c r="O261" s="2830" t="s">
        <v>159</v>
      </c>
      <c r="P261" s="2830"/>
      <c r="Q261" s="947">
        <v>1</v>
      </c>
      <c r="R261" s="947">
        <v>1</v>
      </c>
      <c r="S261" s="1059" t="s">
        <v>160</v>
      </c>
      <c r="T261" s="917">
        <v>456</v>
      </c>
      <c r="U261" s="307"/>
      <c r="V261" s="3074">
        <f>VLOOKUP(M261,'[1]TABELA FRETE'!$A$6:$B$12,2,0)</f>
        <v>425.7</v>
      </c>
      <c r="W261" s="3075"/>
      <c r="X261" s="3076"/>
      <c r="Y261" s="3077"/>
    </row>
    <row r="262" spans="2:25" s="299" customFormat="1" ht="48" customHeight="1">
      <c r="B262" s="358">
        <v>0.5</v>
      </c>
      <c r="C262" s="326"/>
      <c r="D262" s="359">
        <v>34</v>
      </c>
      <c r="E262" s="360">
        <v>5500</v>
      </c>
      <c r="F262" s="374"/>
      <c r="G262" s="375"/>
      <c r="H262" s="363"/>
      <c r="I262" s="364"/>
      <c r="J262" s="365">
        <f t="shared" si="20"/>
        <v>5500</v>
      </c>
      <c r="K262" s="366">
        <f t="shared" si="21"/>
        <v>12.222222222222221</v>
      </c>
      <c r="L262" s="365">
        <v>1</v>
      </c>
      <c r="M262" s="1060" t="s">
        <v>7</v>
      </c>
      <c r="N262" s="1061">
        <v>12</v>
      </c>
      <c r="O262" s="2826" t="s">
        <v>68</v>
      </c>
      <c r="P262" s="2826"/>
      <c r="Q262" s="1062">
        <v>1</v>
      </c>
      <c r="R262" s="1063">
        <v>1</v>
      </c>
      <c r="S262" s="1064" t="s">
        <v>205</v>
      </c>
      <c r="T262" s="1065">
        <v>808</v>
      </c>
      <c r="U262" s="307"/>
      <c r="V262" s="3074">
        <f>VLOOKUP(M262,'[1]TABELA FRETE'!$A$6:$B$12,2,0)</f>
        <v>466.4</v>
      </c>
      <c r="W262" s="3075"/>
      <c r="X262" s="3076"/>
      <c r="Y262" s="3077"/>
    </row>
    <row r="263" spans="2:25" s="299" customFormat="1" ht="48" customHeight="1">
      <c r="B263" s="358">
        <v>0.5</v>
      </c>
      <c r="C263" s="326"/>
      <c r="D263" s="359">
        <v>35</v>
      </c>
      <c r="E263" s="360">
        <v>3166</v>
      </c>
      <c r="F263" s="401">
        <v>34</v>
      </c>
      <c r="G263" s="375">
        <v>1756</v>
      </c>
      <c r="H263" s="363"/>
      <c r="I263" s="364"/>
      <c r="J263" s="365">
        <f t="shared" si="20"/>
        <v>4922</v>
      </c>
      <c r="K263" s="366">
        <f t="shared" si="21"/>
        <v>10.937777777777777</v>
      </c>
      <c r="L263" s="365">
        <v>1</v>
      </c>
      <c r="M263" s="901" t="s">
        <v>7</v>
      </c>
      <c r="N263" s="1055">
        <v>12</v>
      </c>
      <c r="O263" s="2830" t="s">
        <v>146</v>
      </c>
      <c r="P263" s="2830"/>
      <c r="Q263" s="947">
        <v>1</v>
      </c>
      <c r="R263" s="947">
        <v>1</v>
      </c>
      <c r="S263" s="1054" t="s">
        <v>206</v>
      </c>
      <c r="T263" s="967">
        <v>91</v>
      </c>
      <c r="U263" s="307"/>
      <c r="V263" s="3074">
        <f>VLOOKUP(M263,'[1]TABELA FRETE'!$A$6:$B$12,2,0)</f>
        <v>466.4</v>
      </c>
      <c r="W263" s="3075"/>
      <c r="X263" s="3076"/>
      <c r="Y263" s="3077"/>
    </row>
    <row r="264" spans="2:25" s="299" customFormat="1" ht="48" customHeight="1">
      <c r="B264" s="358">
        <v>0.5</v>
      </c>
      <c r="C264" s="326"/>
      <c r="D264" s="359">
        <v>43</v>
      </c>
      <c r="E264" s="360">
        <v>4317</v>
      </c>
      <c r="F264" s="401"/>
      <c r="G264" s="375"/>
      <c r="H264" s="363"/>
      <c r="I264" s="364"/>
      <c r="J264" s="365">
        <f t="shared" si="20"/>
        <v>4317</v>
      </c>
      <c r="K264" s="366">
        <f t="shared" si="21"/>
        <v>9.5933333333333337</v>
      </c>
      <c r="L264" s="365">
        <v>1</v>
      </c>
      <c r="M264" s="901" t="s">
        <v>7</v>
      </c>
      <c r="N264" s="1055">
        <v>12</v>
      </c>
      <c r="O264" s="3162" t="s">
        <v>62</v>
      </c>
      <c r="P264" s="3162"/>
      <c r="Q264" s="947">
        <v>2</v>
      </c>
      <c r="R264" s="947">
        <v>2</v>
      </c>
      <c r="S264" s="1059" t="s">
        <v>63</v>
      </c>
      <c r="T264" s="917">
        <v>740</v>
      </c>
      <c r="U264" s="307"/>
      <c r="V264" s="3074">
        <f>VLOOKUP(M264,'[1]TABELA FRETE'!$A$6:$B$12,2,0)</f>
        <v>466.4</v>
      </c>
      <c r="W264" s="3075"/>
      <c r="X264" s="3076"/>
      <c r="Y264" s="3077"/>
    </row>
    <row r="265" spans="2:25" s="299" customFormat="1" ht="48" customHeight="1">
      <c r="B265" s="358">
        <v>0.5</v>
      </c>
      <c r="C265" s="326"/>
      <c r="D265" s="359">
        <v>47</v>
      </c>
      <c r="E265" s="360">
        <v>3587</v>
      </c>
      <c r="F265" s="361"/>
      <c r="G265" s="362"/>
      <c r="H265" s="363"/>
      <c r="I265" s="364"/>
      <c r="J265" s="365">
        <f t="shared" si="20"/>
        <v>3587</v>
      </c>
      <c r="K265" s="366">
        <f t="shared" si="21"/>
        <v>7.971111111111111</v>
      </c>
      <c r="L265" s="365">
        <v>1</v>
      </c>
      <c r="M265" s="909">
        <v>1016</v>
      </c>
      <c r="N265" s="1053">
        <v>8</v>
      </c>
      <c r="O265" s="2830" t="s">
        <v>88</v>
      </c>
      <c r="P265" s="2830"/>
      <c r="Q265" s="947">
        <v>1</v>
      </c>
      <c r="R265" s="947">
        <v>1</v>
      </c>
      <c r="S265" s="1059" t="s">
        <v>89</v>
      </c>
      <c r="T265" s="906">
        <v>799</v>
      </c>
      <c r="U265" s="307"/>
      <c r="V265" s="3074">
        <f>VLOOKUP(M265,'[1]TABELA FRETE'!$A$6:$B$12,2,0)</f>
        <v>425.7</v>
      </c>
      <c r="W265" s="3075"/>
      <c r="X265" s="3076"/>
      <c r="Y265" s="3077"/>
    </row>
    <row r="266" spans="2:25" s="299" customFormat="1" ht="48" customHeight="1">
      <c r="B266" s="358">
        <v>0.5</v>
      </c>
      <c r="C266" s="326"/>
      <c r="D266" s="359">
        <v>45</v>
      </c>
      <c r="E266" s="360">
        <v>6528</v>
      </c>
      <c r="F266" s="361"/>
      <c r="G266" s="362"/>
      <c r="H266" s="363"/>
      <c r="I266" s="364"/>
      <c r="J266" s="365">
        <f t="shared" si="20"/>
        <v>6528</v>
      </c>
      <c r="K266" s="366">
        <f>J266/460</f>
        <v>14.191304347826087</v>
      </c>
      <c r="L266" s="900">
        <v>1</v>
      </c>
      <c r="M266" s="1066" t="s">
        <v>6</v>
      </c>
      <c r="N266" s="1067">
        <v>14</v>
      </c>
      <c r="O266" s="3184" t="s">
        <v>54</v>
      </c>
      <c r="P266" s="3184"/>
      <c r="Q266" s="1068">
        <v>1</v>
      </c>
      <c r="R266" s="1068">
        <v>1</v>
      </c>
      <c r="S266" s="1069" t="s">
        <v>55</v>
      </c>
      <c r="T266" s="1070">
        <v>590</v>
      </c>
      <c r="U266" s="307"/>
      <c r="V266" s="3074">
        <f>VLOOKUP(M266,'[1]TABELA FRETE'!$A$6:$B$12,2,0)</f>
        <v>489.5</v>
      </c>
      <c r="W266" s="3075"/>
      <c r="X266" s="3076"/>
      <c r="Y266" s="3077"/>
    </row>
    <row r="267" spans="2:25" s="299" customFormat="1" ht="48" customHeight="1">
      <c r="B267" s="408">
        <v>0.5</v>
      </c>
      <c r="C267" s="326"/>
      <c r="D267" s="409">
        <v>19</v>
      </c>
      <c r="E267" s="410">
        <v>5967</v>
      </c>
      <c r="F267" s="411"/>
      <c r="G267" s="410"/>
      <c r="H267" s="412"/>
      <c r="I267" s="410"/>
      <c r="J267" s="413">
        <f t="shared" si="20"/>
        <v>5967</v>
      </c>
      <c r="K267" s="414">
        <f>J267/450</f>
        <v>13.26</v>
      </c>
      <c r="L267" s="480">
        <v>1</v>
      </c>
      <c r="M267" s="1071" t="s">
        <v>6</v>
      </c>
      <c r="N267" s="1072">
        <v>14</v>
      </c>
      <c r="O267" s="3189" t="s">
        <v>192</v>
      </c>
      <c r="P267" s="3189"/>
      <c r="Q267" s="1073">
        <v>1</v>
      </c>
      <c r="R267" s="1073">
        <v>1</v>
      </c>
      <c r="S267" s="1074" t="s">
        <v>193</v>
      </c>
      <c r="T267" s="881">
        <v>808</v>
      </c>
      <c r="U267" s="307"/>
      <c r="V267" s="3074">
        <f>VLOOKUP(M267,'[1]TABELA FRETE'!$A$6:$B$12,2,0)</f>
        <v>489.5</v>
      </c>
      <c r="W267" s="3075"/>
      <c r="X267" s="3076"/>
      <c r="Y267" s="3077"/>
    </row>
    <row r="268" spans="2:25" s="301" customFormat="1" ht="6" customHeight="1">
      <c r="B268" s="326"/>
      <c r="C268" s="326"/>
      <c r="D268" s="421"/>
      <c r="E268" s="422"/>
      <c r="F268" s="421"/>
      <c r="G268" s="423"/>
      <c r="H268" s="424"/>
      <c r="I268" s="423"/>
      <c r="J268" s="423"/>
      <c r="K268" s="425"/>
      <c r="L268" s="423"/>
      <c r="M268" s="426"/>
      <c r="N268" s="427"/>
      <c r="O268" s="428"/>
      <c r="P268" s="428"/>
      <c r="Q268" s="429"/>
      <c r="R268" s="429"/>
      <c r="S268" s="430"/>
      <c r="T268" s="431"/>
      <c r="U268" s="432"/>
      <c r="V268" s="433"/>
      <c r="W268" s="433"/>
      <c r="X268" s="434"/>
      <c r="Y268" s="434"/>
    </row>
    <row r="269" spans="2:25" s="299" customFormat="1" ht="48" customHeight="1">
      <c r="B269" s="325">
        <v>0.58333333333333304</v>
      </c>
      <c r="C269" s="326"/>
      <c r="D269" s="435">
        <v>26</v>
      </c>
      <c r="E269" s="328">
        <v>2584</v>
      </c>
      <c r="F269" s="1075"/>
      <c r="G269" s="437"/>
      <c r="H269" s="438"/>
      <c r="I269" s="330"/>
      <c r="J269" s="332">
        <f t="shared" si="20"/>
        <v>2584</v>
      </c>
      <c r="K269" s="333">
        <f t="shared" si="21"/>
        <v>5.7422222222222219</v>
      </c>
      <c r="L269" s="332">
        <v>1</v>
      </c>
      <c r="M269" s="1035">
        <v>1016</v>
      </c>
      <c r="N269" s="1036">
        <v>8</v>
      </c>
      <c r="O269" s="3190" t="s">
        <v>90</v>
      </c>
      <c r="P269" s="3213"/>
      <c r="Q269" s="853">
        <v>2</v>
      </c>
      <c r="R269" s="939">
        <v>2</v>
      </c>
      <c r="S269" s="1076" t="s">
        <v>91</v>
      </c>
      <c r="T269" s="939">
        <v>674</v>
      </c>
      <c r="U269" s="307"/>
      <c r="V269" s="3074">
        <f>VLOOKUP(M269,'[1]TABELA FRETE'!$A$6:$B$12,2,0)</f>
        <v>425.7</v>
      </c>
      <c r="W269" s="3075"/>
      <c r="X269" s="3076"/>
      <c r="Y269" s="3077"/>
    </row>
    <row r="270" spans="2:25" s="299" customFormat="1" ht="48" customHeight="1">
      <c r="B270" s="343">
        <v>0.58333333333333304</v>
      </c>
      <c r="C270" s="326"/>
      <c r="D270" s="444">
        <v>25</v>
      </c>
      <c r="E270" s="375">
        <v>2287</v>
      </c>
      <c r="F270" s="393">
        <v>22</v>
      </c>
      <c r="G270" s="360">
        <v>2097</v>
      </c>
      <c r="H270" s="445"/>
      <c r="I270" s="360"/>
      <c r="J270" s="365">
        <f t="shared" si="20"/>
        <v>4384</v>
      </c>
      <c r="K270" s="366">
        <f t="shared" si="21"/>
        <v>9.7422222222222228</v>
      </c>
      <c r="L270" s="365">
        <v>1</v>
      </c>
      <c r="M270" s="901" t="s">
        <v>7</v>
      </c>
      <c r="N270" s="902">
        <v>11</v>
      </c>
      <c r="O270" s="2829" t="s">
        <v>52</v>
      </c>
      <c r="P270" s="2830"/>
      <c r="Q270" s="947">
        <v>1</v>
      </c>
      <c r="R270" s="1013">
        <v>1</v>
      </c>
      <c r="S270" s="1059" t="s">
        <v>53</v>
      </c>
      <c r="T270" s="917">
        <v>633</v>
      </c>
      <c r="U270" s="307"/>
      <c r="V270" s="3074">
        <f>VLOOKUP(M270,'[1]TABELA FRETE'!$A$6:$B$12,2,0)</f>
        <v>466.4</v>
      </c>
      <c r="W270" s="3075"/>
      <c r="X270" s="3083"/>
      <c r="Y270" s="3084"/>
    </row>
    <row r="271" spans="2:25" s="299" customFormat="1" ht="48" customHeight="1">
      <c r="B271" s="343">
        <v>0.58333333333333304</v>
      </c>
      <c r="C271" s="326"/>
      <c r="D271" s="444">
        <v>31</v>
      </c>
      <c r="E271" s="375">
        <v>3422</v>
      </c>
      <c r="F271" s="361"/>
      <c r="G271" s="360"/>
      <c r="H271" s="445"/>
      <c r="I271" s="360"/>
      <c r="J271" s="365">
        <f t="shared" si="20"/>
        <v>3422</v>
      </c>
      <c r="K271" s="366">
        <f t="shared" si="21"/>
        <v>7.6044444444444448</v>
      </c>
      <c r="L271" s="365">
        <v>1</v>
      </c>
      <c r="M271" s="909">
        <v>1016</v>
      </c>
      <c r="N271" s="910">
        <v>8</v>
      </c>
      <c r="O271" s="2827" t="s">
        <v>44</v>
      </c>
      <c r="P271" s="2828"/>
      <c r="Q271" s="947">
        <v>2</v>
      </c>
      <c r="R271" s="906">
        <v>2</v>
      </c>
      <c r="S271" s="1054" t="s">
        <v>197</v>
      </c>
      <c r="T271" s="906">
        <v>674</v>
      </c>
      <c r="U271" s="307"/>
      <c r="V271" s="3074">
        <f>VLOOKUP(M271,'[1]TABELA FRETE'!$A$6:$B$12,2,0)</f>
        <v>425.7</v>
      </c>
      <c r="W271" s="3075"/>
      <c r="X271" s="3087"/>
      <c r="Y271" s="3088"/>
    </row>
    <row r="272" spans="2:25" s="299" customFormat="1" ht="48" customHeight="1">
      <c r="B272" s="343">
        <v>0.58333333333333304</v>
      </c>
      <c r="C272" s="452"/>
      <c r="D272" s="453">
        <v>17</v>
      </c>
      <c r="E272" s="345">
        <v>4708</v>
      </c>
      <c r="F272" s="454"/>
      <c r="G272" s="345"/>
      <c r="H272" s="348"/>
      <c r="I272" s="455"/>
      <c r="J272" s="350">
        <f t="shared" si="20"/>
        <v>4708</v>
      </c>
      <c r="K272" s="351">
        <f t="shared" si="21"/>
        <v>10.462222222222222</v>
      </c>
      <c r="L272" s="350">
        <v>1</v>
      </c>
      <c r="M272" s="901" t="s">
        <v>7</v>
      </c>
      <c r="N272" s="902">
        <v>12</v>
      </c>
      <c r="O272" s="2827" t="s">
        <v>153</v>
      </c>
      <c r="P272" s="2828"/>
      <c r="Q272" s="947">
        <v>1</v>
      </c>
      <c r="R272" s="1013">
        <v>1</v>
      </c>
      <c r="S272" s="1059" t="s">
        <v>154</v>
      </c>
      <c r="T272" s="917">
        <v>664</v>
      </c>
      <c r="U272" s="307"/>
      <c r="V272" s="3074">
        <f>VLOOKUP(M272,'[1]TABELA FRETE'!$A$6:$B$12,2,0)</f>
        <v>466.4</v>
      </c>
      <c r="W272" s="3075"/>
      <c r="X272" s="3076"/>
      <c r="Y272" s="3077"/>
    </row>
    <row r="273" spans="1:25" s="299" customFormat="1" ht="48" customHeight="1">
      <c r="B273" s="343">
        <v>0.58333333333333304</v>
      </c>
      <c r="C273" s="326"/>
      <c r="D273" s="458">
        <v>23</v>
      </c>
      <c r="E273" s="392">
        <v>3580</v>
      </c>
      <c r="F273" s="464">
        <v>44</v>
      </c>
      <c r="G273" s="392">
        <v>1013</v>
      </c>
      <c r="H273" s="394"/>
      <c r="I273" s="395"/>
      <c r="J273" s="396">
        <f t="shared" si="20"/>
        <v>4593</v>
      </c>
      <c r="K273" s="461">
        <f t="shared" si="21"/>
        <v>10.206666666666667</v>
      </c>
      <c r="L273" s="396">
        <v>1</v>
      </c>
      <c r="M273" s="901" t="s">
        <v>7</v>
      </c>
      <c r="N273" s="902">
        <v>12</v>
      </c>
      <c r="O273" s="2829" t="s">
        <v>58</v>
      </c>
      <c r="P273" s="2830"/>
      <c r="Q273" s="947">
        <v>2</v>
      </c>
      <c r="R273" s="917">
        <v>2</v>
      </c>
      <c r="S273" s="1059" t="s">
        <v>59</v>
      </c>
      <c r="T273" s="906">
        <v>674</v>
      </c>
      <c r="U273" s="307"/>
      <c r="V273" s="3074">
        <f>VLOOKUP(M273,'[1]TABELA FRETE'!$A$6:$B$12,2,0)</f>
        <v>466.4</v>
      </c>
      <c r="W273" s="3075"/>
      <c r="X273" s="3076"/>
      <c r="Y273" s="3077"/>
    </row>
    <row r="274" spans="1:25" s="299" customFormat="1" ht="48" customHeight="1">
      <c r="B274" s="358">
        <v>0.58333333333333304</v>
      </c>
      <c r="C274" s="326"/>
      <c r="D274" s="458">
        <v>10</v>
      </c>
      <c r="E274" s="392">
        <v>5500</v>
      </c>
      <c r="F274" s="393"/>
      <c r="G274" s="360"/>
      <c r="H274" s="363"/>
      <c r="I274" s="375"/>
      <c r="J274" s="365">
        <f t="shared" si="20"/>
        <v>5500</v>
      </c>
      <c r="K274" s="366">
        <f t="shared" si="21"/>
        <v>12.222222222222221</v>
      </c>
      <c r="L274" s="365">
        <v>1</v>
      </c>
      <c r="M274" s="901" t="s">
        <v>7</v>
      </c>
      <c r="N274" s="902">
        <v>12</v>
      </c>
      <c r="O274" s="2829" t="s">
        <v>50</v>
      </c>
      <c r="P274" s="2830"/>
      <c r="Q274" s="947">
        <v>2</v>
      </c>
      <c r="R274" s="1013">
        <v>2</v>
      </c>
      <c r="S274" s="1059" t="s">
        <v>207</v>
      </c>
      <c r="T274" s="917">
        <v>612</v>
      </c>
      <c r="U274" s="307"/>
      <c r="V274" s="3074">
        <f>VLOOKUP(M274,'[1]TABELA FRETE'!$A$6:$B$12,2,0)</f>
        <v>466.4</v>
      </c>
      <c r="W274" s="3075"/>
      <c r="X274" s="3076"/>
      <c r="Y274" s="3077"/>
    </row>
    <row r="275" spans="1:25" s="299" customFormat="1" ht="61.5" customHeight="1">
      <c r="B275" s="358">
        <v>0.58333333333333304</v>
      </c>
      <c r="C275" s="326"/>
      <c r="D275" s="462" t="s">
        <v>78</v>
      </c>
      <c r="E275" s="360">
        <v>5500</v>
      </c>
      <c r="F275" s="393"/>
      <c r="G275" s="360"/>
      <c r="H275" s="363"/>
      <c r="I275" s="375"/>
      <c r="J275" s="365">
        <f t="shared" si="20"/>
        <v>5500</v>
      </c>
      <c r="K275" s="366">
        <f t="shared" si="21"/>
        <v>12.222222222222221</v>
      </c>
      <c r="L275" s="365">
        <v>1</v>
      </c>
      <c r="M275" s="909" t="s">
        <v>7</v>
      </c>
      <c r="N275" s="909">
        <v>12</v>
      </c>
      <c r="O275" s="2910" t="s">
        <v>66</v>
      </c>
      <c r="P275" s="3162"/>
      <c r="Q275" s="829">
        <v>2</v>
      </c>
      <c r="R275" s="906">
        <v>2</v>
      </c>
      <c r="S275" s="831" t="s">
        <v>208</v>
      </c>
      <c r="T275" s="832">
        <v>184461</v>
      </c>
      <c r="U275" s="307"/>
      <c r="V275" s="3074">
        <f>VLOOKUP(M275,'[1]TABELA FRETE'!$A$6:$B$12,2,0)</f>
        <v>466.4</v>
      </c>
      <c r="W275" s="3075"/>
      <c r="X275" s="3076"/>
      <c r="Y275" s="3077"/>
    </row>
    <row r="276" spans="1:25" s="299" customFormat="1" ht="63" customHeight="1">
      <c r="A276" s="1077">
        <v>0.58333333333333304</v>
      </c>
      <c r="B276" s="463">
        <v>0.58333333333333304</v>
      </c>
      <c r="C276" s="326"/>
      <c r="D276" s="470">
        <v>10</v>
      </c>
      <c r="E276" s="392">
        <v>708</v>
      </c>
      <c r="F276" s="393" t="s">
        <v>78</v>
      </c>
      <c r="G276" s="392">
        <v>1103</v>
      </c>
      <c r="H276" s="394"/>
      <c r="I276" s="395"/>
      <c r="J276" s="365">
        <f t="shared" si="20"/>
        <v>1811</v>
      </c>
      <c r="K276" s="366">
        <f t="shared" si="21"/>
        <v>4.0244444444444447</v>
      </c>
      <c r="L276" s="396">
        <v>1</v>
      </c>
      <c r="M276" s="919">
        <v>1016</v>
      </c>
      <c r="N276" s="920">
        <v>6</v>
      </c>
      <c r="O276" s="2827" t="s">
        <v>139</v>
      </c>
      <c r="P276" s="2828"/>
      <c r="Q276" s="963">
        <v>1</v>
      </c>
      <c r="R276" s="906">
        <v>1</v>
      </c>
      <c r="S276" s="1054" t="s">
        <v>209</v>
      </c>
      <c r="T276" s="906">
        <v>809</v>
      </c>
      <c r="U276" s="307"/>
      <c r="V276" s="537"/>
      <c r="W276" s="538"/>
      <c r="X276" s="341"/>
      <c r="Y276" s="342"/>
    </row>
    <row r="277" spans="1:25" s="299" customFormat="1" ht="45" customHeight="1">
      <c r="B277" s="463">
        <v>0.58333333333333304</v>
      </c>
      <c r="C277" s="326"/>
      <c r="D277" s="458">
        <v>40</v>
      </c>
      <c r="E277" s="392">
        <v>6556</v>
      </c>
      <c r="F277" s="393"/>
      <c r="G277" s="392"/>
      <c r="H277" s="394"/>
      <c r="I277" s="395"/>
      <c r="J277" s="365">
        <f t="shared" si="20"/>
        <v>6556</v>
      </c>
      <c r="K277" s="366">
        <f>J277/460</f>
        <v>14.252173913043478</v>
      </c>
      <c r="L277" s="396">
        <v>1</v>
      </c>
      <c r="M277" s="909" t="s">
        <v>6</v>
      </c>
      <c r="N277" s="910">
        <v>14</v>
      </c>
      <c r="O277" s="2827" t="s">
        <v>143</v>
      </c>
      <c r="P277" s="2828"/>
      <c r="Q277" s="963">
        <v>1</v>
      </c>
      <c r="R277" s="906">
        <v>1</v>
      </c>
      <c r="S277" s="1054" t="s">
        <v>69</v>
      </c>
      <c r="T277" s="906">
        <v>184422</v>
      </c>
      <c r="U277" s="307"/>
      <c r="V277" s="3074">
        <f>VLOOKUP(M277,'[1]TABELA FRETE'!$A$6:$B$12,2,0)</f>
        <v>489.5</v>
      </c>
      <c r="W277" s="3075"/>
      <c r="X277" s="3076"/>
      <c r="Y277" s="3077"/>
    </row>
    <row r="278" spans="1:25" s="299" customFormat="1" ht="48" customHeight="1">
      <c r="B278" s="463">
        <v>0.58333333333333304</v>
      </c>
      <c r="C278" s="326"/>
      <c r="D278" s="458">
        <v>3</v>
      </c>
      <c r="E278" s="392">
        <v>1450</v>
      </c>
      <c r="F278" s="458">
        <v>5</v>
      </c>
      <c r="G278" s="392">
        <v>1463</v>
      </c>
      <c r="H278" s="465"/>
      <c r="I278" s="392"/>
      <c r="J278" s="365">
        <f t="shared" si="20"/>
        <v>2913</v>
      </c>
      <c r="K278" s="366">
        <f>J278/450</f>
        <v>6.4733333333333336</v>
      </c>
      <c r="L278" s="396">
        <v>1</v>
      </c>
      <c r="M278" s="909">
        <v>1016</v>
      </c>
      <c r="N278" s="910">
        <v>8</v>
      </c>
      <c r="O278" s="2827" t="s">
        <v>150</v>
      </c>
      <c r="P278" s="2828"/>
      <c r="Q278" s="947">
        <v>1</v>
      </c>
      <c r="R278" s="906">
        <v>1</v>
      </c>
      <c r="S278" s="1054" t="s">
        <v>151</v>
      </c>
      <c r="T278" s="906">
        <v>642</v>
      </c>
      <c r="U278" s="307"/>
      <c r="V278" s="3074">
        <f>VLOOKUP(M278,'[1]TABELA FRETE'!$A$6:$B$12,2,0)</f>
        <v>425.7</v>
      </c>
      <c r="W278" s="3075"/>
      <c r="X278" s="3076"/>
      <c r="Y278" s="3077"/>
    </row>
    <row r="279" spans="1:25" s="299" customFormat="1" ht="48" customHeight="1">
      <c r="B279" s="463">
        <v>0.58333333333333304</v>
      </c>
      <c r="C279" s="326"/>
      <c r="D279" s="458">
        <v>32</v>
      </c>
      <c r="E279" s="392">
        <v>2247</v>
      </c>
      <c r="F279" s="464"/>
      <c r="G279" s="392"/>
      <c r="H279" s="465"/>
      <c r="I279" s="392"/>
      <c r="J279" s="365">
        <f t="shared" si="20"/>
        <v>2247</v>
      </c>
      <c r="K279" s="366">
        <f>J279/450</f>
        <v>4.9933333333333332</v>
      </c>
      <c r="L279" s="396">
        <v>1</v>
      </c>
      <c r="M279" s="909">
        <v>1016</v>
      </c>
      <c r="N279" s="910">
        <v>6</v>
      </c>
      <c r="O279" s="2827" t="s">
        <v>70</v>
      </c>
      <c r="P279" s="2828"/>
      <c r="Q279" s="963">
        <v>1</v>
      </c>
      <c r="R279" s="906">
        <v>2</v>
      </c>
      <c r="S279" s="1054" t="s">
        <v>71</v>
      </c>
      <c r="T279" s="906">
        <v>333</v>
      </c>
      <c r="U279" s="307"/>
      <c r="V279" s="537"/>
      <c r="W279" s="538"/>
      <c r="X279" s="341"/>
      <c r="Y279" s="342"/>
    </row>
    <row r="280" spans="1:25" s="299" customFormat="1" ht="48" customHeight="1">
      <c r="B280" s="463">
        <v>0.58333333333333304</v>
      </c>
      <c r="C280" s="326"/>
      <c r="D280" s="458">
        <v>20</v>
      </c>
      <c r="E280" s="392">
        <v>1942</v>
      </c>
      <c r="F280" s="464"/>
      <c r="G280" s="392"/>
      <c r="H280" s="465"/>
      <c r="I280" s="392"/>
      <c r="J280" s="365">
        <f t="shared" si="20"/>
        <v>1942</v>
      </c>
      <c r="K280" s="366">
        <f t="shared" si="21"/>
        <v>4.3155555555555551</v>
      </c>
      <c r="L280" s="396">
        <v>1</v>
      </c>
      <c r="M280" s="909">
        <v>1016</v>
      </c>
      <c r="N280" s="910">
        <v>6</v>
      </c>
      <c r="O280" s="2829" t="s">
        <v>83</v>
      </c>
      <c r="P280" s="2830"/>
      <c r="Q280" s="947">
        <v>2</v>
      </c>
      <c r="R280" s="1013">
        <v>2</v>
      </c>
      <c r="S280" s="1059" t="s">
        <v>84</v>
      </c>
      <c r="T280" s="917">
        <v>655</v>
      </c>
      <c r="U280" s="307"/>
      <c r="V280" s="3074">
        <f>VLOOKUP(M280,'[1]TABELA FRETE'!$A$6:$B$12,2,0)</f>
        <v>425.7</v>
      </c>
      <c r="W280" s="3075"/>
      <c r="X280" s="3076"/>
      <c r="Y280" s="3077"/>
    </row>
    <row r="281" spans="1:25" s="299" customFormat="1" ht="48" customHeight="1">
      <c r="B281" s="463">
        <v>0.58333333333333304</v>
      </c>
      <c r="C281" s="326"/>
      <c r="D281" s="458">
        <v>42</v>
      </c>
      <c r="E281" s="392">
        <v>2852</v>
      </c>
      <c r="F281" s="464"/>
      <c r="G281" s="392"/>
      <c r="H281" s="465"/>
      <c r="I281" s="392"/>
      <c r="J281" s="365">
        <f t="shared" si="20"/>
        <v>2852</v>
      </c>
      <c r="K281" s="366">
        <f t="shared" si="21"/>
        <v>6.3377777777777782</v>
      </c>
      <c r="L281" s="396">
        <v>1</v>
      </c>
      <c r="M281" s="909">
        <v>1016</v>
      </c>
      <c r="N281" s="910">
        <v>8</v>
      </c>
      <c r="O281" s="2827" t="s">
        <v>157</v>
      </c>
      <c r="P281" s="2828"/>
      <c r="Q281" s="947">
        <v>1</v>
      </c>
      <c r="R281" s="906">
        <v>0</v>
      </c>
      <c r="S281" s="1054" t="s">
        <v>158</v>
      </c>
      <c r="T281" s="906">
        <v>642</v>
      </c>
      <c r="U281" s="307"/>
      <c r="V281" s="537"/>
      <c r="W281" s="538"/>
      <c r="X281" s="341"/>
      <c r="Y281" s="342"/>
    </row>
    <row r="282" spans="1:25" s="299" customFormat="1" ht="48" customHeight="1">
      <c r="B282" s="463">
        <v>0.70833333333333304</v>
      </c>
      <c r="C282" s="326"/>
      <c r="D282" s="444">
        <v>6</v>
      </c>
      <c r="E282" s="360">
        <v>2885</v>
      </c>
      <c r="F282" s="473"/>
      <c r="G282" s="375"/>
      <c r="H282" s="474"/>
      <c r="I282" s="360"/>
      <c r="J282" s="467">
        <f t="shared" si="20"/>
        <v>2885</v>
      </c>
      <c r="K282" s="475">
        <f t="shared" si="21"/>
        <v>6.4111111111111114</v>
      </c>
      <c r="L282" s="467">
        <v>1</v>
      </c>
      <c r="M282" s="901">
        <v>1016</v>
      </c>
      <c r="N282" s="902">
        <v>8</v>
      </c>
      <c r="O282" s="2829" t="s">
        <v>85</v>
      </c>
      <c r="P282" s="2830"/>
      <c r="Q282" s="947">
        <v>2</v>
      </c>
      <c r="R282" s="1013">
        <v>0</v>
      </c>
      <c r="S282" s="1059" t="s">
        <v>86</v>
      </c>
      <c r="T282" s="917">
        <v>714</v>
      </c>
      <c r="U282" s="307"/>
      <c r="V282" s="3074">
        <f>VLOOKUP(M282,'[1]TABELA FRETE'!$A$6:$B$12,2,0)</f>
        <v>425.7</v>
      </c>
      <c r="W282" s="3075"/>
      <c r="X282" s="3076"/>
      <c r="Y282" s="3077"/>
    </row>
    <row r="283" spans="1:25" s="299" customFormat="1" ht="63" customHeight="1">
      <c r="B283" s="463">
        <v>0.58333333333333304</v>
      </c>
      <c r="C283" s="326"/>
      <c r="D283" s="462" t="s">
        <v>87</v>
      </c>
      <c r="E283" s="360">
        <v>5406</v>
      </c>
      <c r="F283" s="1078"/>
      <c r="G283" s="360"/>
      <c r="H283" s="445"/>
      <c r="I283" s="360"/>
      <c r="J283" s="365">
        <f t="shared" si="20"/>
        <v>5406</v>
      </c>
      <c r="K283" s="366">
        <f t="shared" si="21"/>
        <v>12.013333333333334</v>
      </c>
      <c r="L283" s="365">
        <v>1</v>
      </c>
      <c r="M283" s="1060" t="s">
        <v>7</v>
      </c>
      <c r="N283" s="1079">
        <v>12</v>
      </c>
      <c r="O283" s="2825" t="s">
        <v>68</v>
      </c>
      <c r="P283" s="2826"/>
      <c r="Q283" s="1062">
        <v>1</v>
      </c>
      <c r="R283" s="1080">
        <v>0</v>
      </c>
      <c r="S283" s="1064" t="s">
        <v>210</v>
      </c>
      <c r="T283" s="1065">
        <v>808</v>
      </c>
      <c r="U283" s="307"/>
      <c r="V283" s="2630">
        <f>VLOOKUP(M283,'[1]TABELA FRETE'!$D$25:$E$29,2,0)</f>
        <v>286</v>
      </c>
      <c r="W283" s="2631"/>
      <c r="X283" s="3076"/>
      <c r="Y283" s="3077"/>
    </row>
    <row r="284" spans="1:25" s="299" customFormat="1" ht="63" customHeight="1">
      <c r="B284" s="463">
        <v>0.58333333333333304</v>
      </c>
      <c r="C284" s="326"/>
      <c r="D284" s="462">
        <v>1129</v>
      </c>
      <c r="E284" s="360">
        <v>4971</v>
      </c>
      <c r="F284" s="1078"/>
      <c r="G284" s="360"/>
      <c r="H284" s="445"/>
      <c r="I284" s="360"/>
      <c r="J284" s="365">
        <f t="shared" si="20"/>
        <v>4971</v>
      </c>
      <c r="K284" s="366">
        <f t="shared" si="21"/>
        <v>11.046666666666667</v>
      </c>
      <c r="L284" s="365">
        <v>1</v>
      </c>
      <c r="M284" s="901" t="s">
        <v>7</v>
      </c>
      <c r="N284" s="902">
        <v>12</v>
      </c>
      <c r="O284" s="2910" t="s">
        <v>62</v>
      </c>
      <c r="P284" s="3162"/>
      <c r="Q284" s="947">
        <v>2</v>
      </c>
      <c r="R284" s="1013">
        <v>2</v>
      </c>
      <c r="S284" s="1059" t="s">
        <v>63</v>
      </c>
      <c r="T284" s="917">
        <v>740</v>
      </c>
      <c r="U284" s="307"/>
      <c r="V284" s="339"/>
      <c r="W284" s="340"/>
      <c r="X284" s="448"/>
      <c r="Y284" s="449"/>
    </row>
    <row r="285" spans="1:25" s="299" customFormat="1" ht="48" customHeight="1">
      <c r="B285" s="408">
        <v>0.58333333333333304</v>
      </c>
      <c r="C285" s="326"/>
      <c r="D285" s="476">
        <v>46</v>
      </c>
      <c r="E285" s="477">
        <v>3736</v>
      </c>
      <c r="F285" s="478"/>
      <c r="G285" s="477"/>
      <c r="H285" s="479"/>
      <c r="I285" s="477"/>
      <c r="J285" s="480">
        <f t="shared" si="20"/>
        <v>3736</v>
      </c>
      <c r="K285" s="481">
        <f t="shared" si="21"/>
        <v>8.3022222222222215</v>
      </c>
      <c r="L285" s="480">
        <v>1</v>
      </c>
      <c r="M285" s="1081">
        <v>1016</v>
      </c>
      <c r="N285" s="1081">
        <v>10</v>
      </c>
      <c r="O285" s="3210" t="s">
        <v>72</v>
      </c>
      <c r="P285" s="3211"/>
      <c r="Q285" s="1082">
        <v>2</v>
      </c>
      <c r="R285" s="1083">
        <v>0</v>
      </c>
      <c r="S285" s="1084" t="s">
        <v>73</v>
      </c>
      <c r="T285" s="1085">
        <v>184090</v>
      </c>
      <c r="U285" s="486"/>
      <c r="V285" s="3074">
        <f>VLOOKUP(M285,'[1]TABELA FRETE'!$A$6:$B$12,2,0)</f>
        <v>425.7</v>
      </c>
      <c r="W285" s="3075"/>
      <c r="X285" s="3087"/>
      <c r="Y285" s="3088"/>
    </row>
    <row r="286" spans="1:25" s="301" customFormat="1" ht="6" customHeight="1">
      <c r="B286" s="326"/>
      <c r="C286" s="326"/>
      <c r="D286" s="487"/>
      <c r="E286" s="423"/>
      <c r="F286" s="488"/>
      <c r="G286" s="423"/>
      <c r="H286" s="424"/>
      <c r="I286" s="423"/>
      <c r="J286" s="423"/>
      <c r="K286" s="425"/>
      <c r="L286" s="423"/>
      <c r="M286" s="426"/>
      <c r="N286" s="427"/>
      <c r="O286" s="431"/>
      <c r="P286" s="431"/>
      <c r="Q286" s="431"/>
      <c r="R286" s="431"/>
      <c r="S286" s="489"/>
      <c r="T286" s="431"/>
      <c r="U286" s="432"/>
      <c r="V286" s="433"/>
      <c r="W286" s="433"/>
      <c r="X286" s="434"/>
      <c r="Y286" s="434"/>
    </row>
    <row r="287" spans="1:25" s="299" customFormat="1" ht="48" customHeight="1">
      <c r="B287" s="325">
        <v>0.70833333333333304</v>
      </c>
      <c r="C287" s="326"/>
      <c r="D287" s="490">
        <v>36</v>
      </c>
      <c r="E287" s="328">
        <v>3149</v>
      </c>
      <c r="F287" s="491"/>
      <c r="G287" s="328"/>
      <c r="H287" s="438"/>
      <c r="I287" s="492"/>
      <c r="J287" s="623">
        <f t="shared" si="20"/>
        <v>3149</v>
      </c>
      <c r="K287" s="494">
        <f t="shared" si="21"/>
        <v>6.9977777777777774</v>
      </c>
      <c r="L287" s="493">
        <v>1</v>
      </c>
      <c r="M287" s="439">
        <v>1016</v>
      </c>
      <c r="N287" s="440">
        <v>8</v>
      </c>
      <c r="O287" s="2940" t="s">
        <v>85</v>
      </c>
      <c r="P287" s="2941"/>
      <c r="Q287" s="442">
        <v>2</v>
      </c>
      <c r="R287" s="442">
        <v>2</v>
      </c>
      <c r="S287" s="589" t="s">
        <v>86</v>
      </c>
      <c r="T287" s="588">
        <v>714</v>
      </c>
      <c r="U287" s="307"/>
      <c r="V287" s="3074">
        <f>VLOOKUP(M287,'[1]TABELA FRETE'!$A$6:$B$12,2,0)</f>
        <v>425.7</v>
      </c>
      <c r="W287" s="3075"/>
      <c r="X287" s="3076"/>
      <c r="Y287" s="3077"/>
    </row>
    <row r="288" spans="1:25" s="299" customFormat="1" ht="48" customHeight="1">
      <c r="B288" s="343">
        <v>0.70833333333333304</v>
      </c>
      <c r="C288" s="326"/>
      <c r="D288" s="520">
        <v>33</v>
      </c>
      <c r="E288" s="345">
        <v>3221</v>
      </c>
      <c r="F288" s="504"/>
      <c r="G288" s="345"/>
      <c r="H288" s="348"/>
      <c r="I288" s="455"/>
      <c r="J288" s="505">
        <f t="shared" si="20"/>
        <v>3221</v>
      </c>
      <c r="K288" s="506">
        <f t="shared" si="21"/>
        <v>7.1577777777777776</v>
      </c>
      <c r="L288" s="423">
        <v>1</v>
      </c>
      <c r="M288" s="533">
        <v>1016</v>
      </c>
      <c r="N288" s="534">
        <v>8</v>
      </c>
      <c r="O288" s="2908" t="s">
        <v>46</v>
      </c>
      <c r="P288" s="3212"/>
      <c r="Q288" s="357">
        <v>2</v>
      </c>
      <c r="R288" s="357">
        <v>2</v>
      </c>
      <c r="S288" s="809" t="s">
        <v>102</v>
      </c>
      <c r="T288" s="657">
        <v>48</v>
      </c>
      <c r="U288" s="307"/>
      <c r="V288" s="537"/>
      <c r="W288" s="538"/>
      <c r="X288" s="341"/>
      <c r="Y288" s="342"/>
    </row>
    <row r="289" spans="2:25" s="299" customFormat="1" ht="48" customHeight="1">
      <c r="B289" s="358">
        <v>0.70833333333333304</v>
      </c>
      <c r="C289" s="326"/>
      <c r="D289" s="516">
        <v>30</v>
      </c>
      <c r="E289" s="360">
        <v>1924</v>
      </c>
      <c r="F289" s="521"/>
      <c r="G289" s="345"/>
      <c r="H289" s="474"/>
      <c r="I289" s="360"/>
      <c r="J289" s="467">
        <f t="shared" si="20"/>
        <v>1924</v>
      </c>
      <c r="K289" s="475">
        <f t="shared" si="21"/>
        <v>4.275555555555556</v>
      </c>
      <c r="L289" s="467">
        <v>1</v>
      </c>
      <c r="M289" s="376">
        <v>1016</v>
      </c>
      <c r="N289" s="377">
        <v>8</v>
      </c>
      <c r="O289" s="3161" t="s">
        <v>44</v>
      </c>
      <c r="P289" s="2629"/>
      <c r="Q289" s="407">
        <v>2</v>
      </c>
      <c r="R289" s="407">
        <v>2</v>
      </c>
      <c r="S289" s="1086" t="s">
        <v>103</v>
      </c>
      <c r="T289" s="451">
        <v>674</v>
      </c>
      <c r="U289" s="307"/>
      <c r="V289" s="3074">
        <f>VLOOKUP(M289,'[1]TABELA FRETE'!$A$6:$B$12,2,0)</f>
        <v>425.7</v>
      </c>
      <c r="W289" s="3075"/>
      <c r="X289" s="3076"/>
      <c r="Y289" s="3077"/>
    </row>
    <row r="290" spans="2:25" s="299" customFormat="1" ht="48" customHeight="1">
      <c r="B290" s="358">
        <v>0.70833333333333304</v>
      </c>
      <c r="C290" s="326"/>
      <c r="D290" s="522">
        <v>21</v>
      </c>
      <c r="E290" s="392">
        <v>3316</v>
      </c>
      <c r="F290" s="523"/>
      <c r="G290" s="460"/>
      <c r="H290" s="465"/>
      <c r="I290" s="392"/>
      <c r="J290" s="467">
        <f t="shared" si="20"/>
        <v>3316</v>
      </c>
      <c r="K290" s="475">
        <f t="shared" si="21"/>
        <v>7.3688888888888888</v>
      </c>
      <c r="L290" s="467">
        <v>1</v>
      </c>
      <c r="M290" s="376">
        <v>1016</v>
      </c>
      <c r="N290" s="377">
        <v>8</v>
      </c>
      <c r="O290" s="2628" t="s">
        <v>106</v>
      </c>
      <c r="P290" s="2629"/>
      <c r="Q290" s="407">
        <v>2</v>
      </c>
      <c r="R290" s="407">
        <v>2</v>
      </c>
      <c r="S290" s="1086" t="s">
        <v>211</v>
      </c>
      <c r="T290" s="451">
        <v>606</v>
      </c>
      <c r="U290" s="307"/>
      <c r="V290" s="3074">
        <f>VLOOKUP(M290,'[1]TABELA FRETE'!$A$6:$B$12,2,0)</f>
        <v>425.7</v>
      </c>
      <c r="W290" s="3075"/>
      <c r="X290" s="3076"/>
      <c r="Y290" s="3077"/>
    </row>
    <row r="291" spans="2:25" s="299" customFormat="1" ht="49.5" customHeight="1">
      <c r="B291" s="358">
        <v>0.70833333333333304</v>
      </c>
      <c r="C291" s="326"/>
      <c r="D291" s="516">
        <v>4</v>
      </c>
      <c r="E291" s="360">
        <v>2153</v>
      </c>
      <c r="F291" s="524"/>
      <c r="G291" s="360"/>
      <c r="H291" s="525"/>
      <c r="I291" s="360"/>
      <c r="J291" s="467">
        <f t="shared" si="20"/>
        <v>2153</v>
      </c>
      <c r="K291" s="475">
        <f t="shared" si="21"/>
        <v>4.7844444444444445</v>
      </c>
      <c r="L291" s="467">
        <v>1</v>
      </c>
      <c r="M291" s="526">
        <v>1016</v>
      </c>
      <c r="N291" s="348">
        <v>8</v>
      </c>
      <c r="O291" s="2742" t="s">
        <v>92</v>
      </c>
      <c r="P291" s="3209"/>
      <c r="Q291" s="455">
        <v>2</v>
      </c>
      <c r="R291" s="455">
        <v>2</v>
      </c>
      <c r="S291" s="1088" t="s">
        <v>104</v>
      </c>
      <c r="T291" s="1089">
        <v>576</v>
      </c>
      <c r="U291" s="432"/>
      <c r="V291" s="3074">
        <f>VLOOKUP(M291,'[1]TABELA FRETE'!$A$6:$B$12,2,0)</f>
        <v>425.7</v>
      </c>
      <c r="W291" s="3075"/>
      <c r="X291" s="3076"/>
      <c r="Y291" s="3077"/>
    </row>
    <row r="292" spans="2:25" s="299" customFormat="1" ht="49.5" customHeight="1">
      <c r="B292" s="358">
        <v>0.70833333333333304</v>
      </c>
      <c r="C292" s="326"/>
      <c r="D292" s="516">
        <v>18</v>
      </c>
      <c r="E292" s="360">
        <v>2208</v>
      </c>
      <c r="F292" s="530"/>
      <c r="G292" s="392"/>
      <c r="H292" s="531"/>
      <c r="I292" s="392"/>
      <c r="J292" s="467">
        <f t="shared" si="20"/>
        <v>2208</v>
      </c>
      <c r="K292" s="475">
        <f t="shared" si="21"/>
        <v>4.9066666666666663</v>
      </c>
      <c r="L292" s="467">
        <v>1</v>
      </c>
      <c r="M292" s="376">
        <v>1016</v>
      </c>
      <c r="N292" s="377">
        <v>7</v>
      </c>
      <c r="O292" s="2628" t="s">
        <v>56</v>
      </c>
      <c r="P292" s="2629"/>
      <c r="Q292" s="407">
        <v>1</v>
      </c>
      <c r="R292" s="407">
        <v>1</v>
      </c>
      <c r="S292" s="1086" t="s">
        <v>57</v>
      </c>
      <c r="T292" s="451">
        <v>663</v>
      </c>
      <c r="U292" s="432"/>
      <c r="V292" s="3074">
        <f>VLOOKUP(M292,'[1]TABELA FRETE'!$A$6:$B$12,2,0)</f>
        <v>425.7</v>
      </c>
      <c r="W292" s="3075"/>
      <c r="X292" s="3076"/>
      <c r="Y292" s="3077"/>
    </row>
    <row r="293" spans="2:25" s="299" customFormat="1" ht="48" customHeight="1">
      <c r="B293" s="463">
        <v>0.70833333333333304</v>
      </c>
      <c r="C293" s="326"/>
      <c r="D293" s="516">
        <v>27</v>
      </c>
      <c r="E293" s="360">
        <v>1560</v>
      </c>
      <c r="F293" s="1090">
        <v>15</v>
      </c>
      <c r="G293" s="395">
        <v>2507</v>
      </c>
      <c r="H293" s="744"/>
      <c r="I293" s="392"/>
      <c r="J293" s="467">
        <f t="shared" si="20"/>
        <v>4067</v>
      </c>
      <c r="K293" s="475">
        <f t="shared" si="21"/>
        <v>9.0377777777777784</v>
      </c>
      <c r="L293" s="467">
        <v>1</v>
      </c>
      <c r="M293" s="944" t="s">
        <v>7</v>
      </c>
      <c r="N293" s="945">
        <v>12</v>
      </c>
      <c r="O293" s="2910" t="s">
        <v>62</v>
      </c>
      <c r="P293" s="2911"/>
      <c r="Q293" s="947">
        <v>2</v>
      </c>
      <c r="R293" s="947">
        <v>2</v>
      </c>
      <c r="S293" s="1059" t="s">
        <v>63</v>
      </c>
      <c r="T293" s="917">
        <v>740</v>
      </c>
      <c r="U293" s="307"/>
      <c r="V293" s="3074">
        <f>VLOOKUP(M293,'[1]TABELA FRETE'!$A$6:$B$12,2,0)</f>
        <v>466.4</v>
      </c>
      <c r="W293" s="3075"/>
      <c r="X293" s="3076"/>
      <c r="Y293" s="3077"/>
    </row>
    <row r="294" spans="2:25" s="299" customFormat="1" ht="48" customHeight="1">
      <c r="B294" s="463">
        <v>0.70833333333333304</v>
      </c>
      <c r="C294" s="326"/>
      <c r="D294" s="516">
        <v>7</v>
      </c>
      <c r="E294" s="360">
        <v>4019</v>
      </c>
      <c r="F294" s="473"/>
      <c r="G294" s="375"/>
      <c r="H294" s="474"/>
      <c r="I294" s="360"/>
      <c r="J294" s="467">
        <f t="shared" si="20"/>
        <v>4019</v>
      </c>
      <c r="K294" s="475">
        <f t="shared" si="21"/>
        <v>8.931111111111111</v>
      </c>
      <c r="L294" s="467">
        <v>1</v>
      </c>
      <c r="M294" s="944" t="s">
        <v>7</v>
      </c>
      <c r="N294" s="945">
        <v>12</v>
      </c>
      <c r="O294" s="2829" t="s">
        <v>50</v>
      </c>
      <c r="P294" s="3172"/>
      <c r="Q294" s="947">
        <v>2</v>
      </c>
      <c r="R294" s="947">
        <v>2</v>
      </c>
      <c r="S294" s="1059" t="s">
        <v>51</v>
      </c>
      <c r="T294" s="917">
        <v>612</v>
      </c>
      <c r="U294" s="307"/>
      <c r="V294" s="3074">
        <f>VLOOKUP(M294,'[1]TABELA FRETE'!$A$6:$B$12,2,0)</f>
        <v>466.4</v>
      </c>
      <c r="W294" s="3075"/>
      <c r="X294" s="3076"/>
      <c r="Y294" s="3077"/>
    </row>
    <row r="295" spans="2:25" s="299" customFormat="1" ht="48" customHeight="1">
      <c r="B295" s="463">
        <v>0.70833333333333304</v>
      </c>
      <c r="C295" s="326"/>
      <c r="D295" s="522">
        <v>48</v>
      </c>
      <c r="E295" s="392">
        <v>1900</v>
      </c>
      <c r="F295" s="539"/>
      <c r="G295" s="360"/>
      <c r="H295" s="363"/>
      <c r="I295" s="375"/>
      <c r="J295" s="365">
        <f t="shared" si="20"/>
        <v>1900</v>
      </c>
      <c r="K295" s="366">
        <f t="shared" si="21"/>
        <v>4.2222222222222223</v>
      </c>
      <c r="L295" s="365">
        <v>1</v>
      </c>
      <c r="M295" s="526">
        <v>1016</v>
      </c>
      <c r="N295" s="348">
        <v>8</v>
      </c>
      <c r="O295" s="3047" t="s">
        <v>88</v>
      </c>
      <c r="P295" s="3048"/>
      <c r="Q295" s="455">
        <v>1</v>
      </c>
      <c r="R295" s="455">
        <v>1</v>
      </c>
      <c r="S295" s="1088" t="s">
        <v>89</v>
      </c>
      <c r="T295" s="1089">
        <v>799</v>
      </c>
      <c r="U295" s="307"/>
      <c r="V295" s="3074">
        <f>VLOOKUP(M295,'[1]TABELA FRETE'!$A$6:$B$12,2,0)</f>
        <v>425.7</v>
      </c>
      <c r="W295" s="3075"/>
      <c r="X295" s="3083"/>
      <c r="Y295" s="3084"/>
    </row>
    <row r="296" spans="2:25" s="299" customFormat="1" ht="48" customHeight="1">
      <c r="B296" s="408">
        <v>0.70833333333333304</v>
      </c>
      <c r="C296" s="326"/>
      <c r="D296" s="542">
        <v>13</v>
      </c>
      <c r="E296" s="410">
        <v>3466</v>
      </c>
      <c r="F296" s="543"/>
      <c r="G296" s="544"/>
      <c r="H296" s="545"/>
      <c r="I296" s="544"/>
      <c r="J296" s="546">
        <f t="shared" si="20"/>
        <v>3466</v>
      </c>
      <c r="K296" s="547">
        <f t="shared" si="21"/>
        <v>7.7022222222222219</v>
      </c>
      <c r="L296" s="546">
        <v>1</v>
      </c>
      <c r="M296" s="548" t="s">
        <v>7</v>
      </c>
      <c r="N296" s="549">
        <v>12</v>
      </c>
      <c r="O296" s="3196" t="s">
        <v>68</v>
      </c>
      <c r="P296" s="2932"/>
      <c r="Q296" s="551">
        <v>1</v>
      </c>
      <c r="R296" s="551">
        <v>1</v>
      </c>
      <c r="S296" s="1091" t="s">
        <v>174</v>
      </c>
      <c r="T296" s="606">
        <v>808</v>
      </c>
      <c r="U296" s="307"/>
      <c r="V296" s="2630">
        <f>VLOOKUP(M296,'[1]TABELA FRETE'!$D$7:$E$12,2,0)</f>
        <v>1161.5999999999999</v>
      </c>
      <c r="W296" s="2631"/>
      <c r="X296" s="3087"/>
      <c r="Y296" s="3088"/>
    </row>
    <row r="297" spans="2:25" s="299" customFormat="1" ht="49.5" customHeight="1">
      <c r="B297" s="554" t="s">
        <v>108</v>
      </c>
      <c r="C297" s="555"/>
      <c r="D297" s="556"/>
      <c r="E297" s="557">
        <f>SUM(E251:E296)</f>
        <v>144403</v>
      </c>
      <c r="F297" s="557" t="s">
        <v>109</v>
      </c>
      <c r="G297" s="557">
        <f>SUM(G251:G296)</f>
        <v>12163</v>
      </c>
      <c r="H297" s="557" t="s">
        <v>109</v>
      </c>
      <c r="I297" s="319">
        <f>SUM(I251:I296)</f>
        <v>0</v>
      </c>
      <c r="J297" s="319">
        <f t="shared" si="20"/>
        <v>156566</v>
      </c>
      <c r="K297" s="558">
        <f>SUM(K251:K296)</f>
        <v>346.9756038647343</v>
      </c>
      <c r="L297" s="559">
        <f>SUM(L251:L296)</f>
        <v>44</v>
      </c>
      <c r="M297" s="560" t="s">
        <v>110</v>
      </c>
      <c r="N297" s="554">
        <f>SUM(N251:N296)</f>
        <v>399</v>
      </c>
      <c r="O297" s="557" t="s">
        <v>32</v>
      </c>
      <c r="P297" s="557"/>
      <c r="Q297" s="319"/>
      <c r="R297" s="561">
        <f>SUM(R251:R296)</f>
        <v>62</v>
      </c>
      <c r="S297" s="562" t="s">
        <v>111</v>
      </c>
      <c r="T297" s="563"/>
      <c r="U297" s="307"/>
      <c r="V297" s="2560">
        <f>SUM(V251:W296)</f>
        <v>16848.400000000001</v>
      </c>
      <c r="W297" s="2561"/>
      <c r="X297" s="2566">
        <f>COUNT(X251:Y296)</f>
        <v>0</v>
      </c>
      <c r="Y297" s="2567"/>
    </row>
    <row r="298" spans="2:25" s="299" customFormat="1" ht="42" customHeight="1">
      <c r="B298" s="2853" t="s">
        <v>112</v>
      </c>
      <c r="C298" s="2899"/>
      <c r="D298" s="2899"/>
      <c r="E298" s="2899"/>
      <c r="F298" s="2899"/>
      <c r="G298" s="2899"/>
      <c r="H298" s="2899"/>
      <c r="I298" s="2899"/>
      <c r="J298" s="2899"/>
      <c r="K298" s="564">
        <v>44</v>
      </c>
      <c r="L298" s="2899" t="s">
        <v>113</v>
      </c>
      <c r="M298" s="2854"/>
      <c r="N298" s="2915" t="s">
        <v>114</v>
      </c>
      <c r="O298" s="2916"/>
      <c r="P298" s="2916"/>
      <c r="Q298" s="2916"/>
      <c r="R298" s="2917"/>
      <c r="S298" s="2915" t="s">
        <v>115</v>
      </c>
      <c r="T298" s="2917"/>
      <c r="U298" s="307"/>
      <c r="V298" s="2560"/>
      <c r="W298" s="2561"/>
      <c r="X298" s="2566"/>
      <c r="Y298" s="2567"/>
    </row>
    <row r="299" spans="2:25" s="299" customFormat="1" ht="6" customHeight="1">
      <c r="B299" s="2570" t="s">
        <v>116</v>
      </c>
      <c r="C299" s="2571"/>
      <c r="D299" s="2571"/>
      <c r="E299" s="2574">
        <f>L297</f>
        <v>44</v>
      </c>
      <c r="F299" s="2570" t="s">
        <v>30</v>
      </c>
      <c r="G299" s="2571"/>
      <c r="H299" s="2574">
        <f>J297</f>
        <v>156566</v>
      </c>
      <c r="I299" s="2575"/>
      <c r="J299" s="2571" t="s">
        <v>117</v>
      </c>
      <c r="K299" s="2575">
        <f>H299/E299</f>
        <v>3558.318181818182</v>
      </c>
      <c r="L299" s="2574" t="s">
        <v>118</v>
      </c>
      <c r="M299" s="2574"/>
      <c r="N299" s="2574"/>
      <c r="O299" s="2575">
        <v>44</v>
      </c>
      <c r="P299" s="565"/>
      <c r="Q299" s="565"/>
      <c r="R299" s="565"/>
      <c r="S299" s="565"/>
      <c r="T299" s="566"/>
      <c r="U299" s="307"/>
      <c r="V299" s="2562"/>
      <c r="W299" s="2563"/>
      <c r="X299" s="2568"/>
      <c r="Y299" s="2569"/>
    </row>
    <row r="300" spans="2:25" s="299" customFormat="1" ht="42" customHeight="1">
      <c r="B300" s="2572"/>
      <c r="C300" s="2573"/>
      <c r="D300" s="2573"/>
      <c r="E300" s="2576"/>
      <c r="F300" s="2572"/>
      <c r="G300" s="2573"/>
      <c r="H300" s="2576"/>
      <c r="I300" s="2577"/>
      <c r="J300" s="2573"/>
      <c r="K300" s="2577"/>
      <c r="L300" s="2576"/>
      <c r="M300" s="2576"/>
      <c r="N300" s="2576"/>
      <c r="O300" s="2577"/>
      <c r="P300" s="567"/>
      <c r="Q300" s="2663" t="s">
        <v>119</v>
      </c>
      <c r="R300" s="2664"/>
      <c r="S300" s="2664"/>
      <c r="T300" s="2665"/>
      <c r="U300" s="307"/>
      <c r="V300" s="2578" t="s">
        <v>120</v>
      </c>
      <c r="W300" s="2579"/>
      <c r="X300" s="2582" t="s">
        <v>121</v>
      </c>
      <c r="Y300" s="2583"/>
    </row>
    <row r="301" spans="2:25" s="299" customFormat="1" ht="39" customHeight="1">
      <c r="B301" s="2887" t="s">
        <v>122</v>
      </c>
      <c r="C301" s="2733" t="s">
        <v>33</v>
      </c>
      <c r="D301" s="2734"/>
      <c r="E301" s="2541" t="s">
        <v>123</v>
      </c>
      <c r="F301" s="2542"/>
      <c r="G301" s="2542"/>
      <c r="H301" s="2542"/>
      <c r="I301" s="2542"/>
      <c r="J301" s="2542"/>
      <c r="K301" s="2542"/>
      <c r="L301" s="2542"/>
      <c r="M301" s="2542"/>
      <c r="N301" s="2542"/>
      <c r="O301" s="2543"/>
      <c r="P301" s="568"/>
      <c r="Q301" s="2680" t="s">
        <v>124</v>
      </c>
      <c r="R301" s="2681"/>
      <c r="S301" s="2681"/>
      <c r="T301" s="2682"/>
      <c r="U301" s="307"/>
      <c r="V301" s="2578"/>
      <c r="W301" s="2579"/>
      <c r="X301" s="2582"/>
      <c r="Y301" s="2583"/>
    </row>
    <row r="302" spans="2:25" s="299" customFormat="1" ht="39" customHeight="1">
      <c r="B302" s="2888"/>
      <c r="C302" s="2735"/>
      <c r="D302" s="2736"/>
      <c r="E302" s="2544"/>
      <c r="F302" s="2545"/>
      <c r="G302" s="2545"/>
      <c r="H302" s="2545"/>
      <c r="I302" s="2545"/>
      <c r="J302" s="2545"/>
      <c r="K302" s="2545"/>
      <c r="L302" s="2545"/>
      <c r="M302" s="2545"/>
      <c r="N302" s="2545"/>
      <c r="O302" s="2546"/>
      <c r="P302" s="569"/>
      <c r="Q302" s="2683" t="s">
        <v>125</v>
      </c>
      <c r="R302" s="2684"/>
      <c r="S302" s="2684"/>
      <c r="T302" s="2685"/>
      <c r="U302" s="307"/>
      <c r="V302" s="2580"/>
      <c r="W302" s="2581"/>
      <c r="X302" s="2584"/>
      <c r="Y302" s="2585"/>
    </row>
    <row r="303" spans="2:25" s="299" customFormat="1" ht="39" customHeight="1">
      <c r="B303" s="1032" t="s">
        <v>9</v>
      </c>
      <c r="C303" s="3068">
        <f>COUNTIF(M251:M296,"kia")</f>
        <v>2</v>
      </c>
      <c r="D303" s="3069"/>
      <c r="E303" s="2547"/>
      <c r="F303" s="2548"/>
      <c r="G303" s="2548"/>
      <c r="H303" s="2548"/>
      <c r="I303" s="2548"/>
      <c r="J303" s="2548"/>
      <c r="K303" s="2548"/>
      <c r="L303" s="2548"/>
      <c r="M303" s="2548"/>
      <c r="N303" s="2548"/>
      <c r="O303" s="2549"/>
      <c r="P303" s="569"/>
      <c r="Q303" s="2686" t="s">
        <v>126</v>
      </c>
      <c r="R303" s="2687"/>
      <c r="S303" s="2687"/>
      <c r="T303" s="2688"/>
      <c r="U303" s="307"/>
      <c r="V303" s="321"/>
      <c r="W303" s="321"/>
      <c r="X303" s="321"/>
      <c r="Y303" s="321"/>
    </row>
    <row r="304" spans="2:25" s="299" customFormat="1" ht="39" customHeight="1">
      <c r="B304" s="1033" t="s">
        <v>8</v>
      </c>
      <c r="C304" s="2913">
        <f>COUNTIF(M251:M296,"iveco")</f>
        <v>0</v>
      </c>
      <c r="D304" s="2914"/>
      <c r="E304" s="2586" t="s">
        <v>127</v>
      </c>
      <c r="F304" s="2587"/>
      <c r="G304" s="2587"/>
      <c r="H304" s="2587"/>
      <c r="I304" s="2587"/>
      <c r="J304" s="2587"/>
      <c r="K304" s="2587"/>
      <c r="L304" s="2587"/>
      <c r="M304" s="2587"/>
      <c r="N304" s="2587"/>
      <c r="O304" s="2588"/>
      <c r="P304" s="569"/>
      <c r="Q304" s="2592" t="s">
        <v>128</v>
      </c>
      <c r="R304" s="2593"/>
      <c r="S304" s="2593"/>
      <c r="T304" s="2594"/>
      <c r="U304" s="307"/>
      <c r="V304" s="2689" t="s">
        <v>129</v>
      </c>
      <c r="W304" s="2690"/>
      <c r="X304" s="2690"/>
      <c r="Y304" s="2691"/>
    </row>
    <row r="305" spans="1:26" s="299" customFormat="1" ht="39" customHeight="1">
      <c r="B305" s="1033">
        <v>1016</v>
      </c>
      <c r="C305" s="2913">
        <f>COUNTIF(M251:M296,"1016")</f>
        <v>24</v>
      </c>
      <c r="D305" s="2914"/>
      <c r="E305" s="2589"/>
      <c r="F305" s="2590"/>
      <c r="G305" s="2590"/>
      <c r="H305" s="2590"/>
      <c r="I305" s="2590"/>
      <c r="J305" s="2590"/>
      <c r="K305" s="2590"/>
      <c r="L305" s="2590"/>
      <c r="M305" s="2590"/>
      <c r="N305" s="2590"/>
      <c r="O305" s="2591"/>
      <c r="P305" s="569"/>
      <c r="Q305" s="2595"/>
      <c r="R305" s="2596"/>
      <c r="S305" s="2596"/>
      <c r="T305" s="2597"/>
      <c r="U305" s="307"/>
      <c r="V305" s="2601" t="s">
        <v>130</v>
      </c>
      <c r="W305" s="2602"/>
      <c r="X305" s="2602"/>
      <c r="Y305" s="2603"/>
    </row>
    <row r="306" spans="1:26" s="299" customFormat="1" ht="39" customHeight="1">
      <c r="B306" s="1033" t="s">
        <v>7</v>
      </c>
      <c r="C306" s="2913">
        <f>COUNTIF(M251:M296,"toco")</f>
        <v>14</v>
      </c>
      <c r="D306" s="2914"/>
      <c r="E306" s="2607" t="s">
        <v>131</v>
      </c>
      <c r="F306" s="2608"/>
      <c r="G306" s="2608"/>
      <c r="H306" s="2608"/>
      <c r="I306" s="2608"/>
      <c r="J306" s="2608"/>
      <c r="K306" s="2608"/>
      <c r="L306" s="2608"/>
      <c r="M306" s="2608"/>
      <c r="N306" s="2608"/>
      <c r="O306" s="2609"/>
      <c r="P306" s="568"/>
      <c r="Q306" s="2598"/>
      <c r="R306" s="2599"/>
      <c r="S306" s="2599"/>
      <c r="T306" s="2600"/>
      <c r="U306" s="307"/>
      <c r="V306" s="2604"/>
      <c r="W306" s="2605"/>
      <c r="X306" s="2605"/>
      <c r="Y306" s="2606"/>
    </row>
    <row r="307" spans="1:26" s="299" customFormat="1" ht="39" customHeight="1">
      <c r="B307" s="1034" t="s">
        <v>6</v>
      </c>
      <c r="C307" s="3070">
        <f>COUNTIF(M251:M296,"truck")</f>
        <v>3</v>
      </c>
      <c r="D307" s="3071"/>
      <c r="E307" s="2555"/>
      <c r="F307" s="2556"/>
      <c r="G307" s="2556"/>
      <c r="H307" s="2556"/>
      <c r="I307" s="2556"/>
      <c r="J307" s="2556"/>
      <c r="K307" s="2556"/>
      <c r="L307" s="2556"/>
      <c r="M307" s="2556"/>
      <c r="N307" s="2556"/>
      <c r="O307" s="2557"/>
      <c r="P307" s="568"/>
      <c r="Q307" s="2610" t="s">
        <v>132</v>
      </c>
      <c r="R307" s="2611"/>
      <c r="S307" s="2611"/>
      <c r="T307" s="2612"/>
      <c r="U307" s="307"/>
      <c r="V307" s="2616" t="s">
        <v>133</v>
      </c>
      <c r="W307" s="2617"/>
      <c r="X307" s="2622">
        <f>SUM(E251:E296,G251:G296,I251:I296)</f>
        <v>156566</v>
      </c>
      <c r="Y307" s="2623"/>
    </row>
    <row r="308" spans="1:26" s="299" customFormat="1" ht="39" customHeight="1">
      <c r="B308" s="2887" t="s">
        <v>134</v>
      </c>
      <c r="C308" s="2733">
        <f>SUM(C303:D307)</f>
        <v>43</v>
      </c>
      <c r="D308" s="2734"/>
      <c r="E308" s="2552" t="s">
        <v>135</v>
      </c>
      <c r="F308" s="2553"/>
      <c r="G308" s="2553"/>
      <c r="H308" s="2553"/>
      <c r="I308" s="2553"/>
      <c r="J308" s="2553"/>
      <c r="K308" s="2553"/>
      <c r="L308" s="2553"/>
      <c r="M308" s="2553"/>
      <c r="N308" s="2553"/>
      <c r="O308" s="2554"/>
      <c r="P308" s="573"/>
      <c r="Q308" s="2610"/>
      <c r="R308" s="2611"/>
      <c r="S308" s="2611"/>
      <c r="T308" s="2612"/>
      <c r="U308" s="574"/>
      <c r="V308" s="2618"/>
      <c r="W308" s="2619"/>
      <c r="X308" s="2624"/>
      <c r="Y308" s="2625"/>
    </row>
    <row r="309" spans="1:26" s="299" customFormat="1" ht="39" customHeight="1">
      <c r="B309" s="2888"/>
      <c r="C309" s="2735"/>
      <c r="D309" s="2736"/>
      <c r="E309" s="2555"/>
      <c r="F309" s="2556"/>
      <c r="G309" s="2556"/>
      <c r="H309" s="2556"/>
      <c r="I309" s="2556"/>
      <c r="J309" s="2556"/>
      <c r="K309" s="2556"/>
      <c r="L309" s="2556"/>
      <c r="M309" s="2556"/>
      <c r="N309" s="2556"/>
      <c r="O309" s="2557"/>
      <c r="P309" s="575"/>
      <c r="Q309" s="2610"/>
      <c r="R309" s="2611"/>
      <c r="S309" s="2611"/>
      <c r="T309" s="2612"/>
      <c r="U309" s="574"/>
      <c r="V309" s="2618"/>
      <c r="W309" s="2619"/>
      <c r="X309" s="2624"/>
      <c r="Y309" s="2625"/>
    </row>
    <row r="310" spans="1:26" s="300" customFormat="1" ht="39" customHeight="1">
      <c r="B310" s="770" t="s">
        <v>136</v>
      </c>
      <c r="C310" s="2847" t="s">
        <v>137</v>
      </c>
      <c r="D310" s="2848"/>
      <c r="E310" s="2848"/>
      <c r="F310" s="2848"/>
      <c r="G310" s="2848"/>
      <c r="H310" s="2848"/>
      <c r="I310" s="2848"/>
      <c r="J310" s="2848"/>
      <c r="K310" s="2848"/>
      <c r="L310" s="2848"/>
      <c r="M310" s="2848"/>
      <c r="N310" s="2848"/>
      <c r="O310" s="2849"/>
      <c r="P310" s="575"/>
      <c r="Q310" s="2613"/>
      <c r="R310" s="2614"/>
      <c r="S310" s="2614"/>
      <c r="T310" s="2615"/>
      <c r="V310" s="2620"/>
      <c r="W310" s="2621"/>
      <c r="X310" s="2626"/>
      <c r="Y310" s="2627"/>
    </row>
    <row r="313" spans="1:26" s="299" customFormat="1" ht="42.75" customHeight="1">
      <c r="A313" s="299" t="s">
        <v>17</v>
      </c>
      <c r="B313" s="2712"/>
      <c r="C313" s="2713"/>
      <c r="D313" s="2713"/>
      <c r="E313" s="2713"/>
      <c r="F313" s="2713"/>
      <c r="G313" s="2713"/>
      <c r="H313" s="2713"/>
      <c r="I313" s="2714"/>
      <c r="J313" s="2850" t="s">
        <v>18</v>
      </c>
      <c r="K313" s="2851"/>
      <c r="L313" s="2851"/>
      <c r="M313" s="2851"/>
      <c r="N313" s="2851"/>
      <c r="O313" s="2851"/>
      <c r="P313" s="2851"/>
      <c r="Q313" s="2852"/>
      <c r="R313" s="2718">
        <v>46148</v>
      </c>
      <c r="S313" s="2719"/>
      <c r="T313" s="2720"/>
      <c r="U313" s="307"/>
      <c r="V313" s="2700" t="s">
        <v>19</v>
      </c>
      <c r="W313" s="2701"/>
      <c r="X313" s="2700" t="s">
        <v>19</v>
      </c>
      <c r="Y313" s="2701"/>
    </row>
    <row r="314" spans="1:26" s="299" customFormat="1" ht="42.75" customHeight="1">
      <c r="B314" s="2715"/>
      <c r="C314" s="2716"/>
      <c r="D314" s="2716"/>
      <c r="E314" s="2716"/>
      <c r="F314" s="2716"/>
      <c r="G314" s="2716"/>
      <c r="H314" s="2716"/>
      <c r="I314" s="2717"/>
      <c r="J314" s="2724" t="s">
        <v>20</v>
      </c>
      <c r="K314" s="2725"/>
      <c r="L314" s="2725"/>
      <c r="M314" s="2725"/>
      <c r="N314" s="2725"/>
      <c r="O314" s="2725"/>
      <c r="P314" s="2725"/>
      <c r="Q314" s="2726"/>
      <c r="R314" s="2721"/>
      <c r="S314" s="2722"/>
      <c r="T314" s="2723"/>
      <c r="U314" s="307"/>
      <c r="V314" s="2702"/>
      <c r="W314" s="2703"/>
      <c r="X314" s="2702"/>
      <c r="Y314" s="2703"/>
    </row>
    <row r="315" spans="1:26" s="299" customFormat="1" ht="4.1500000000000004" customHeight="1">
      <c r="B315" s="311"/>
      <c r="C315" s="312"/>
      <c r="D315" s="308"/>
      <c r="E315" s="308"/>
      <c r="F315" s="308"/>
      <c r="G315" s="308"/>
      <c r="H315" s="308"/>
      <c r="I315" s="308"/>
      <c r="J315" s="2727"/>
      <c r="K315" s="2728"/>
      <c r="L315" s="2728"/>
      <c r="M315" s="2728"/>
      <c r="N315" s="2728"/>
      <c r="O315" s="2728"/>
      <c r="P315" s="2728"/>
      <c r="Q315" s="2729"/>
      <c r="R315" s="313" t="s">
        <v>21</v>
      </c>
      <c r="S315" s="313"/>
      <c r="T315" s="314"/>
      <c r="U315" s="307"/>
      <c r="V315" s="309"/>
      <c r="W315" s="310"/>
      <c r="X315" s="309"/>
      <c r="Y315" s="310"/>
    </row>
    <row r="316" spans="1:26" s="299" customFormat="1" ht="49.5" customHeight="1">
      <c r="B316" s="2881" t="s">
        <v>22</v>
      </c>
      <c r="C316" s="315"/>
      <c r="D316" s="2853" t="s">
        <v>23</v>
      </c>
      <c r="E316" s="2854"/>
      <c r="F316" s="2853" t="s">
        <v>24</v>
      </c>
      <c r="G316" s="2854"/>
      <c r="H316" s="2853" t="s">
        <v>25</v>
      </c>
      <c r="I316" s="2854"/>
      <c r="J316" s="2730"/>
      <c r="K316" s="2731"/>
      <c r="L316" s="2731"/>
      <c r="M316" s="2731"/>
      <c r="N316" s="2731"/>
      <c r="O316" s="2731"/>
      <c r="P316" s="2731"/>
      <c r="Q316" s="2732"/>
      <c r="R316" s="2895" t="s">
        <v>26</v>
      </c>
      <c r="S316" s="2965"/>
      <c r="T316" s="320">
        <f>L359</f>
        <v>39</v>
      </c>
      <c r="U316" s="321"/>
      <c r="V316" s="2525" t="s">
        <v>27</v>
      </c>
      <c r="W316" s="2526"/>
      <c r="X316" s="2525" t="s">
        <v>28</v>
      </c>
      <c r="Y316" s="2526"/>
      <c r="Z316" s="322"/>
    </row>
    <row r="317" spans="1:26" s="299" customFormat="1" ht="49.5" customHeight="1">
      <c r="B317" s="2882"/>
      <c r="C317" s="315"/>
      <c r="D317" s="323" t="s">
        <v>29</v>
      </c>
      <c r="E317" s="323" t="s">
        <v>30</v>
      </c>
      <c r="F317" s="323" t="s">
        <v>29</v>
      </c>
      <c r="G317" s="323" t="s">
        <v>30</v>
      </c>
      <c r="H317" s="323" t="s">
        <v>29</v>
      </c>
      <c r="I317" s="323" t="s">
        <v>30</v>
      </c>
      <c r="J317" s="317" t="s">
        <v>31</v>
      </c>
      <c r="K317" s="323" t="s">
        <v>32</v>
      </c>
      <c r="L317" s="323" t="s">
        <v>33</v>
      </c>
      <c r="M317" s="323" t="s">
        <v>34</v>
      </c>
      <c r="N317" s="323" t="s">
        <v>32</v>
      </c>
      <c r="O317" s="316" t="s">
        <v>35</v>
      </c>
      <c r="P317" s="317"/>
      <c r="Q317" s="323" t="s">
        <v>36</v>
      </c>
      <c r="R317" s="323" t="s">
        <v>37</v>
      </c>
      <c r="S317" s="323" t="s">
        <v>38</v>
      </c>
      <c r="T317" s="324" t="s">
        <v>39</v>
      </c>
      <c r="U317" s="321"/>
      <c r="V317" s="2527"/>
      <c r="W317" s="2528"/>
      <c r="X317" s="2527"/>
      <c r="Y317" s="2528"/>
      <c r="Z317" s="322"/>
    </row>
    <row r="318" spans="1:26" s="300" customFormat="1" ht="48" customHeight="1">
      <c r="B318" s="325">
        <v>0.41666666666666702</v>
      </c>
      <c r="C318" s="326"/>
      <c r="D318" s="327">
        <v>28</v>
      </c>
      <c r="E318" s="328">
        <v>1053</v>
      </c>
      <c r="F318" s="329">
        <v>29</v>
      </c>
      <c r="G318" s="330">
        <v>1797</v>
      </c>
      <c r="H318" s="331"/>
      <c r="I318" s="330"/>
      <c r="J318" s="332">
        <f>E318+G318+I318</f>
        <v>2850</v>
      </c>
      <c r="K318" s="333">
        <f>J318/450</f>
        <v>6.333333333333333</v>
      </c>
      <c r="L318" s="332">
        <v>1</v>
      </c>
      <c r="M318" s="1092">
        <v>1016</v>
      </c>
      <c r="N318" s="1093">
        <v>7</v>
      </c>
      <c r="O318" s="3170" t="s">
        <v>141</v>
      </c>
      <c r="P318" s="3171"/>
      <c r="Q318" s="853">
        <v>2</v>
      </c>
      <c r="R318" s="939">
        <v>3</v>
      </c>
      <c r="S318" s="855" t="s">
        <v>142</v>
      </c>
      <c r="T318" s="939">
        <v>605</v>
      </c>
      <c r="U318" s="307"/>
      <c r="V318" s="3074">
        <f>VLOOKUP(M318,'[1]TABELA FRETE'!$A$6:$B$12,2,0)</f>
        <v>425.7</v>
      </c>
      <c r="W318" s="3075"/>
      <c r="X318" s="3076"/>
      <c r="Y318" s="3077"/>
    </row>
    <row r="319" spans="1:26" s="299" customFormat="1" ht="48" customHeight="1">
      <c r="B319" s="463">
        <v>0.41666666666666702</v>
      </c>
      <c r="C319" s="326"/>
      <c r="D319" s="359">
        <v>7</v>
      </c>
      <c r="E319" s="360">
        <v>1199</v>
      </c>
      <c r="F319" s="374"/>
      <c r="G319" s="375"/>
      <c r="H319" s="1040"/>
      <c r="I319" s="364"/>
      <c r="J319" s="365">
        <f>E319+G319+I319</f>
        <v>1199</v>
      </c>
      <c r="K319" s="366">
        <f>J319/450</f>
        <v>2.6644444444444444</v>
      </c>
      <c r="L319" s="365">
        <v>1</v>
      </c>
      <c r="M319" s="859" t="s">
        <v>9</v>
      </c>
      <c r="N319" s="860">
        <v>3</v>
      </c>
      <c r="O319" s="2692" t="s">
        <v>189</v>
      </c>
      <c r="P319" s="2912"/>
      <c r="Q319" s="862">
        <v>1</v>
      </c>
      <c r="R319" s="863">
        <v>1</v>
      </c>
      <c r="S319" s="864" t="s">
        <v>190</v>
      </c>
      <c r="T319" s="861">
        <v>738</v>
      </c>
      <c r="U319" s="307"/>
      <c r="V319" s="3074">
        <f>VLOOKUP(M319,'[1]TABELA FRETE'!$A$6:$B$12,2,0)</f>
        <v>250.8</v>
      </c>
      <c r="W319" s="3075"/>
      <c r="X319" s="3076"/>
      <c r="Y319" s="3077"/>
    </row>
    <row r="320" spans="1:26" s="299" customFormat="1" ht="48" customHeight="1">
      <c r="B320" s="463">
        <v>0.41666666666666702</v>
      </c>
      <c r="C320" s="326"/>
      <c r="D320" s="359">
        <v>11</v>
      </c>
      <c r="E320" s="392">
        <v>2000</v>
      </c>
      <c r="F320" s="687"/>
      <c r="G320" s="395"/>
      <c r="H320" s="1042"/>
      <c r="I320" s="727"/>
      <c r="J320" s="365">
        <f>E320+G320+I320</f>
        <v>2000</v>
      </c>
      <c r="K320" s="366">
        <f>J320/450</f>
        <v>4.4444444444444446</v>
      </c>
      <c r="L320" s="365">
        <v>1</v>
      </c>
      <c r="M320" s="1094" t="s">
        <v>8</v>
      </c>
      <c r="N320" s="1095">
        <v>4</v>
      </c>
      <c r="O320" s="3156" t="s">
        <v>96</v>
      </c>
      <c r="P320" s="3157"/>
      <c r="Q320" s="974">
        <v>2</v>
      </c>
      <c r="R320" s="1096">
        <v>2</v>
      </c>
      <c r="S320" s="975" t="s">
        <v>212</v>
      </c>
      <c r="T320" s="972">
        <v>456</v>
      </c>
      <c r="U320" s="307"/>
      <c r="V320" s="3074">
        <v>212</v>
      </c>
      <c r="W320" s="3075"/>
      <c r="X320" s="3076"/>
      <c r="Y320" s="3077"/>
    </row>
    <row r="321" spans="2:25" s="299" customFormat="1" ht="48" customHeight="1">
      <c r="B321" s="408">
        <v>0.41666666666666702</v>
      </c>
      <c r="C321" s="326"/>
      <c r="D321" s="665">
        <v>11</v>
      </c>
      <c r="E321" s="410">
        <v>1348</v>
      </c>
      <c r="F321" s="666"/>
      <c r="G321" s="544"/>
      <c r="H321" s="1044"/>
      <c r="I321" s="705"/>
      <c r="J321" s="413">
        <f>E321+G321+I321</f>
        <v>1348</v>
      </c>
      <c r="K321" s="414">
        <f>J321/450</f>
        <v>2.9955555555555557</v>
      </c>
      <c r="L321" s="413">
        <v>1</v>
      </c>
      <c r="M321" s="1045" t="s">
        <v>9</v>
      </c>
      <c r="N321" s="1046">
        <v>3</v>
      </c>
      <c r="O321" s="2855" t="s">
        <v>98</v>
      </c>
      <c r="P321" s="3201"/>
      <c r="Q321" s="551">
        <v>1</v>
      </c>
      <c r="R321" s="607">
        <v>1</v>
      </c>
      <c r="S321" s="608" t="s">
        <v>213</v>
      </c>
      <c r="T321" s="606">
        <v>496</v>
      </c>
      <c r="U321" s="307"/>
      <c r="V321" s="3074">
        <f>VLOOKUP(M321,'[1]TABELA FRETE'!$A$6:$B$12,2,0)</f>
        <v>250.8</v>
      </c>
      <c r="W321" s="3075"/>
      <c r="X321" s="2694"/>
      <c r="Y321" s="2695"/>
    </row>
    <row r="322" spans="2:25" s="301" customFormat="1" ht="6" customHeight="1">
      <c r="B322" s="326"/>
      <c r="C322" s="326"/>
      <c r="D322" s="421"/>
      <c r="E322" s="422"/>
      <c r="F322" s="421"/>
      <c r="G322" s="423"/>
      <c r="H322" s="424"/>
      <c r="I322" s="423"/>
      <c r="J322" s="423"/>
      <c r="K322" s="425"/>
      <c r="L322" s="423"/>
      <c r="M322" s="885"/>
      <c r="N322" s="886"/>
      <c r="O322" s="428"/>
      <c r="P322" s="428"/>
      <c r="Q322" s="429"/>
      <c r="R322" s="429"/>
      <c r="S322" s="430"/>
      <c r="T322" s="428"/>
      <c r="U322" s="432"/>
      <c r="V322" s="433"/>
      <c r="W322" s="433"/>
      <c r="X322" s="434"/>
      <c r="Y322" s="434"/>
    </row>
    <row r="323" spans="2:25" s="299" customFormat="1" ht="48" customHeight="1">
      <c r="B323" s="325">
        <v>0.5</v>
      </c>
      <c r="C323" s="326"/>
      <c r="D323" s="327">
        <v>8</v>
      </c>
      <c r="E323" s="328">
        <v>5133</v>
      </c>
      <c r="F323" s="1048"/>
      <c r="G323" s="437"/>
      <c r="H323" s="438"/>
      <c r="I323" s="330"/>
      <c r="J323" s="332">
        <f t="shared" ref="J323:J333" si="22">E323+G323+I323</f>
        <v>5133</v>
      </c>
      <c r="K323" s="333">
        <f>J323/460</f>
        <v>11.158695652173913</v>
      </c>
      <c r="L323" s="332">
        <v>1</v>
      </c>
      <c r="M323" s="891" t="s">
        <v>7</v>
      </c>
      <c r="N323" s="892">
        <v>12</v>
      </c>
      <c r="O323" s="3202" t="s">
        <v>68</v>
      </c>
      <c r="P323" s="3207"/>
      <c r="Q323" s="1050">
        <v>1</v>
      </c>
      <c r="R323" s="1097">
        <v>1</v>
      </c>
      <c r="S323" s="895" t="s">
        <v>69</v>
      </c>
      <c r="T323" s="896">
        <v>808</v>
      </c>
      <c r="U323" s="307"/>
      <c r="V323" s="3074">
        <f>VLOOKUP(M323,'[1]TABELA FRETE'!$A$6:$B$12,2,0)</f>
        <v>466.4</v>
      </c>
      <c r="W323" s="3075"/>
      <c r="X323" s="3076"/>
      <c r="Y323" s="3077"/>
    </row>
    <row r="324" spans="2:25" s="299" customFormat="1" ht="48" customHeight="1">
      <c r="B324" s="358">
        <v>0.5</v>
      </c>
      <c r="C324" s="326"/>
      <c r="D324" s="359">
        <v>14</v>
      </c>
      <c r="E324" s="375">
        <v>2800</v>
      </c>
      <c r="F324" s="374">
        <v>9</v>
      </c>
      <c r="G324" s="375">
        <v>1188</v>
      </c>
      <c r="H324" s="363"/>
      <c r="I324" s="364"/>
      <c r="J324" s="365">
        <f t="shared" si="22"/>
        <v>3988</v>
      </c>
      <c r="K324" s="366">
        <f>J324/450</f>
        <v>8.862222222222222</v>
      </c>
      <c r="L324" s="365">
        <v>1</v>
      </c>
      <c r="M324" s="1098" t="s">
        <v>7</v>
      </c>
      <c r="N324" s="1099">
        <v>10</v>
      </c>
      <c r="O324" s="3166" t="s">
        <v>214</v>
      </c>
      <c r="P324" s="3208"/>
      <c r="Q324" s="1100">
        <v>1</v>
      </c>
      <c r="R324" s="1101">
        <v>2</v>
      </c>
      <c r="S324" s="1102" t="s">
        <v>215</v>
      </c>
      <c r="T324" s="1101">
        <v>353</v>
      </c>
      <c r="U324" s="307"/>
      <c r="V324" s="3074">
        <f>VLOOKUP(M324,'[1]TABELA FRETE'!$A$6:$B$12,2,0)</f>
        <v>466.4</v>
      </c>
      <c r="W324" s="3075"/>
      <c r="X324" s="3076"/>
      <c r="Y324" s="3077"/>
    </row>
    <row r="325" spans="2:25" s="299" customFormat="1" ht="48" customHeight="1">
      <c r="B325" s="343">
        <v>0.5</v>
      </c>
      <c r="C325" s="326"/>
      <c r="D325" s="359">
        <v>1</v>
      </c>
      <c r="E325" s="360">
        <v>2332</v>
      </c>
      <c r="F325" s="1078">
        <v>9</v>
      </c>
      <c r="G325" s="362">
        <v>1588</v>
      </c>
      <c r="H325" s="363"/>
      <c r="I325" s="364"/>
      <c r="J325" s="365">
        <f t="shared" si="22"/>
        <v>3920</v>
      </c>
      <c r="K325" s="366">
        <f>J325/460</f>
        <v>8.5217391304347831</v>
      </c>
      <c r="L325" s="365">
        <v>2</v>
      </c>
      <c r="M325" s="1098" t="s">
        <v>7</v>
      </c>
      <c r="N325" s="1099">
        <v>10</v>
      </c>
      <c r="O325" s="3166" t="s">
        <v>216</v>
      </c>
      <c r="P325" s="3208"/>
      <c r="Q325" s="1100">
        <v>1</v>
      </c>
      <c r="R325" s="1101">
        <v>2</v>
      </c>
      <c r="S325" s="1102" t="s">
        <v>217</v>
      </c>
      <c r="T325" s="1101">
        <v>353</v>
      </c>
      <c r="U325" s="307"/>
      <c r="V325" s="3074">
        <f>VLOOKUP(M325,'[1]TABELA FRETE'!$A$6:$B$12,2,0)</f>
        <v>466.4</v>
      </c>
      <c r="W325" s="3075"/>
      <c r="X325" s="2694"/>
      <c r="Y325" s="2695"/>
    </row>
    <row r="326" spans="2:25" s="299" customFormat="1" ht="48" customHeight="1">
      <c r="B326" s="358">
        <v>0.5</v>
      </c>
      <c r="C326" s="326"/>
      <c r="D326" s="359">
        <v>12</v>
      </c>
      <c r="E326" s="364">
        <v>2588</v>
      </c>
      <c r="F326" s="374"/>
      <c r="G326" s="375"/>
      <c r="H326" s="363"/>
      <c r="I326" s="364"/>
      <c r="J326" s="365">
        <f t="shared" si="22"/>
        <v>2588</v>
      </c>
      <c r="K326" s="366">
        <f t="shared" ref="K326:K331" si="23">J326/450</f>
        <v>5.7511111111111113</v>
      </c>
      <c r="L326" s="365">
        <v>1</v>
      </c>
      <c r="M326" s="1103">
        <v>1016</v>
      </c>
      <c r="N326" s="1104">
        <v>7</v>
      </c>
      <c r="O326" s="3185" t="s">
        <v>56</v>
      </c>
      <c r="P326" s="3186"/>
      <c r="Q326" s="974">
        <v>1</v>
      </c>
      <c r="R326" s="1105">
        <v>1</v>
      </c>
      <c r="S326" s="1106" t="s">
        <v>57</v>
      </c>
      <c r="T326" s="1105">
        <v>663</v>
      </c>
      <c r="U326" s="307"/>
      <c r="V326" s="3074">
        <f>VLOOKUP(M326,'[1]TABELA FRETE'!$A$6:$B$12,2,0)</f>
        <v>425.7</v>
      </c>
      <c r="W326" s="3075"/>
      <c r="X326" s="3076"/>
      <c r="Y326" s="3077"/>
    </row>
    <row r="327" spans="2:25" s="299" customFormat="1" ht="48" customHeight="1">
      <c r="B327" s="358">
        <v>0.5</v>
      </c>
      <c r="C327" s="326"/>
      <c r="D327" s="359">
        <v>38</v>
      </c>
      <c r="E327" s="360">
        <v>3187</v>
      </c>
      <c r="F327" s="374"/>
      <c r="G327" s="375"/>
      <c r="H327" s="363"/>
      <c r="I327" s="364"/>
      <c r="J327" s="365">
        <f t="shared" si="22"/>
        <v>3187</v>
      </c>
      <c r="K327" s="366">
        <f t="shared" si="23"/>
        <v>7.0822222222222226</v>
      </c>
      <c r="L327" s="365">
        <v>1</v>
      </c>
      <c r="M327" s="1107">
        <v>1016</v>
      </c>
      <c r="N327" s="1108">
        <v>8</v>
      </c>
      <c r="O327" s="3187" t="s">
        <v>46</v>
      </c>
      <c r="P327" s="3188"/>
      <c r="Q327" s="1109">
        <v>2</v>
      </c>
      <c r="R327" s="1110">
        <v>2</v>
      </c>
      <c r="S327" s="1111" t="s">
        <v>47</v>
      </c>
      <c r="T327" s="1112">
        <v>48</v>
      </c>
      <c r="U327" s="307"/>
      <c r="V327" s="3074">
        <f>VLOOKUP(M327,'[1]TABELA FRETE'!$A$6:$B$12,2,0)</f>
        <v>425.7</v>
      </c>
      <c r="W327" s="3075"/>
      <c r="X327" s="3076"/>
      <c r="Y327" s="3077"/>
    </row>
    <row r="328" spans="2:25" s="299" customFormat="1" ht="48" customHeight="1">
      <c r="B328" s="358">
        <v>0.5</v>
      </c>
      <c r="C328" s="326"/>
      <c r="D328" s="359">
        <v>34</v>
      </c>
      <c r="E328" s="360">
        <v>6500</v>
      </c>
      <c r="F328" s="374"/>
      <c r="G328" s="375"/>
      <c r="H328" s="363"/>
      <c r="I328" s="364"/>
      <c r="J328" s="365">
        <f t="shared" si="22"/>
        <v>6500</v>
      </c>
      <c r="K328" s="366">
        <f t="shared" si="23"/>
        <v>14.444444444444445</v>
      </c>
      <c r="L328" s="365">
        <v>1</v>
      </c>
      <c r="M328" s="1066" t="s">
        <v>6</v>
      </c>
      <c r="N328" s="1113">
        <v>14</v>
      </c>
      <c r="O328" s="3164" t="s">
        <v>54</v>
      </c>
      <c r="P328" s="3184"/>
      <c r="Q328" s="1068">
        <v>1</v>
      </c>
      <c r="R328" s="1114">
        <v>1</v>
      </c>
      <c r="S328" s="1115" t="s">
        <v>218</v>
      </c>
      <c r="T328" s="1070">
        <v>590</v>
      </c>
      <c r="U328" s="307"/>
      <c r="V328" s="3074">
        <f>VLOOKUP(M328,'[1]TABELA FRETE'!$A$6:$B$12,2,0)</f>
        <v>489.5</v>
      </c>
      <c r="W328" s="3075"/>
      <c r="X328" s="3076"/>
      <c r="Y328" s="3077"/>
    </row>
    <row r="329" spans="2:25" s="299" customFormat="1" ht="48" customHeight="1">
      <c r="B329" s="358">
        <v>0.5</v>
      </c>
      <c r="C329" s="326"/>
      <c r="D329" s="359">
        <v>35</v>
      </c>
      <c r="E329" s="360">
        <v>3001</v>
      </c>
      <c r="F329" s="401">
        <v>34</v>
      </c>
      <c r="G329" s="375">
        <v>737</v>
      </c>
      <c r="H329" s="363"/>
      <c r="I329" s="364"/>
      <c r="J329" s="365">
        <f t="shared" si="22"/>
        <v>3738</v>
      </c>
      <c r="K329" s="366">
        <f t="shared" si="23"/>
        <v>8.3066666666666666</v>
      </c>
      <c r="L329" s="365">
        <v>1</v>
      </c>
      <c r="M329" s="909">
        <v>1016</v>
      </c>
      <c r="N329" s="910">
        <v>10</v>
      </c>
      <c r="O329" s="2827" t="s">
        <v>81</v>
      </c>
      <c r="P329" s="2828"/>
      <c r="Q329" s="963">
        <v>2</v>
      </c>
      <c r="R329" s="906">
        <v>3</v>
      </c>
      <c r="S329" s="913" t="s">
        <v>219</v>
      </c>
      <c r="T329" s="906">
        <v>606</v>
      </c>
      <c r="U329" s="307"/>
      <c r="V329" s="3074">
        <f>VLOOKUP(M329,'[1]TABELA FRETE'!$A$6:$B$12,2,0)</f>
        <v>425.7</v>
      </c>
      <c r="W329" s="3075"/>
      <c r="X329" s="3076"/>
      <c r="Y329" s="3077"/>
    </row>
    <row r="330" spans="2:25" s="299" customFormat="1" ht="48" customHeight="1">
      <c r="B330" s="358">
        <v>0.5</v>
      </c>
      <c r="C330" s="326"/>
      <c r="D330" s="359">
        <v>43</v>
      </c>
      <c r="E330" s="360">
        <v>4712</v>
      </c>
      <c r="F330" s="401"/>
      <c r="G330" s="375"/>
      <c r="H330" s="363"/>
      <c r="I330" s="364"/>
      <c r="J330" s="365">
        <f t="shared" si="22"/>
        <v>4712</v>
      </c>
      <c r="K330" s="366">
        <f t="shared" si="23"/>
        <v>10.471111111111112</v>
      </c>
      <c r="L330" s="365">
        <v>1</v>
      </c>
      <c r="M330" s="901" t="s">
        <v>7</v>
      </c>
      <c r="N330" s="902">
        <v>12</v>
      </c>
      <c r="O330" s="2829" t="s">
        <v>50</v>
      </c>
      <c r="P330" s="2830"/>
      <c r="Q330" s="947">
        <v>2</v>
      </c>
      <c r="R330" s="1013">
        <v>2</v>
      </c>
      <c r="S330" s="905" t="s">
        <v>51</v>
      </c>
      <c r="T330" s="917">
        <v>612</v>
      </c>
      <c r="U330" s="307"/>
      <c r="V330" s="3074">
        <f>VLOOKUP(M330,'[1]TABELA FRETE'!$A$6:$B$12,2,0)</f>
        <v>466.4</v>
      </c>
      <c r="W330" s="3075"/>
      <c r="X330" s="3076"/>
      <c r="Y330" s="3077"/>
    </row>
    <row r="331" spans="2:25" s="299" customFormat="1" ht="48" customHeight="1">
      <c r="B331" s="358">
        <v>0.5</v>
      </c>
      <c r="C331" s="326"/>
      <c r="D331" s="359">
        <v>47</v>
      </c>
      <c r="E331" s="360">
        <v>3418</v>
      </c>
      <c r="F331" s="361"/>
      <c r="G331" s="362"/>
      <c r="H331" s="363"/>
      <c r="I331" s="364"/>
      <c r="J331" s="365">
        <f t="shared" si="22"/>
        <v>3418</v>
      </c>
      <c r="K331" s="366">
        <f t="shared" si="23"/>
        <v>7.5955555555555554</v>
      </c>
      <c r="L331" s="365">
        <v>1</v>
      </c>
      <c r="M331" s="909">
        <v>1016</v>
      </c>
      <c r="N331" s="910">
        <v>8</v>
      </c>
      <c r="O331" s="2827" t="s">
        <v>106</v>
      </c>
      <c r="P331" s="2828"/>
      <c r="Q331" s="947">
        <v>2</v>
      </c>
      <c r="R331" s="906">
        <v>2</v>
      </c>
      <c r="S331" s="913" t="s">
        <v>107</v>
      </c>
      <c r="T331" s="906">
        <v>606</v>
      </c>
      <c r="U331" s="307"/>
      <c r="V331" s="3074">
        <f>VLOOKUP(M331,'[1]TABELA FRETE'!$A$6:$B$12,2,0)</f>
        <v>425.7</v>
      </c>
      <c r="W331" s="3075"/>
      <c r="X331" s="3076"/>
      <c r="Y331" s="3077"/>
    </row>
    <row r="332" spans="2:25" s="299" customFormat="1" ht="48" customHeight="1">
      <c r="B332" s="358">
        <v>0.5</v>
      </c>
      <c r="C332" s="326"/>
      <c r="D332" s="359">
        <v>45</v>
      </c>
      <c r="E332" s="360">
        <v>5781</v>
      </c>
      <c r="F332" s="361"/>
      <c r="G332" s="362"/>
      <c r="H332" s="363"/>
      <c r="I332" s="364"/>
      <c r="J332" s="365">
        <f t="shared" si="22"/>
        <v>5781</v>
      </c>
      <c r="K332" s="366">
        <f>J332/460</f>
        <v>12.567391304347826</v>
      </c>
      <c r="L332" s="900">
        <v>1</v>
      </c>
      <c r="M332" s="909" t="s">
        <v>6</v>
      </c>
      <c r="N332" s="910">
        <v>14</v>
      </c>
      <c r="O332" s="2827" t="s">
        <v>143</v>
      </c>
      <c r="P332" s="2828"/>
      <c r="Q332" s="963">
        <v>1</v>
      </c>
      <c r="R332" s="906">
        <v>1</v>
      </c>
      <c r="S332" s="913" t="s">
        <v>69</v>
      </c>
      <c r="T332" s="906">
        <v>184422</v>
      </c>
      <c r="U332" s="307"/>
      <c r="V332" s="3074">
        <f>VLOOKUP(M332,'[1]TABELA FRETE'!$A$6:$B$12,2,0)</f>
        <v>489.5</v>
      </c>
      <c r="W332" s="3075"/>
      <c r="X332" s="3076"/>
      <c r="Y332" s="3077"/>
    </row>
    <row r="333" spans="2:25" s="299" customFormat="1" ht="48" customHeight="1">
      <c r="B333" s="408">
        <v>0.5</v>
      </c>
      <c r="C333" s="326"/>
      <c r="D333" s="409">
        <v>19</v>
      </c>
      <c r="E333" s="410">
        <v>5136</v>
      </c>
      <c r="F333" s="411"/>
      <c r="G333" s="410"/>
      <c r="H333" s="412"/>
      <c r="I333" s="410"/>
      <c r="J333" s="413">
        <f t="shared" si="22"/>
        <v>5136</v>
      </c>
      <c r="K333" s="414">
        <f>J333/450</f>
        <v>11.413333333333334</v>
      </c>
      <c r="L333" s="480">
        <v>1</v>
      </c>
      <c r="M333" s="1071" t="s">
        <v>7</v>
      </c>
      <c r="N333" s="1116">
        <v>12</v>
      </c>
      <c r="O333" s="3205" t="s">
        <v>62</v>
      </c>
      <c r="P333" s="3206"/>
      <c r="Q333" s="1117">
        <v>2</v>
      </c>
      <c r="R333" s="1118">
        <v>2</v>
      </c>
      <c r="S333" s="1119" t="s">
        <v>63</v>
      </c>
      <c r="T333" s="1120">
        <v>740</v>
      </c>
      <c r="U333" s="307"/>
      <c r="V333" s="3074">
        <f>VLOOKUP(M333,'[1]TABELA FRETE'!$A$6:$B$12,2,0)</f>
        <v>466.4</v>
      </c>
      <c r="W333" s="3075"/>
      <c r="X333" s="3076"/>
      <c r="Y333" s="3077"/>
    </row>
    <row r="334" spans="2:25" s="301" customFormat="1" ht="6" customHeight="1">
      <c r="B334" s="326"/>
      <c r="C334" s="326"/>
      <c r="D334" s="421"/>
      <c r="E334" s="422"/>
      <c r="F334" s="421"/>
      <c r="G334" s="423"/>
      <c r="H334" s="424"/>
      <c r="I334" s="423"/>
      <c r="J334" s="423"/>
      <c r="K334" s="425"/>
      <c r="L334" s="423"/>
      <c r="M334" s="426"/>
      <c r="N334" s="427"/>
      <c r="O334" s="428"/>
      <c r="P334" s="428"/>
      <c r="Q334" s="429"/>
      <c r="R334" s="429"/>
      <c r="S334" s="430"/>
      <c r="T334" s="431"/>
      <c r="U334" s="432"/>
      <c r="V334" s="433"/>
      <c r="W334" s="433"/>
      <c r="X334" s="434"/>
      <c r="Y334" s="434"/>
    </row>
    <row r="335" spans="2:25" s="299" customFormat="1" ht="48" customHeight="1">
      <c r="B335" s="325">
        <v>0.58333333333333304</v>
      </c>
      <c r="C335" s="326"/>
      <c r="D335" s="935">
        <v>26</v>
      </c>
      <c r="E335" s="328">
        <v>1976</v>
      </c>
      <c r="F335" s="1121"/>
      <c r="G335" s="437"/>
      <c r="H335" s="438"/>
      <c r="I335" s="330"/>
      <c r="J335" s="332">
        <f t="shared" ref="J335:J347" si="24">E335+G335+I335</f>
        <v>1976</v>
      </c>
      <c r="K335" s="333">
        <f t="shared" ref="K335:K341" si="25">J335/450</f>
        <v>4.391111111111111</v>
      </c>
      <c r="L335" s="332">
        <v>1</v>
      </c>
      <c r="M335" s="1092">
        <v>1016</v>
      </c>
      <c r="N335" s="1093">
        <v>6</v>
      </c>
      <c r="O335" s="3190" t="s">
        <v>139</v>
      </c>
      <c r="P335" s="3191"/>
      <c r="Q335" s="941">
        <v>1</v>
      </c>
      <c r="R335" s="941">
        <v>1</v>
      </c>
      <c r="S335" s="855" t="s">
        <v>140</v>
      </c>
      <c r="T335" s="939">
        <v>809</v>
      </c>
      <c r="U335" s="307"/>
      <c r="V335" s="3074">
        <f>VLOOKUP(M335,'[1]TABELA FRETE'!$A$6:$B$12,2,0)</f>
        <v>425.7</v>
      </c>
      <c r="W335" s="3075"/>
      <c r="X335" s="3076"/>
      <c r="Y335" s="3077"/>
    </row>
    <row r="336" spans="2:25" s="299" customFormat="1" ht="48" customHeight="1">
      <c r="B336" s="343">
        <v>0.58333333333333304</v>
      </c>
      <c r="C336" s="326"/>
      <c r="D336" s="942">
        <v>6</v>
      </c>
      <c r="E336" s="375">
        <v>1979</v>
      </c>
      <c r="F336" s="445">
        <v>22</v>
      </c>
      <c r="G336" s="360">
        <v>1746</v>
      </c>
      <c r="H336" s="445"/>
      <c r="I336" s="360"/>
      <c r="J336" s="365">
        <f t="shared" si="24"/>
        <v>3725</v>
      </c>
      <c r="K336" s="366">
        <f t="shared" si="25"/>
        <v>8.2777777777777786</v>
      </c>
      <c r="L336" s="365">
        <v>1</v>
      </c>
      <c r="M336" s="1122">
        <v>1016</v>
      </c>
      <c r="N336" s="1122">
        <v>10</v>
      </c>
      <c r="O336" s="3198" t="s">
        <v>72</v>
      </c>
      <c r="P336" s="3204"/>
      <c r="Q336" s="1123">
        <v>2</v>
      </c>
      <c r="R336" s="956">
        <v>3</v>
      </c>
      <c r="S336" s="957" t="s">
        <v>73</v>
      </c>
      <c r="T336" s="954">
        <v>184090</v>
      </c>
      <c r="U336" s="307"/>
      <c r="V336" s="3074">
        <f>VLOOKUP(M336,'[1]TABELA FRETE'!$A$6:$B$12,2,0)</f>
        <v>425.7</v>
      </c>
      <c r="W336" s="3075"/>
      <c r="X336" s="3083"/>
      <c r="Y336" s="3084"/>
    </row>
    <row r="337" spans="2:25" s="299" customFormat="1" ht="48" customHeight="1">
      <c r="B337" s="343">
        <v>0.58333333333333304</v>
      </c>
      <c r="C337" s="326"/>
      <c r="D337" s="942">
        <v>31</v>
      </c>
      <c r="E337" s="375">
        <v>2156</v>
      </c>
      <c r="F337" s="1124">
        <v>25</v>
      </c>
      <c r="G337" s="360">
        <v>2947</v>
      </c>
      <c r="H337" s="445"/>
      <c r="I337" s="360"/>
      <c r="J337" s="365">
        <f t="shared" si="24"/>
        <v>5103</v>
      </c>
      <c r="K337" s="366">
        <f t="shared" si="25"/>
        <v>11.34</v>
      </c>
      <c r="L337" s="365">
        <v>1</v>
      </c>
      <c r="M337" s="1125" t="s">
        <v>7</v>
      </c>
      <c r="N337" s="1126">
        <v>12</v>
      </c>
      <c r="O337" s="3156" t="s">
        <v>146</v>
      </c>
      <c r="P337" s="3183"/>
      <c r="Q337" s="974">
        <v>1</v>
      </c>
      <c r="R337" s="974">
        <v>1</v>
      </c>
      <c r="S337" s="1106" t="s">
        <v>147</v>
      </c>
      <c r="T337" s="1127">
        <v>91</v>
      </c>
      <c r="U337" s="307"/>
      <c r="V337" s="3074">
        <f>VLOOKUP(M337,'[1]TABELA FRETE'!$A$6:$B$12,2,0)</f>
        <v>466.4</v>
      </c>
      <c r="W337" s="3075"/>
      <c r="X337" s="3087"/>
      <c r="Y337" s="3088"/>
    </row>
    <row r="338" spans="2:25" s="299" customFormat="1" ht="48" customHeight="1">
      <c r="B338" s="343">
        <v>0.58333333333333304</v>
      </c>
      <c r="C338" s="452"/>
      <c r="D338" s="654">
        <v>17</v>
      </c>
      <c r="E338" s="345">
        <v>2411</v>
      </c>
      <c r="F338" s="700"/>
      <c r="G338" s="345"/>
      <c r="H338" s="348"/>
      <c r="I338" s="455"/>
      <c r="J338" s="350">
        <f t="shared" si="24"/>
        <v>2411</v>
      </c>
      <c r="K338" s="351">
        <f t="shared" si="25"/>
        <v>5.3577777777777778</v>
      </c>
      <c r="L338" s="350">
        <v>1</v>
      </c>
      <c r="M338" s="1057">
        <v>1016</v>
      </c>
      <c r="N338" s="1128">
        <v>8</v>
      </c>
      <c r="O338" s="2829" t="s">
        <v>159</v>
      </c>
      <c r="P338" s="2830"/>
      <c r="Q338" s="947">
        <v>1</v>
      </c>
      <c r="R338" s="1013">
        <v>1</v>
      </c>
      <c r="S338" s="905" t="s">
        <v>160</v>
      </c>
      <c r="T338" s="917">
        <v>456</v>
      </c>
      <c r="U338" s="307"/>
      <c r="V338" s="3074">
        <f>VLOOKUP(M338,'[1]TABELA FRETE'!$A$6:$B$12,2,0)</f>
        <v>425.7</v>
      </c>
      <c r="W338" s="3075"/>
      <c r="X338" s="3076"/>
      <c r="Y338" s="3077"/>
    </row>
    <row r="339" spans="2:25" s="299" customFormat="1" ht="48" customHeight="1">
      <c r="B339" s="343">
        <v>0.58333333333333304</v>
      </c>
      <c r="C339" s="326"/>
      <c r="D339" s="470">
        <v>23</v>
      </c>
      <c r="E339" s="392">
        <v>3398</v>
      </c>
      <c r="F339" s="465">
        <v>44</v>
      </c>
      <c r="G339" s="392">
        <v>1502</v>
      </c>
      <c r="H339" s="394"/>
      <c r="I339" s="395"/>
      <c r="J339" s="396">
        <f t="shared" si="24"/>
        <v>4900</v>
      </c>
      <c r="K339" s="461">
        <f t="shared" si="25"/>
        <v>10.888888888888889</v>
      </c>
      <c r="L339" s="396">
        <v>1</v>
      </c>
      <c r="M339" s="1066" t="s">
        <v>7</v>
      </c>
      <c r="N339" s="1113">
        <v>11</v>
      </c>
      <c r="O339" s="3164" t="s">
        <v>42</v>
      </c>
      <c r="P339" s="3165"/>
      <c r="Q339" s="1068">
        <v>3</v>
      </c>
      <c r="R339" s="1068">
        <v>4</v>
      </c>
      <c r="S339" s="1129" t="s">
        <v>43</v>
      </c>
      <c r="T339" s="1130">
        <v>479</v>
      </c>
      <c r="U339" s="307"/>
      <c r="V339" s="3074">
        <f>VLOOKUP(M339,'[1]TABELA FRETE'!$A$6:$B$12,2,0)</f>
        <v>466.4</v>
      </c>
      <c r="W339" s="3075"/>
      <c r="X339" s="3076"/>
      <c r="Y339" s="3077"/>
    </row>
    <row r="340" spans="2:25" s="299" customFormat="1" ht="48" customHeight="1">
      <c r="B340" s="358">
        <v>0.58333333333333304</v>
      </c>
      <c r="C340" s="326"/>
      <c r="D340" s="470">
        <v>10</v>
      </c>
      <c r="E340" s="392">
        <v>4970</v>
      </c>
      <c r="F340" s="445"/>
      <c r="G340" s="360"/>
      <c r="H340" s="363"/>
      <c r="I340" s="375"/>
      <c r="J340" s="365">
        <f t="shared" si="24"/>
        <v>4970</v>
      </c>
      <c r="K340" s="366">
        <f t="shared" si="25"/>
        <v>11.044444444444444</v>
      </c>
      <c r="L340" s="365">
        <v>1</v>
      </c>
      <c r="M340" s="901" t="s">
        <v>7</v>
      </c>
      <c r="N340" s="902">
        <v>12</v>
      </c>
      <c r="O340" s="2829" t="s">
        <v>58</v>
      </c>
      <c r="P340" s="3172"/>
      <c r="Q340" s="947">
        <v>2</v>
      </c>
      <c r="R340" s="966">
        <v>2</v>
      </c>
      <c r="S340" s="905" t="s">
        <v>59</v>
      </c>
      <c r="T340" s="906">
        <v>674</v>
      </c>
      <c r="U340" s="307"/>
      <c r="V340" s="3074">
        <f>VLOOKUP(M340,'[1]TABELA FRETE'!$A$6:$B$12,2,0)</f>
        <v>466.4</v>
      </c>
      <c r="W340" s="3075"/>
      <c r="X340" s="3076"/>
      <c r="Y340" s="3077"/>
    </row>
    <row r="341" spans="2:25" s="299" customFormat="1" ht="61.5" customHeight="1">
      <c r="B341" s="358">
        <v>0.58333333333333304</v>
      </c>
      <c r="C341" s="326"/>
      <c r="D341" s="462" t="s">
        <v>78</v>
      </c>
      <c r="E341" s="360">
        <v>2753</v>
      </c>
      <c r="F341" s="445"/>
      <c r="G341" s="360"/>
      <c r="H341" s="363"/>
      <c r="I341" s="375"/>
      <c r="J341" s="365">
        <f t="shared" si="24"/>
        <v>2753</v>
      </c>
      <c r="K341" s="366">
        <f t="shared" si="25"/>
        <v>6.1177777777777775</v>
      </c>
      <c r="L341" s="365">
        <v>1</v>
      </c>
      <c r="M341" s="909">
        <v>1016</v>
      </c>
      <c r="N341" s="910">
        <v>8</v>
      </c>
      <c r="O341" s="2827" t="s">
        <v>150</v>
      </c>
      <c r="P341" s="3163"/>
      <c r="Q341" s="947">
        <v>1</v>
      </c>
      <c r="R341" s="963">
        <v>1</v>
      </c>
      <c r="S341" s="913" t="s">
        <v>151</v>
      </c>
      <c r="T341" s="906">
        <v>642</v>
      </c>
      <c r="U341" s="307"/>
      <c r="V341" s="3074">
        <f>VLOOKUP(M341,'[1]TABELA FRETE'!$A$6:$B$12,2,0)</f>
        <v>425.7</v>
      </c>
      <c r="W341" s="3075"/>
      <c r="X341" s="3076"/>
      <c r="Y341" s="3077"/>
    </row>
    <row r="342" spans="2:25" s="299" customFormat="1" ht="45" customHeight="1">
      <c r="B342" s="463">
        <v>0.58333333333333304</v>
      </c>
      <c r="C342" s="326"/>
      <c r="D342" s="470">
        <v>40</v>
      </c>
      <c r="E342" s="392">
        <v>5400</v>
      </c>
      <c r="F342" s="445"/>
      <c r="G342" s="392"/>
      <c r="H342" s="394"/>
      <c r="I342" s="395"/>
      <c r="J342" s="365">
        <f t="shared" si="24"/>
        <v>5400</v>
      </c>
      <c r="K342" s="366">
        <f>J342/460</f>
        <v>11.739130434782609</v>
      </c>
      <c r="L342" s="396">
        <v>1</v>
      </c>
      <c r="M342" s="1125" t="s">
        <v>6</v>
      </c>
      <c r="N342" s="1126">
        <v>14</v>
      </c>
      <c r="O342" s="3156" t="s">
        <v>64</v>
      </c>
      <c r="P342" s="3183"/>
      <c r="Q342" s="974">
        <v>1</v>
      </c>
      <c r="R342" s="1131">
        <v>1</v>
      </c>
      <c r="S342" s="975" t="s">
        <v>65</v>
      </c>
      <c r="T342" s="1105">
        <v>598</v>
      </c>
      <c r="U342" s="307"/>
      <c r="V342" s="3074">
        <f>VLOOKUP(M342,'[1]TABELA FRETE'!$A$6:$B$12,2,0)</f>
        <v>489.5</v>
      </c>
      <c r="W342" s="3075"/>
      <c r="X342" s="3076"/>
      <c r="Y342" s="3077"/>
    </row>
    <row r="343" spans="2:25" s="299" customFormat="1" ht="48" customHeight="1">
      <c r="B343" s="463">
        <v>0.58333333333333304</v>
      </c>
      <c r="C343" s="326"/>
      <c r="D343" s="470">
        <v>3</v>
      </c>
      <c r="E343" s="392">
        <v>1142</v>
      </c>
      <c r="F343" s="470">
        <v>5</v>
      </c>
      <c r="G343" s="392">
        <v>1471</v>
      </c>
      <c r="H343" s="465"/>
      <c r="I343" s="392"/>
      <c r="J343" s="365">
        <f t="shared" si="24"/>
        <v>2613</v>
      </c>
      <c r="K343" s="366">
        <f>J343/450</f>
        <v>5.8066666666666666</v>
      </c>
      <c r="L343" s="396">
        <v>1</v>
      </c>
      <c r="M343" s="827">
        <v>1016</v>
      </c>
      <c r="N343" s="910">
        <v>8</v>
      </c>
      <c r="O343" s="2827" t="s">
        <v>90</v>
      </c>
      <c r="P343" s="3163"/>
      <c r="Q343" s="947">
        <v>2</v>
      </c>
      <c r="R343" s="906">
        <v>3</v>
      </c>
      <c r="S343" s="913" t="s">
        <v>91</v>
      </c>
      <c r="T343" s="906">
        <v>674</v>
      </c>
      <c r="U343" s="307"/>
      <c r="V343" s="3074">
        <f>VLOOKUP(M343,'[1]TABELA FRETE'!$A$6:$B$12,2,0)</f>
        <v>425.7</v>
      </c>
      <c r="W343" s="3075"/>
      <c r="X343" s="3076"/>
      <c r="Y343" s="3077"/>
    </row>
    <row r="344" spans="2:25" s="299" customFormat="1" ht="48" customHeight="1">
      <c r="B344" s="463">
        <v>0.58333333333333304</v>
      </c>
      <c r="C344" s="326"/>
      <c r="D344" s="470">
        <v>32</v>
      </c>
      <c r="E344" s="392">
        <v>1605</v>
      </c>
      <c r="F344" s="465">
        <v>42</v>
      </c>
      <c r="G344" s="392">
        <v>2537</v>
      </c>
      <c r="H344" s="465"/>
      <c r="I344" s="392"/>
      <c r="J344" s="365">
        <f t="shared" si="24"/>
        <v>4142</v>
      </c>
      <c r="K344" s="366">
        <f>J344/450</f>
        <v>9.2044444444444444</v>
      </c>
      <c r="L344" s="396">
        <v>1</v>
      </c>
      <c r="M344" s="1066" t="s">
        <v>7</v>
      </c>
      <c r="N344" s="1113">
        <v>11</v>
      </c>
      <c r="O344" s="3164" t="s">
        <v>52</v>
      </c>
      <c r="P344" s="3165"/>
      <c r="Q344" s="1068">
        <v>1</v>
      </c>
      <c r="R344" s="1068">
        <v>1</v>
      </c>
      <c r="S344" s="1115" t="s">
        <v>53</v>
      </c>
      <c r="T344" s="1070">
        <v>633</v>
      </c>
      <c r="U344" s="307"/>
      <c r="V344" s="537"/>
      <c r="W344" s="538"/>
      <c r="X344" s="341"/>
      <c r="Y344" s="342"/>
    </row>
    <row r="345" spans="2:25" s="299" customFormat="1" ht="48" customHeight="1">
      <c r="B345" s="463">
        <v>0.58333333333333304</v>
      </c>
      <c r="C345" s="326"/>
      <c r="D345" s="470">
        <v>20</v>
      </c>
      <c r="E345" s="392">
        <v>2333</v>
      </c>
      <c r="F345" s="465"/>
      <c r="G345" s="392"/>
      <c r="H345" s="465"/>
      <c r="I345" s="392"/>
      <c r="J345" s="365">
        <f t="shared" si="24"/>
        <v>2333</v>
      </c>
      <c r="K345" s="366">
        <f>J345/450</f>
        <v>5.1844444444444449</v>
      </c>
      <c r="L345" s="396">
        <v>1</v>
      </c>
      <c r="M345" s="909">
        <v>1016</v>
      </c>
      <c r="N345" s="910">
        <v>6</v>
      </c>
      <c r="O345" s="2827" t="s">
        <v>70</v>
      </c>
      <c r="P345" s="3163"/>
      <c r="Q345" s="963">
        <v>1</v>
      </c>
      <c r="R345" s="963">
        <v>1</v>
      </c>
      <c r="S345" s="913" t="s">
        <v>71</v>
      </c>
      <c r="T345" s="906">
        <v>333</v>
      </c>
      <c r="U345" s="307"/>
      <c r="V345" s="3074">
        <f>VLOOKUP(M345,'[1]TABELA FRETE'!$A$6:$B$12,2,0)</f>
        <v>425.7</v>
      </c>
      <c r="W345" s="3075"/>
      <c r="X345" s="3076"/>
      <c r="Y345" s="3077"/>
    </row>
    <row r="346" spans="2:25" s="299" customFormat="1" ht="63" customHeight="1">
      <c r="B346" s="463">
        <v>0.58333333333333304</v>
      </c>
      <c r="C346" s="326"/>
      <c r="D346" s="462" t="s">
        <v>87</v>
      </c>
      <c r="E346" s="360">
        <v>3905</v>
      </c>
      <c r="F346" s="1132">
        <v>1129</v>
      </c>
      <c r="G346" s="360">
        <v>2438</v>
      </c>
      <c r="H346" s="445"/>
      <c r="I346" s="360"/>
      <c r="J346" s="365">
        <f t="shared" si="24"/>
        <v>6343</v>
      </c>
      <c r="K346" s="366">
        <f>J346/450</f>
        <v>14.095555555555556</v>
      </c>
      <c r="L346" s="365">
        <v>1</v>
      </c>
      <c r="M346" s="901" t="s">
        <v>6</v>
      </c>
      <c r="N346" s="902">
        <v>14</v>
      </c>
      <c r="O346" s="2829" t="s">
        <v>220</v>
      </c>
      <c r="P346" s="3172"/>
      <c r="Q346" s="966">
        <v>1</v>
      </c>
      <c r="R346" s="966">
        <v>2</v>
      </c>
      <c r="S346" s="905" t="s">
        <v>221</v>
      </c>
      <c r="T346" s="906">
        <v>184422</v>
      </c>
      <c r="U346" s="307"/>
      <c r="V346" s="2630">
        <f>VLOOKUP(M346,'[1]TABELA FRETE'!$D$25:$E$29,2,0)</f>
        <v>326.7</v>
      </c>
      <c r="W346" s="2631"/>
      <c r="X346" s="3076"/>
      <c r="Y346" s="3077"/>
    </row>
    <row r="347" spans="2:25" s="299" customFormat="1" ht="48" customHeight="1">
      <c r="B347" s="408">
        <v>0.58333333333333304</v>
      </c>
      <c r="C347" s="326"/>
      <c r="D347" s="1133">
        <v>46</v>
      </c>
      <c r="E347" s="477">
        <v>3366</v>
      </c>
      <c r="F347" s="478"/>
      <c r="G347" s="477"/>
      <c r="H347" s="479"/>
      <c r="I347" s="477"/>
      <c r="J347" s="480">
        <f t="shared" si="24"/>
        <v>3366</v>
      </c>
      <c r="K347" s="481">
        <f>J347/450</f>
        <v>7.48</v>
      </c>
      <c r="L347" s="480">
        <v>1</v>
      </c>
      <c r="M347" s="1071">
        <v>1016</v>
      </c>
      <c r="N347" s="1116">
        <v>9</v>
      </c>
      <c r="O347" s="3181" t="s">
        <v>79</v>
      </c>
      <c r="P347" s="3182"/>
      <c r="Q347" s="1117">
        <v>1</v>
      </c>
      <c r="R347" s="1117">
        <v>1</v>
      </c>
      <c r="S347" s="1119" t="s">
        <v>80</v>
      </c>
      <c r="T347" s="1120">
        <v>184725</v>
      </c>
      <c r="U347" s="486"/>
      <c r="V347" s="3074">
        <f>VLOOKUP(M347,'[1]TABELA FRETE'!$A$6:$B$12,2,0)</f>
        <v>425.7</v>
      </c>
      <c r="W347" s="3075"/>
      <c r="X347" s="3087"/>
      <c r="Y347" s="3088"/>
    </row>
    <row r="348" spans="2:25" s="301" customFormat="1" ht="6" customHeight="1">
      <c r="B348" s="326"/>
      <c r="C348" s="326"/>
      <c r="D348" s="487"/>
      <c r="E348" s="423"/>
      <c r="F348" s="488"/>
      <c r="G348" s="423"/>
      <c r="H348" s="424"/>
      <c r="I348" s="423"/>
      <c r="J348" s="423"/>
      <c r="K348" s="425"/>
      <c r="L348" s="423"/>
      <c r="M348" s="426"/>
      <c r="N348" s="427"/>
      <c r="O348" s="431"/>
      <c r="P348" s="431"/>
      <c r="Q348" s="431"/>
      <c r="R348" s="431"/>
      <c r="S348" s="489"/>
      <c r="T348" s="431"/>
      <c r="U348" s="432"/>
      <c r="V348" s="433"/>
      <c r="W348" s="433"/>
      <c r="X348" s="434"/>
      <c r="Y348" s="434"/>
    </row>
    <row r="349" spans="2:25" s="299" customFormat="1" ht="48" customHeight="1">
      <c r="B349" s="325">
        <v>0.70833333333333304</v>
      </c>
      <c r="C349" s="326"/>
      <c r="D349" s="490">
        <v>36</v>
      </c>
      <c r="E349" s="328">
        <v>2103</v>
      </c>
      <c r="F349" s="491"/>
      <c r="G349" s="328"/>
      <c r="H349" s="438"/>
      <c r="I349" s="492"/>
      <c r="J349" s="623">
        <f t="shared" ref="J349:J359" si="26">E349+G349+I349</f>
        <v>2103</v>
      </c>
      <c r="K349" s="494">
        <f t="shared" ref="K349:K358" si="27">J349/450</f>
        <v>4.6733333333333329</v>
      </c>
      <c r="L349" s="493">
        <v>1</v>
      </c>
      <c r="M349" s="994">
        <v>1016</v>
      </c>
      <c r="N349" s="995">
        <v>8</v>
      </c>
      <c r="O349" s="2940" t="s">
        <v>85</v>
      </c>
      <c r="P349" s="3200"/>
      <c r="Q349" s="442">
        <v>2</v>
      </c>
      <c r="R349" s="588">
        <v>2</v>
      </c>
      <c r="S349" s="1134" t="s">
        <v>86</v>
      </c>
      <c r="T349" s="588">
        <v>714</v>
      </c>
      <c r="U349" s="307"/>
      <c r="V349" s="3074">
        <f>VLOOKUP(M349,'[1]TABELA FRETE'!$A$6:$B$12,2,0)</f>
        <v>425.7</v>
      </c>
      <c r="W349" s="3075"/>
      <c r="X349" s="3076"/>
      <c r="Y349" s="3077"/>
    </row>
    <row r="350" spans="2:25" s="299" customFormat="1" ht="48" customHeight="1">
      <c r="B350" s="343">
        <v>0.70833333333333304</v>
      </c>
      <c r="C350" s="326"/>
      <c r="D350" s="520">
        <v>33</v>
      </c>
      <c r="E350" s="345">
        <v>2583</v>
      </c>
      <c r="F350" s="504"/>
      <c r="G350" s="345"/>
      <c r="H350" s="348"/>
      <c r="I350" s="455"/>
      <c r="J350" s="505">
        <f t="shared" si="26"/>
        <v>2583</v>
      </c>
      <c r="K350" s="506">
        <f t="shared" si="27"/>
        <v>5.74</v>
      </c>
      <c r="L350" s="423">
        <v>1</v>
      </c>
      <c r="M350" s="807">
        <v>1016</v>
      </c>
      <c r="N350" s="1135">
        <v>8</v>
      </c>
      <c r="O350" s="2908" t="s">
        <v>46</v>
      </c>
      <c r="P350" s="2909"/>
      <c r="Q350" s="357">
        <v>2</v>
      </c>
      <c r="R350" s="657">
        <v>2</v>
      </c>
      <c r="S350" s="1137" t="s">
        <v>102</v>
      </c>
      <c r="T350" s="657">
        <v>48</v>
      </c>
      <c r="U350" s="307"/>
      <c r="V350" s="537"/>
      <c r="W350" s="538"/>
      <c r="X350" s="341"/>
      <c r="Y350" s="342"/>
    </row>
    <row r="351" spans="2:25" s="299" customFormat="1" ht="48" customHeight="1">
      <c r="B351" s="358">
        <v>0.70833333333333304</v>
      </c>
      <c r="C351" s="326"/>
      <c r="D351" s="516">
        <v>30</v>
      </c>
      <c r="E351" s="360">
        <v>1638</v>
      </c>
      <c r="F351" s="521"/>
      <c r="G351" s="345"/>
      <c r="H351" s="474"/>
      <c r="I351" s="360"/>
      <c r="J351" s="467">
        <f t="shared" si="26"/>
        <v>1638</v>
      </c>
      <c r="K351" s="475">
        <f t="shared" si="27"/>
        <v>3.64</v>
      </c>
      <c r="L351" s="467">
        <v>1</v>
      </c>
      <c r="M351" s="869">
        <v>1016</v>
      </c>
      <c r="N351" s="870">
        <v>8</v>
      </c>
      <c r="O351" s="3161" t="s">
        <v>44</v>
      </c>
      <c r="P351" s="2926"/>
      <c r="Q351" s="407">
        <v>2</v>
      </c>
      <c r="R351" s="451">
        <v>2</v>
      </c>
      <c r="S351" s="871" t="s">
        <v>103</v>
      </c>
      <c r="T351" s="451">
        <v>674</v>
      </c>
      <c r="U351" s="307"/>
      <c r="V351" s="3074">
        <f>VLOOKUP(M351,'[1]TABELA FRETE'!$A$6:$B$12,2,0)</f>
        <v>425.7</v>
      </c>
      <c r="W351" s="3075"/>
      <c r="X351" s="3076"/>
      <c r="Y351" s="3077"/>
    </row>
    <row r="352" spans="2:25" s="299" customFormat="1" ht="48" customHeight="1">
      <c r="B352" s="358">
        <v>0.70833333333333304</v>
      </c>
      <c r="C352" s="326"/>
      <c r="D352" s="522">
        <v>21</v>
      </c>
      <c r="E352" s="392">
        <v>2144</v>
      </c>
      <c r="F352" s="523"/>
      <c r="G352" s="460"/>
      <c r="H352" s="465"/>
      <c r="I352" s="392"/>
      <c r="J352" s="467">
        <f t="shared" si="26"/>
        <v>2144</v>
      </c>
      <c r="K352" s="475">
        <f t="shared" si="27"/>
        <v>4.764444444444444</v>
      </c>
      <c r="L352" s="467">
        <v>1</v>
      </c>
      <c r="M352" s="869">
        <v>1016</v>
      </c>
      <c r="N352" s="870">
        <v>8</v>
      </c>
      <c r="O352" s="2628" t="s">
        <v>106</v>
      </c>
      <c r="P352" s="2926"/>
      <c r="Q352" s="407">
        <v>2</v>
      </c>
      <c r="R352" s="451">
        <v>2</v>
      </c>
      <c r="S352" s="871" t="s">
        <v>211</v>
      </c>
      <c r="T352" s="451">
        <v>606</v>
      </c>
      <c r="U352" s="307"/>
      <c r="V352" s="3074">
        <f>VLOOKUP(M352,'[1]TABELA FRETE'!$A$6:$B$12,2,0)</f>
        <v>425.7</v>
      </c>
      <c r="W352" s="3075"/>
      <c r="X352" s="3076"/>
      <c r="Y352" s="3077"/>
    </row>
    <row r="353" spans="2:25" s="299" customFormat="1" ht="49.5" customHeight="1">
      <c r="B353" s="358">
        <v>0.70833333333333304</v>
      </c>
      <c r="C353" s="326"/>
      <c r="D353" s="516">
        <v>4</v>
      </c>
      <c r="E353" s="360">
        <v>1820</v>
      </c>
      <c r="F353" s="524"/>
      <c r="G353" s="360"/>
      <c r="H353" s="525"/>
      <c r="I353" s="360"/>
      <c r="J353" s="467">
        <f t="shared" si="26"/>
        <v>1820</v>
      </c>
      <c r="K353" s="475">
        <f t="shared" si="27"/>
        <v>4.0444444444444443</v>
      </c>
      <c r="L353" s="467">
        <v>1</v>
      </c>
      <c r="M353" s="1138">
        <v>1016</v>
      </c>
      <c r="N353" s="1139">
        <v>8</v>
      </c>
      <c r="O353" s="2742" t="s">
        <v>92</v>
      </c>
      <c r="P353" s="2770"/>
      <c r="Q353" s="455">
        <v>2</v>
      </c>
      <c r="R353" s="1087">
        <v>2</v>
      </c>
      <c r="S353" s="1140" t="s">
        <v>104</v>
      </c>
      <c r="T353" s="1089">
        <v>576</v>
      </c>
      <c r="U353" s="432"/>
      <c r="V353" s="3074">
        <f>VLOOKUP(M353,'[1]TABELA FRETE'!$A$6:$B$12,2,0)</f>
        <v>425.7</v>
      </c>
      <c r="W353" s="3075"/>
      <c r="X353" s="3076"/>
      <c r="Y353" s="3077"/>
    </row>
    <row r="354" spans="2:25" s="299" customFormat="1" ht="49.5" customHeight="1">
      <c r="B354" s="358">
        <v>0.70833333333333304</v>
      </c>
      <c r="C354" s="326"/>
      <c r="D354" s="516">
        <v>18</v>
      </c>
      <c r="E354" s="360">
        <v>1868</v>
      </c>
      <c r="F354" s="530"/>
      <c r="G354" s="392"/>
      <c r="H354" s="531"/>
      <c r="I354" s="392"/>
      <c r="J354" s="467">
        <f t="shared" si="26"/>
        <v>1868</v>
      </c>
      <c r="K354" s="475">
        <f t="shared" si="27"/>
        <v>4.1511111111111108</v>
      </c>
      <c r="L354" s="467">
        <v>1</v>
      </c>
      <c r="M354" s="869">
        <v>1016</v>
      </c>
      <c r="N354" s="870">
        <v>7</v>
      </c>
      <c r="O354" s="2628" t="s">
        <v>56</v>
      </c>
      <c r="P354" s="2926"/>
      <c r="Q354" s="407">
        <v>1</v>
      </c>
      <c r="R354" s="451">
        <v>1</v>
      </c>
      <c r="S354" s="871" t="s">
        <v>57</v>
      </c>
      <c r="T354" s="451">
        <v>663</v>
      </c>
      <c r="U354" s="432"/>
      <c r="V354" s="3074">
        <f>VLOOKUP(M354,'[1]TABELA FRETE'!$A$6:$B$12,2,0)</f>
        <v>425.7</v>
      </c>
      <c r="W354" s="3075"/>
      <c r="X354" s="3076"/>
      <c r="Y354" s="3077"/>
    </row>
    <row r="355" spans="2:25" s="299" customFormat="1" ht="48" customHeight="1">
      <c r="B355" s="463">
        <v>0.70833333333333304</v>
      </c>
      <c r="C355" s="326"/>
      <c r="D355" s="516">
        <v>27</v>
      </c>
      <c r="E355" s="360">
        <v>1528</v>
      </c>
      <c r="F355" s="1090">
        <v>15</v>
      </c>
      <c r="G355" s="395">
        <v>1190</v>
      </c>
      <c r="H355" s="744"/>
      <c r="I355" s="392"/>
      <c r="J355" s="467">
        <f t="shared" si="26"/>
        <v>2718</v>
      </c>
      <c r="K355" s="475">
        <f t="shared" si="27"/>
        <v>6.04</v>
      </c>
      <c r="L355" s="467">
        <v>1</v>
      </c>
      <c r="M355" s="909">
        <v>1016</v>
      </c>
      <c r="N355" s="910">
        <v>10</v>
      </c>
      <c r="O355" s="2827" t="s">
        <v>81</v>
      </c>
      <c r="P355" s="2828"/>
      <c r="Q355" s="963">
        <v>2</v>
      </c>
      <c r="R355" s="906">
        <v>2</v>
      </c>
      <c r="S355" s="913" t="s">
        <v>82</v>
      </c>
      <c r="T355" s="906">
        <v>606</v>
      </c>
      <c r="U355" s="307"/>
      <c r="V355" s="3074">
        <f>VLOOKUP(M355,'[1]TABELA FRETE'!$A$6:$B$12,2,0)</f>
        <v>425.7</v>
      </c>
      <c r="W355" s="3075"/>
      <c r="X355" s="3076"/>
      <c r="Y355" s="3077"/>
    </row>
    <row r="356" spans="2:25" s="299" customFormat="1" ht="48" customHeight="1">
      <c r="B356" s="463">
        <v>0.70833333333333304</v>
      </c>
      <c r="C356" s="326"/>
      <c r="D356" s="516">
        <v>7</v>
      </c>
      <c r="E356" s="360">
        <v>4000</v>
      </c>
      <c r="F356" s="473"/>
      <c r="G356" s="375"/>
      <c r="H356" s="474"/>
      <c r="I356" s="360"/>
      <c r="J356" s="467">
        <f t="shared" si="26"/>
        <v>4000</v>
      </c>
      <c r="K356" s="475">
        <f t="shared" si="27"/>
        <v>8.8888888888888893</v>
      </c>
      <c r="L356" s="467">
        <v>1</v>
      </c>
      <c r="M356" s="901" t="s">
        <v>7</v>
      </c>
      <c r="N356" s="902">
        <v>12</v>
      </c>
      <c r="O356" s="2829" t="s">
        <v>50</v>
      </c>
      <c r="P356" s="2830"/>
      <c r="Q356" s="947">
        <v>2</v>
      </c>
      <c r="R356" s="1013">
        <v>2</v>
      </c>
      <c r="S356" s="905" t="s">
        <v>51</v>
      </c>
      <c r="T356" s="917">
        <v>612</v>
      </c>
      <c r="U356" s="307"/>
      <c r="V356" s="3074">
        <f>VLOOKUP(M356,'[1]TABELA FRETE'!$A$6:$B$12,2,0)</f>
        <v>466.4</v>
      </c>
      <c r="W356" s="3075"/>
      <c r="X356" s="3076"/>
      <c r="Y356" s="3077"/>
    </row>
    <row r="357" spans="2:25" s="299" customFormat="1" ht="48" customHeight="1">
      <c r="B357" s="463">
        <v>0.70833333333333304</v>
      </c>
      <c r="C357" s="326"/>
      <c r="D357" s="522">
        <v>48</v>
      </c>
      <c r="E357" s="392">
        <v>1688</v>
      </c>
      <c r="F357" s="539"/>
      <c r="G357" s="360"/>
      <c r="H357" s="363"/>
      <c r="I357" s="375"/>
      <c r="J357" s="365">
        <f t="shared" si="26"/>
        <v>1688</v>
      </c>
      <c r="K357" s="366">
        <f t="shared" si="27"/>
        <v>3.7511111111111113</v>
      </c>
      <c r="L357" s="365">
        <v>1</v>
      </c>
      <c r="M357" s="1138">
        <v>1016</v>
      </c>
      <c r="N357" s="1139">
        <v>8</v>
      </c>
      <c r="O357" s="3047" t="s">
        <v>88</v>
      </c>
      <c r="P357" s="2755"/>
      <c r="Q357" s="455">
        <v>1</v>
      </c>
      <c r="R357" s="1087">
        <v>1</v>
      </c>
      <c r="S357" s="1140" t="s">
        <v>89</v>
      </c>
      <c r="T357" s="1089">
        <v>799</v>
      </c>
      <c r="U357" s="307"/>
      <c r="V357" s="3074">
        <f>VLOOKUP(M357,'[1]TABELA FRETE'!$A$6:$B$12,2,0)</f>
        <v>425.7</v>
      </c>
      <c r="W357" s="3075"/>
      <c r="X357" s="3083"/>
      <c r="Y357" s="3084"/>
    </row>
    <row r="358" spans="2:25" s="299" customFormat="1" ht="48" customHeight="1">
      <c r="B358" s="408">
        <v>0.70833333333333304</v>
      </c>
      <c r="C358" s="326"/>
      <c r="D358" s="542">
        <v>13</v>
      </c>
      <c r="E358" s="410">
        <v>3197</v>
      </c>
      <c r="F358" s="543"/>
      <c r="G358" s="544"/>
      <c r="H358" s="545"/>
      <c r="I358" s="544"/>
      <c r="J358" s="546">
        <f t="shared" si="26"/>
        <v>3197</v>
      </c>
      <c r="K358" s="547">
        <f t="shared" si="27"/>
        <v>7.1044444444444448</v>
      </c>
      <c r="L358" s="546">
        <v>1</v>
      </c>
      <c r="M358" s="1045" t="s">
        <v>7</v>
      </c>
      <c r="N358" s="1046">
        <v>12</v>
      </c>
      <c r="O358" s="3196" t="s">
        <v>68</v>
      </c>
      <c r="P358" s="3197"/>
      <c r="Q358" s="551">
        <v>1</v>
      </c>
      <c r="R358" s="607">
        <v>1</v>
      </c>
      <c r="S358" s="608" t="s">
        <v>174</v>
      </c>
      <c r="T358" s="606">
        <v>808</v>
      </c>
      <c r="U358" s="307"/>
      <c r="V358" s="2630">
        <f>VLOOKUP(M358,'[1]TABELA FRETE'!$D$7:$E$12,2,0)</f>
        <v>1161.5999999999999</v>
      </c>
      <c r="W358" s="2631"/>
      <c r="X358" s="3087"/>
      <c r="Y358" s="3088"/>
    </row>
    <row r="359" spans="2:25" s="299" customFormat="1" ht="49.5" customHeight="1">
      <c r="B359" s="554" t="s">
        <v>108</v>
      </c>
      <c r="C359" s="555"/>
      <c r="D359" s="556"/>
      <c r="E359" s="557">
        <f>SUM(E318:E358)</f>
        <v>110151</v>
      </c>
      <c r="F359" s="557" t="s">
        <v>109</v>
      </c>
      <c r="G359" s="557">
        <f>SUM(G318:G358)</f>
        <v>19141</v>
      </c>
      <c r="H359" s="557" t="s">
        <v>109</v>
      </c>
      <c r="I359" s="319">
        <f>SUM(I318:I358)</f>
        <v>0</v>
      </c>
      <c r="J359" s="319">
        <f t="shared" si="26"/>
        <v>129292</v>
      </c>
      <c r="K359" s="558">
        <f>SUM(K318:K358)</f>
        <v>286.33806763285031</v>
      </c>
      <c r="L359" s="559">
        <f>SUM(L318:L358)</f>
        <v>39</v>
      </c>
      <c r="M359" s="560" t="s">
        <v>110</v>
      </c>
      <c r="N359" s="554">
        <f>SUM(N318:N358)</f>
        <v>352</v>
      </c>
      <c r="O359" s="557" t="s">
        <v>32</v>
      </c>
      <c r="P359" s="557"/>
      <c r="Q359" s="319"/>
      <c r="R359" s="561">
        <f>SUM(R318:R358)</f>
        <v>65</v>
      </c>
      <c r="S359" s="562" t="s">
        <v>111</v>
      </c>
      <c r="T359" s="563"/>
      <c r="U359" s="307"/>
      <c r="V359" s="2560">
        <f>SUM(V318:W358)</f>
        <v>15956.300000000007</v>
      </c>
      <c r="W359" s="2561"/>
      <c r="X359" s="2566">
        <f>COUNT(X318:Y358)</f>
        <v>0</v>
      </c>
      <c r="Y359" s="2567"/>
    </row>
    <row r="360" spans="2:25" s="299" customFormat="1" ht="42" customHeight="1">
      <c r="B360" s="2853" t="s">
        <v>112</v>
      </c>
      <c r="C360" s="2899"/>
      <c r="D360" s="2899"/>
      <c r="E360" s="2899"/>
      <c r="F360" s="2899"/>
      <c r="G360" s="2899"/>
      <c r="H360" s="2899"/>
      <c r="I360" s="2899"/>
      <c r="J360" s="2899"/>
      <c r="K360" s="564">
        <v>44</v>
      </c>
      <c r="L360" s="2899" t="s">
        <v>113</v>
      </c>
      <c r="M360" s="2854"/>
      <c r="N360" s="2915" t="s">
        <v>114</v>
      </c>
      <c r="O360" s="2916"/>
      <c r="P360" s="2916"/>
      <c r="Q360" s="2916"/>
      <c r="R360" s="2917"/>
      <c r="S360" s="2915" t="s">
        <v>115</v>
      </c>
      <c r="T360" s="2917"/>
      <c r="U360" s="307"/>
      <c r="V360" s="2560"/>
      <c r="W360" s="2561"/>
      <c r="X360" s="2566"/>
      <c r="Y360" s="2567"/>
    </row>
    <row r="361" spans="2:25" s="299" customFormat="1" ht="6" customHeight="1">
      <c r="B361" s="2570" t="s">
        <v>116</v>
      </c>
      <c r="C361" s="2571"/>
      <c r="D361" s="2571"/>
      <c r="E361" s="2574">
        <f>L359</f>
        <v>39</v>
      </c>
      <c r="F361" s="2570" t="s">
        <v>30</v>
      </c>
      <c r="G361" s="2571"/>
      <c r="H361" s="2574">
        <f>J359</f>
        <v>129292</v>
      </c>
      <c r="I361" s="2575"/>
      <c r="J361" s="2571" t="s">
        <v>117</v>
      </c>
      <c r="K361" s="2575">
        <f>H361/E361</f>
        <v>3315.1794871794873</v>
      </c>
      <c r="L361" s="2574" t="s">
        <v>118</v>
      </c>
      <c r="M361" s="2574"/>
      <c r="N361" s="2574"/>
      <c r="O361" s="2575">
        <v>44</v>
      </c>
      <c r="P361" s="565"/>
      <c r="Q361" s="565"/>
      <c r="R361" s="565"/>
      <c r="S361" s="565"/>
      <c r="T361" s="566"/>
      <c r="U361" s="307"/>
      <c r="V361" s="2562"/>
      <c r="W361" s="2563"/>
      <c r="X361" s="2568"/>
      <c r="Y361" s="2569"/>
    </row>
    <row r="362" spans="2:25" s="299" customFormat="1" ht="42" customHeight="1">
      <c r="B362" s="2572"/>
      <c r="C362" s="2573"/>
      <c r="D362" s="2573"/>
      <c r="E362" s="2576"/>
      <c r="F362" s="2572"/>
      <c r="G362" s="2573"/>
      <c r="H362" s="2576"/>
      <c r="I362" s="2577"/>
      <c r="J362" s="2573"/>
      <c r="K362" s="2577"/>
      <c r="L362" s="2576"/>
      <c r="M362" s="2576"/>
      <c r="N362" s="2576"/>
      <c r="O362" s="2577"/>
      <c r="P362" s="567"/>
      <c r="Q362" s="2663" t="s">
        <v>119</v>
      </c>
      <c r="R362" s="2664"/>
      <c r="S362" s="2664"/>
      <c r="T362" s="2665"/>
      <c r="U362" s="307"/>
      <c r="V362" s="2578" t="s">
        <v>120</v>
      </c>
      <c r="W362" s="2579"/>
      <c r="X362" s="2582" t="s">
        <v>121</v>
      </c>
      <c r="Y362" s="2583"/>
    </row>
    <row r="363" spans="2:25" s="299" customFormat="1" ht="39" customHeight="1">
      <c r="B363" s="2887" t="s">
        <v>122</v>
      </c>
      <c r="C363" s="2733" t="s">
        <v>33</v>
      </c>
      <c r="D363" s="2734"/>
      <c r="E363" s="2541" t="s">
        <v>123</v>
      </c>
      <c r="F363" s="2542"/>
      <c r="G363" s="2542"/>
      <c r="H363" s="2542"/>
      <c r="I363" s="2542"/>
      <c r="J363" s="2542"/>
      <c r="K363" s="2542"/>
      <c r="L363" s="2542"/>
      <c r="M363" s="2542"/>
      <c r="N363" s="2542"/>
      <c r="O363" s="2543"/>
      <c r="P363" s="568"/>
      <c r="Q363" s="2680" t="s">
        <v>124</v>
      </c>
      <c r="R363" s="2681"/>
      <c r="S363" s="2681"/>
      <c r="T363" s="2682"/>
      <c r="U363" s="307"/>
      <c r="V363" s="2578"/>
      <c r="W363" s="2579"/>
      <c r="X363" s="2582"/>
      <c r="Y363" s="2583"/>
    </row>
    <row r="364" spans="2:25" s="299" customFormat="1" ht="39" customHeight="1">
      <c r="B364" s="2888"/>
      <c r="C364" s="2735"/>
      <c r="D364" s="2736"/>
      <c r="E364" s="2544"/>
      <c r="F364" s="2545"/>
      <c r="G364" s="2545"/>
      <c r="H364" s="2545"/>
      <c r="I364" s="2545"/>
      <c r="J364" s="2545"/>
      <c r="K364" s="2545"/>
      <c r="L364" s="2545"/>
      <c r="M364" s="2545"/>
      <c r="N364" s="2545"/>
      <c r="O364" s="2546"/>
      <c r="P364" s="569"/>
      <c r="Q364" s="2683" t="s">
        <v>125</v>
      </c>
      <c r="R364" s="2684"/>
      <c r="S364" s="2684"/>
      <c r="T364" s="2685"/>
      <c r="U364" s="307"/>
      <c r="V364" s="2580"/>
      <c r="W364" s="2581"/>
      <c r="X364" s="2584"/>
      <c r="Y364" s="2585"/>
    </row>
    <row r="365" spans="2:25" s="299" customFormat="1" ht="39" customHeight="1">
      <c r="B365" s="1032" t="s">
        <v>9</v>
      </c>
      <c r="C365" s="3068">
        <f>COUNTIF(M318:M358,"kia")</f>
        <v>2</v>
      </c>
      <c r="D365" s="3069"/>
      <c r="E365" s="2547"/>
      <c r="F365" s="2548"/>
      <c r="G365" s="2548"/>
      <c r="H365" s="2548"/>
      <c r="I365" s="2548"/>
      <c r="J365" s="2548"/>
      <c r="K365" s="2548"/>
      <c r="L365" s="2548"/>
      <c r="M365" s="2548"/>
      <c r="N365" s="2548"/>
      <c r="O365" s="2549"/>
      <c r="P365" s="569"/>
      <c r="Q365" s="2686" t="s">
        <v>126</v>
      </c>
      <c r="R365" s="2687"/>
      <c r="S365" s="2687"/>
      <c r="T365" s="2688"/>
      <c r="U365" s="307"/>
      <c r="V365" s="321"/>
      <c r="W365" s="321"/>
      <c r="X365" s="321"/>
      <c r="Y365" s="321"/>
    </row>
    <row r="366" spans="2:25" s="299" customFormat="1" ht="39" customHeight="1">
      <c r="B366" s="1033" t="s">
        <v>8</v>
      </c>
      <c r="C366" s="2913">
        <f>COUNTIF(M318:M358,"iveco")</f>
        <v>1</v>
      </c>
      <c r="D366" s="2914"/>
      <c r="E366" s="2586" t="s">
        <v>127</v>
      </c>
      <c r="F366" s="2587"/>
      <c r="G366" s="2587"/>
      <c r="H366" s="2587"/>
      <c r="I366" s="2587"/>
      <c r="J366" s="2587"/>
      <c r="K366" s="2587"/>
      <c r="L366" s="2587"/>
      <c r="M366" s="2587"/>
      <c r="N366" s="2587"/>
      <c r="O366" s="2588"/>
      <c r="P366" s="569"/>
      <c r="Q366" s="2592" t="s">
        <v>128</v>
      </c>
      <c r="R366" s="2593"/>
      <c r="S366" s="2593"/>
      <c r="T366" s="2594"/>
      <c r="U366" s="307"/>
      <c r="V366" s="2689" t="s">
        <v>129</v>
      </c>
      <c r="W366" s="2690"/>
      <c r="X366" s="2690"/>
      <c r="Y366" s="2691"/>
    </row>
    <row r="367" spans="2:25" s="299" customFormat="1" ht="39" customHeight="1">
      <c r="B367" s="1033">
        <v>1016</v>
      </c>
      <c r="C367" s="2913">
        <f>COUNTIF(M318:M358,"1016")</f>
        <v>20</v>
      </c>
      <c r="D367" s="2914"/>
      <c r="E367" s="2589"/>
      <c r="F367" s="2590"/>
      <c r="G367" s="2590"/>
      <c r="H367" s="2590"/>
      <c r="I367" s="2590"/>
      <c r="J367" s="2590"/>
      <c r="K367" s="2590"/>
      <c r="L367" s="2590"/>
      <c r="M367" s="2590"/>
      <c r="N367" s="2590"/>
      <c r="O367" s="2591"/>
      <c r="P367" s="569"/>
      <c r="Q367" s="2595"/>
      <c r="R367" s="2596"/>
      <c r="S367" s="2596"/>
      <c r="T367" s="2597"/>
      <c r="U367" s="307"/>
      <c r="V367" s="2601" t="s">
        <v>130</v>
      </c>
      <c r="W367" s="2602"/>
      <c r="X367" s="2602"/>
      <c r="Y367" s="2603"/>
    </row>
    <row r="368" spans="2:25" s="299" customFormat="1" ht="39" customHeight="1">
      <c r="B368" s="1033" t="s">
        <v>7</v>
      </c>
      <c r="C368" s="2913">
        <f>COUNTIF(M318:M358,"toco")</f>
        <v>11</v>
      </c>
      <c r="D368" s="2914"/>
      <c r="E368" s="2607" t="s">
        <v>131</v>
      </c>
      <c r="F368" s="2608"/>
      <c r="G368" s="2608"/>
      <c r="H368" s="2608"/>
      <c r="I368" s="2608"/>
      <c r="J368" s="2608"/>
      <c r="K368" s="2608"/>
      <c r="L368" s="2608"/>
      <c r="M368" s="2608"/>
      <c r="N368" s="2608"/>
      <c r="O368" s="2609"/>
      <c r="P368" s="568"/>
      <c r="Q368" s="2598"/>
      <c r="R368" s="2599"/>
      <c r="S368" s="2599"/>
      <c r="T368" s="2600"/>
      <c r="U368" s="307"/>
      <c r="V368" s="2604"/>
      <c r="W368" s="2605"/>
      <c r="X368" s="2605"/>
      <c r="Y368" s="2606"/>
    </row>
    <row r="369" spans="1:26" s="299" customFormat="1" ht="39" customHeight="1">
      <c r="B369" s="1034" t="s">
        <v>6</v>
      </c>
      <c r="C369" s="3070">
        <f>COUNTIF(M318:M358,"truck")</f>
        <v>4</v>
      </c>
      <c r="D369" s="3071"/>
      <c r="E369" s="2555"/>
      <c r="F369" s="2556"/>
      <c r="G369" s="2556"/>
      <c r="H369" s="2556"/>
      <c r="I369" s="2556"/>
      <c r="J369" s="2556"/>
      <c r="K369" s="2556"/>
      <c r="L369" s="2556"/>
      <c r="M369" s="2556"/>
      <c r="N369" s="2556"/>
      <c r="O369" s="2557"/>
      <c r="P369" s="568"/>
      <c r="Q369" s="2610" t="s">
        <v>132</v>
      </c>
      <c r="R369" s="2611"/>
      <c r="S369" s="2611"/>
      <c r="T369" s="2612"/>
      <c r="U369" s="307"/>
      <c r="V369" s="2616" t="s">
        <v>133</v>
      </c>
      <c r="W369" s="2617"/>
      <c r="X369" s="2622">
        <f>SUM(E318:E358,G318:G358,I318:I358)</f>
        <v>129292</v>
      </c>
      <c r="Y369" s="2623"/>
    </row>
    <row r="370" spans="1:26" s="299" customFormat="1" ht="39" customHeight="1">
      <c r="B370" s="2887" t="s">
        <v>134</v>
      </c>
      <c r="C370" s="2733">
        <f>SUM(C365:D369)</f>
        <v>38</v>
      </c>
      <c r="D370" s="2734"/>
      <c r="E370" s="2552" t="s">
        <v>135</v>
      </c>
      <c r="F370" s="2553"/>
      <c r="G370" s="2553"/>
      <c r="H370" s="2553"/>
      <c r="I370" s="2553"/>
      <c r="J370" s="2553"/>
      <c r="K370" s="2553"/>
      <c r="L370" s="2553"/>
      <c r="M370" s="2553"/>
      <c r="N370" s="2553"/>
      <c r="O370" s="2554"/>
      <c r="P370" s="573"/>
      <c r="Q370" s="2610"/>
      <c r="R370" s="2611"/>
      <c r="S370" s="2611"/>
      <c r="T370" s="2612"/>
      <c r="U370" s="574"/>
      <c r="V370" s="2618"/>
      <c r="W370" s="2619"/>
      <c r="X370" s="2624"/>
      <c r="Y370" s="2625"/>
    </row>
    <row r="371" spans="1:26" s="299" customFormat="1" ht="39" customHeight="1">
      <c r="B371" s="2888"/>
      <c r="C371" s="2735"/>
      <c r="D371" s="2736"/>
      <c r="E371" s="2555"/>
      <c r="F371" s="2556"/>
      <c r="G371" s="2556"/>
      <c r="H371" s="2556"/>
      <c r="I371" s="2556"/>
      <c r="J371" s="2556"/>
      <c r="K371" s="2556"/>
      <c r="L371" s="2556"/>
      <c r="M371" s="2556"/>
      <c r="N371" s="2556"/>
      <c r="O371" s="2557"/>
      <c r="P371" s="575"/>
      <c r="Q371" s="2610"/>
      <c r="R371" s="2611"/>
      <c r="S371" s="2611"/>
      <c r="T371" s="2612"/>
      <c r="U371" s="574"/>
      <c r="V371" s="2618"/>
      <c r="W371" s="2619"/>
      <c r="X371" s="2624"/>
      <c r="Y371" s="2625"/>
    </row>
    <row r="372" spans="1:26" s="300" customFormat="1" ht="39" customHeight="1">
      <c r="B372" s="770" t="s">
        <v>136</v>
      </c>
      <c r="C372" s="2847" t="s">
        <v>137</v>
      </c>
      <c r="D372" s="2848"/>
      <c r="E372" s="2848"/>
      <c r="F372" s="2848"/>
      <c r="G372" s="2848"/>
      <c r="H372" s="2848"/>
      <c r="I372" s="2848"/>
      <c r="J372" s="2848"/>
      <c r="K372" s="2848"/>
      <c r="L372" s="2848"/>
      <c r="M372" s="2848"/>
      <c r="N372" s="2848"/>
      <c r="O372" s="2849"/>
      <c r="P372" s="575"/>
      <c r="Q372" s="2613"/>
      <c r="R372" s="2614"/>
      <c r="S372" s="2614"/>
      <c r="T372" s="2615"/>
      <c r="V372" s="2620"/>
      <c r="W372" s="2621"/>
      <c r="X372" s="2626"/>
      <c r="Y372" s="2627"/>
    </row>
    <row r="376" spans="1:26" s="299" customFormat="1" ht="42.75" customHeight="1">
      <c r="A376" s="299" t="s">
        <v>17</v>
      </c>
      <c r="B376" s="2712"/>
      <c r="C376" s="2713"/>
      <c r="D376" s="2713"/>
      <c r="E376" s="2713"/>
      <c r="F376" s="2713"/>
      <c r="G376" s="2713"/>
      <c r="H376" s="2713"/>
      <c r="I376" s="2714"/>
      <c r="J376" s="2850" t="s">
        <v>18</v>
      </c>
      <c r="K376" s="2851"/>
      <c r="L376" s="2851"/>
      <c r="M376" s="2851"/>
      <c r="N376" s="2851"/>
      <c r="O376" s="2851"/>
      <c r="P376" s="2851"/>
      <c r="Q376" s="2852"/>
      <c r="R376" s="2718">
        <v>46149</v>
      </c>
      <c r="S376" s="2719"/>
      <c r="T376" s="2720"/>
      <c r="U376" s="307"/>
      <c r="V376" s="2700" t="s">
        <v>19</v>
      </c>
      <c r="W376" s="2701"/>
      <c r="X376" s="2700" t="s">
        <v>19</v>
      </c>
      <c r="Y376" s="2701"/>
    </row>
    <row r="377" spans="1:26" s="299" customFormat="1" ht="42.75" customHeight="1">
      <c r="B377" s="2715"/>
      <c r="C377" s="2716"/>
      <c r="D377" s="2716"/>
      <c r="E377" s="2716"/>
      <c r="F377" s="2716"/>
      <c r="G377" s="2716"/>
      <c r="H377" s="2716"/>
      <c r="I377" s="2717"/>
      <c r="J377" s="2724" t="s">
        <v>20</v>
      </c>
      <c r="K377" s="2725"/>
      <c r="L377" s="2725"/>
      <c r="M377" s="2725"/>
      <c r="N377" s="2725"/>
      <c r="O377" s="2725"/>
      <c r="P377" s="2725"/>
      <c r="Q377" s="2726"/>
      <c r="R377" s="2721"/>
      <c r="S377" s="2722"/>
      <c r="T377" s="2723"/>
      <c r="U377" s="307"/>
      <c r="V377" s="2702"/>
      <c r="W377" s="2703"/>
      <c r="X377" s="2702"/>
      <c r="Y377" s="2703"/>
    </row>
    <row r="378" spans="1:26" s="299" customFormat="1" ht="4.1500000000000004" customHeight="1">
      <c r="B378" s="311"/>
      <c r="C378" s="312"/>
      <c r="D378" s="308"/>
      <c r="E378" s="308"/>
      <c r="F378" s="308"/>
      <c r="G378" s="308"/>
      <c r="H378" s="308"/>
      <c r="I378" s="308"/>
      <c r="J378" s="2727"/>
      <c r="K378" s="2728"/>
      <c r="L378" s="2728"/>
      <c r="M378" s="2728"/>
      <c r="N378" s="2728"/>
      <c r="O378" s="2728"/>
      <c r="P378" s="2728"/>
      <c r="Q378" s="2729"/>
      <c r="R378" s="313" t="s">
        <v>21</v>
      </c>
      <c r="S378" s="313"/>
      <c r="T378" s="314"/>
      <c r="U378" s="307"/>
      <c r="V378" s="309"/>
      <c r="W378" s="310"/>
      <c r="X378" s="309"/>
      <c r="Y378" s="310"/>
    </row>
    <row r="379" spans="1:26" s="299" customFormat="1" ht="49.5" customHeight="1">
      <c r="B379" s="2881" t="s">
        <v>22</v>
      </c>
      <c r="C379" s="315"/>
      <c r="D379" s="2853" t="s">
        <v>23</v>
      </c>
      <c r="E379" s="2854"/>
      <c r="F379" s="2853" t="s">
        <v>24</v>
      </c>
      <c r="G379" s="2854"/>
      <c r="H379" s="2853" t="s">
        <v>25</v>
      </c>
      <c r="I379" s="2854"/>
      <c r="J379" s="2730"/>
      <c r="K379" s="2731"/>
      <c r="L379" s="2731"/>
      <c r="M379" s="2731"/>
      <c r="N379" s="2731"/>
      <c r="O379" s="2731"/>
      <c r="P379" s="2731"/>
      <c r="Q379" s="2732"/>
      <c r="R379" s="2895" t="s">
        <v>26</v>
      </c>
      <c r="S379" s="2965"/>
      <c r="T379" s="320">
        <f>L421</f>
        <v>37</v>
      </c>
      <c r="U379" s="321"/>
      <c r="V379" s="2525" t="s">
        <v>27</v>
      </c>
      <c r="W379" s="2526"/>
      <c r="X379" s="2525" t="s">
        <v>28</v>
      </c>
      <c r="Y379" s="2526"/>
      <c r="Z379" s="322"/>
    </row>
    <row r="380" spans="1:26" s="299" customFormat="1" ht="49.5" customHeight="1">
      <c r="B380" s="2882"/>
      <c r="C380" s="315"/>
      <c r="D380" s="323" t="s">
        <v>29</v>
      </c>
      <c r="E380" s="323" t="s">
        <v>30</v>
      </c>
      <c r="F380" s="323" t="s">
        <v>29</v>
      </c>
      <c r="G380" s="323" t="s">
        <v>30</v>
      </c>
      <c r="H380" s="323" t="s">
        <v>29</v>
      </c>
      <c r="I380" s="323" t="s">
        <v>30</v>
      </c>
      <c r="J380" s="317" t="s">
        <v>31</v>
      </c>
      <c r="K380" s="323" t="s">
        <v>32</v>
      </c>
      <c r="L380" s="323" t="s">
        <v>33</v>
      </c>
      <c r="M380" s="323" t="s">
        <v>34</v>
      </c>
      <c r="N380" s="323" t="s">
        <v>32</v>
      </c>
      <c r="O380" s="316" t="s">
        <v>35</v>
      </c>
      <c r="P380" s="317"/>
      <c r="Q380" s="323" t="s">
        <v>36</v>
      </c>
      <c r="R380" s="323" t="s">
        <v>37</v>
      </c>
      <c r="S380" s="323" t="s">
        <v>38</v>
      </c>
      <c r="T380" s="324" t="s">
        <v>39</v>
      </c>
      <c r="U380" s="321"/>
      <c r="V380" s="2527"/>
      <c r="W380" s="2528"/>
      <c r="X380" s="2527"/>
      <c r="Y380" s="2528"/>
      <c r="Z380" s="322"/>
    </row>
    <row r="381" spans="1:26" s="300" customFormat="1" ht="48" customHeight="1">
      <c r="B381" s="325">
        <v>0.41666666666666702</v>
      </c>
      <c r="C381" s="326"/>
      <c r="D381" s="327">
        <v>28</v>
      </c>
      <c r="E381" s="328">
        <v>1081</v>
      </c>
      <c r="F381" s="329">
        <v>29</v>
      </c>
      <c r="G381" s="330">
        <v>1865</v>
      </c>
      <c r="H381" s="331"/>
      <c r="I381" s="330"/>
      <c r="J381" s="332">
        <f>E381+G381+I381</f>
        <v>2946</v>
      </c>
      <c r="K381" s="333">
        <f>J381/450</f>
        <v>6.5466666666666669</v>
      </c>
      <c r="L381" s="332">
        <v>1</v>
      </c>
      <c r="M381" s="1092">
        <v>1016</v>
      </c>
      <c r="N381" s="1093">
        <v>7</v>
      </c>
      <c r="O381" s="3170" t="s">
        <v>141</v>
      </c>
      <c r="P381" s="3171"/>
      <c r="Q381" s="853">
        <v>2</v>
      </c>
      <c r="R381" s="939">
        <v>3</v>
      </c>
      <c r="S381" s="855" t="s">
        <v>142</v>
      </c>
      <c r="T381" s="939">
        <v>605</v>
      </c>
      <c r="U381" s="307"/>
      <c r="V381" s="3074">
        <f>VLOOKUP(M381,'[1]TABELA FRETE'!$A$6:$B$12,2,0)</f>
        <v>425.7</v>
      </c>
      <c r="W381" s="3075"/>
      <c r="X381" s="3076"/>
      <c r="Y381" s="3077"/>
    </row>
    <row r="382" spans="1:26" s="299" customFormat="1" ht="48" customHeight="1">
      <c r="B382" s="463">
        <v>0.41666666666666702</v>
      </c>
      <c r="C382" s="326"/>
      <c r="D382" s="359">
        <v>7</v>
      </c>
      <c r="E382" s="360">
        <v>1500</v>
      </c>
      <c r="F382" s="374"/>
      <c r="G382" s="375"/>
      <c r="H382" s="1040"/>
      <c r="I382" s="364"/>
      <c r="J382" s="365">
        <f>E382+G382+I382</f>
        <v>1500</v>
      </c>
      <c r="K382" s="366">
        <f>J382/450</f>
        <v>3.3333333333333335</v>
      </c>
      <c r="L382" s="365">
        <v>1</v>
      </c>
      <c r="M382" s="859" t="s">
        <v>9</v>
      </c>
      <c r="N382" s="860">
        <v>3</v>
      </c>
      <c r="O382" s="2692" t="s">
        <v>189</v>
      </c>
      <c r="P382" s="2912"/>
      <c r="Q382" s="862">
        <v>1</v>
      </c>
      <c r="R382" s="863">
        <v>1</v>
      </c>
      <c r="S382" s="864" t="s">
        <v>190</v>
      </c>
      <c r="T382" s="861">
        <v>738</v>
      </c>
      <c r="U382" s="307"/>
      <c r="V382" s="3074">
        <f>VLOOKUP(M382,'[1]TABELA FRETE'!$A$6:$B$12,2,0)</f>
        <v>250.8</v>
      </c>
      <c r="W382" s="3075"/>
      <c r="X382" s="3076"/>
      <c r="Y382" s="3077"/>
    </row>
    <row r="383" spans="1:26" s="299" customFormat="1" ht="48" customHeight="1">
      <c r="B383" s="463">
        <v>0.41666666666666702</v>
      </c>
      <c r="C383" s="326"/>
      <c r="D383" s="359">
        <v>11</v>
      </c>
      <c r="E383" s="392">
        <v>1900</v>
      </c>
      <c r="F383" s="687"/>
      <c r="G383" s="395"/>
      <c r="H383" s="1042"/>
      <c r="I383" s="727"/>
      <c r="J383" s="365">
        <f>E383+G383+I383</f>
        <v>1900</v>
      </c>
      <c r="K383" s="366">
        <f>J383/450</f>
        <v>4.2222222222222223</v>
      </c>
      <c r="L383" s="365">
        <v>1</v>
      </c>
      <c r="M383" s="1094" t="s">
        <v>8</v>
      </c>
      <c r="N383" s="1095">
        <v>4</v>
      </c>
      <c r="O383" s="3156" t="s">
        <v>96</v>
      </c>
      <c r="P383" s="3157"/>
      <c r="Q383" s="974">
        <v>2</v>
      </c>
      <c r="R383" s="1096">
        <v>2</v>
      </c>
      <c r="S383" s="975" t="s">
        <v>212</v>
      </c>
      <c r="T383" s="972">
        <v>456</v>
      </c>
      <c r="U383" s="307"/>
      <c r="V383" s="3074">
        <v>212</v>
      </c>
      <c r="W383" s="3075"/>
      <c r="X383" s="3076"/>
      <c r="Y383" s="3077"/>
    </row>
    <row r="384" spans="1:26" s="299" customFormat="1" ht="48" customHeight="1">
      <c r="B384" s="408">
        <v>0.41666666666666702</v>
      </c>
      <c r="C384" s="326"/>
      <c r="D384" s="665">
        <v>11</v>
      </c>
      <c r="E384" s="410">
        <v>1371</v>
      </c>
      <c r="F384" s="666"/>
      <c r="G384" s="544"/>
      <c r="H384" s="1044"/>
      <c r="I384" s="705"/>
      <c r="J384" s="413">
        <f>E384+G384+I384</f>
        <v>1371</v>
      </c>
      <c r="K384" s="414">
        <f>J384/450</f>
        <v>3.0466666666666669</v>
      </c>
      <c r="L384" s="413">
        <v>1</v>
      </c>
      <c r="M384" s="1045" t="s">
        <v>9</v>
      </c>
      <c r="N384" s="1046">
        <v>3</v>
      </c>
      <c r="O384" s="2855" t="s">
        <v>98</v>
      </c>
      <c r="P384" s="3201"/>
      <c r="Q384" s="551">
        <v>1</v>
      </c>
      <c r="R384" s="607">
        <v>1</v>
      </c>
      <c r="S384" s="608" t="s">
        <v>213</v>
      </c>
      <c r="T384" s="606">
        <v>496</v>
      </c>
      <c r="U384" s="307"/>
      <c r="V384" s="3074">
        <f>VLOOKUP(M384,'[1]TABELA FRETE'!$A$6:$B$12,2,0)</f>
        <v>250.8</v>
      </c>
      <c r="W384" s="3075"/>
      <c r="X384" s="2694"/>
      <c r="Y384" s="2695"/>
    </row>
    <row r="385" spans="2:25" s="301" customFormat="1" ht="6" customHeight="1">
      <c r="B385" s="326"/>
      <c r="C385" s="326"/>
      <c r="D385" s="421"/>
      <c r="E385" s="422"/>
      <c r="F385" s="421"/>
      <c r="G385" s="423"/>
      <c r="H385" s="424"/>
      <c r="I385" s="423"/>
      <c r="J385" s="423"/>
      <c r="K385" s="425"/>
      <c r="L385" s="423"/>
      <c r="M385" s="885"/>
      <c r="N385" s="886"/>
      <c r="O385" s="428"/>
      <c r="P385" s="428"/>
      <c r="Q385" s="429"/>
      <c r="R385" s="429"/>
      <c r="S385" s="430"/>
      <c r="T385" s="428"/>
      <c r="U385" s="432"/>
      <c r="V385" s="433"/>
      <c r="W385" s="433"/>
      <c r="X385" s="434"/>
      <c r="Y385" s="434"/>
    </row>
    <row r="386" spans="2:25" s="299" customFormat="1" ht="48" customHeight="1">
      <c r="B386" s="325">
        <v>0.5</v>
      </c>
      <c r="C386" s="326"/>
      <c r="D386" s="848">
        <v>8</v>
      </c>
      <c r="E386" s="328">
        <v>5148</v>
      </c>
      <c r="F386" s="1141"/>
      <c r="G386" s="437"/>
      <c r="H386" s="438"/>
      <c r="I386" s="330"/>
      <c r="J386" s="332">
        <f>E386+G386+I386</f>
        <v>5148</v>
      </c>
      <c r="K386" s="333">
        <f>J386/460</f>
        <v>11.191304347826087</v>
      </c>
      <c r="L386" s="332">
        <v>1</v>
      </c>
      <c r="M386" s="891" t="s">
        <v>7</v>
      </c>
      <c r="N386" s="892">
        <v>12</v>
      </c>
      <c r="O386" s="3202" t="s">
        <v>68</v>
      </c>
      <c r="P386" s="3203"/>
      <c r="Q386" s="1142">
        <v>1</v>
      </c>
      <c r="R386" s="1097">
        <v>1</v>
      </c>
      <c r="S386" s="895" t="s">
        <v>69</v>
      </c>
      <c r="T386" s="896">
        <v>808</v>
      </c>
      <c r="U386" s="307"/>
      <c r="V386" s="3074">
        <f>VLOOKUP(M386,'[1]TABELA FRETE'!$A$6:$B$12,2,0)</f>
        <v>466.4</v>
      </c>
      <c r="W386" s="3075"/>
      <c r="X386" s="3076"/>
      <c r="Y386" s="3077"/>
    </row>
    <row r="387" spans="2:25" s="299" customFormat="1" ht="48" customHeight="1">
      <c r="B387" s="358">
        <v>0.5</v>
      </c>
      <c r="C387" s="326"/>
      <c r="D387" s="857">
        <v>14</v>
      </c>
      <c r="E387" s="375">
        <v>2552</v>
      </c>
      <c r="F387" s="1143"/>
      <c r="G387" s="375"/>
      <c r="H387" s="363"/>
      <c r="I387" s="364"/>
      <c r="J387" s="365">
        <f>E387+G387+I387</f>
        <v>2552</v>
      </c>
      <c r="K387" s="366">
        <f>J387/450</f>
        <v>5.6711111111111112</v>
      </c>
      <c r="L387" s="365">
        <v>1</v>
      </c>
      <c r="M387" s="1060">
        <v>1016</v>
      </c>
      <c r="N387" s="1079">
        <v>8</v>
      </c>
      <c r="O387" s="2825" t="s">
        <v>46</v>
      </c>
      <c r="P387" s="3173"/>
      <c r="Q387" s="1144">
        <v>2</v>
      </c>
      <c r="R387" s="1080">
        <v>2</v>
      </c>
      <c r="S387" s="1145" t="s">
        <v>47</v>
      </c>
      <c r="T387" s="1065">
        <v>48</v>
      </c>
      <c r="U387" s="307"/>
      <c r="V387" s="3074">
        <f>VLOOKUP(M387,'[1]TABELA FRETE'!$A$6:$B$12,2,0)</f>
        <v>425.7</v>
      </c>
      <c r="W387" s="3075"/>
      <c r="X387" s="3076"/>
      <c r="Y387" s="3077"/>
    </row>
    <row r="388" spans="2:25" s="299" customFormat="1" ht="48" customHeight="1">
      <c r="B388" s="343">
        <v>0.5</v>
      </c>
      <c r="C388" s="326"/>
      <c r="D388" s="857">
        <v>1</v>
      </c>
      <c r="E388" s="360">
        <v>1934</v>
      </c>
      <c r="F388" s="1124">
        <v>9</v>
      </c>
      <c r="G388" s="362">
        <v>2721</v>
      </c>
      <c r="H388" s="363"/>
      <c r="I388" s="364"/>
      <c r="J388" s="365">
        <f t="shared" ref="J388:J395" si="28">E388+G388+I388</f>
        <v>4655</v>
      </c>
      <c r="K388" s="366">
        <f>J388/460</f>
        <v>10.119565217391305</v>
      </c>
      <c r="L388" s="365">
        <v>1</v>
      </c>
      <c r="M388" s="909" t="s">
        <v>7</v>
      </c>
      <c r="N388" s="909">
        <v>12</v>
      </c>
      <c r="O388" s="2910" t="s">
        <v>66</v>
      </c>
      <c r="P388" s="2911"/>
      <c r="Q388" s="832">
        <v>2</v>
      </c>
      <c r="R388" s="906">
        <v>3</v>
      </c>
      <c r="S388" s="922" t="s">
        <v>67</v>
      </c>
      <c r="T388" s="832">
        <v>184461</v>
      </c>
      <c r="U388" s="307"/>
      <c r="V388" s="3074">
        <f>VLOOKUP(M388,'[1]TABELA FRETE'!$A$6:$B$12,2,0)</f>
        <v>466.4</v>
      </c>
      <c r="W388" s="3075"/>
      <c r="X388" s="2694"/>
      <c r="Y388" s="2695"/>
    </row>
    <row r="389" spans="2:25" s="299" customFormat="1" ht="48" customHeight="1">
      <c r="B389" s="358">
        <v>0.5</v>
      </c>
      <c r="C389" s="326"/>
      <c r="D389" s="857">
        <v>12</v>
      </c>
      <c r="E389" s="364">
        <v>2419</v>
      </c>
      <c r="F389" s="1143"/>
      <c r="G389" s="375"/>
      <c r="H389" s="363"/>
      <c r="I389" s="364"/>
      <c r="J389" s="365">
        <f t="shared" si="28"/>
        <v>2419</v>
      </c>
      <c r="K389" s="366">
        <f t="shared" ref="K389:K395" si="29">J389/450</f>
        <v>5.3755555555555556</v>
      </c>
      <c r="L389" s="365">
        <v>1</v>
      </c>
      <c r="M389" s="919">
        <v>1016</v>
      </c>
      <c r="N389" s="920">
        <v>6</v>
      </c>
      <c r="O389" s="2827" t="s">
        <v>139</v>
      </c>
      <c r="P389" s="3163"/>
      <c r="Q389" s="906">
        <v>1</v>
      </c>
      <c r="R389" s="906">
        <v>1</v>
      </c>
      <c r="S389" s="913" t="s">
        <v>140</v>
      </c>
      <c r="T389" s="906">
        <v>809</v>
      </c>
      <c r="U389" s="307"/>
      <c r="V389" s="3074">
        <f>VLOOKUP(M389,'[1]TABELA FRETE'!$A$6:$B$12,2,0)</f>
        <v>425.7</v>
      </c>
      <c r="W389" s="3075"/>
      <c r="X389" s="3076"/>
      <c r="Y389" s="3077"/>
    </row>
    <row r="390" spans="2:25" s="299" customFormat="1" ht="48" customHeight="1">
      <c r="B390" s="358">
        <v>0.5</v>
      </c>
      <c r="C390" s="326"/>
      <c r="D390" s="857">
        <v>38</v>
      </c>
      <c r="E390" s="360">
        <v>2541</v>
      </c>
      <c r="F390" s="1143"/>
      <c r="G390" s="375"/>
      <c r="H390" s="363"/>
      <c r="I390" s="364"/>
      <c r="J390" s="365">
        <f t="shared" si="28"/>
        <v>2541</v>
      </c>
      <c r="K390" s="366">
        <f t="shared" si="29"/>
        <v>5.6466666666666665</v>
      </c>
      <c r="L390" s="365">
        <v>1</v>
      </c>
      <c r="M390" s="909">
        <v>1016</v>
      </c>
      <c r="N390" s="910">
        <v>8</v>
      </c>
      <c r="O390" s="2829" t="s">
        <v>88</v>
      </c>
      <c r="P390" s="3172"/>
      <c r="Q390" s="1013">
        <v>1</v>
      </c>
      <c r="R390" s="1013">
        <v>1</v>
      </c>
      <c r="S390" s="905" t="s">
        <v>89</v>
      </c>
      <c r="T390" s="906">
        <v>799</v>
      </c>
      <c r="U390" s="307"/>
      <c r="V390" s="3074">
        <f>VLOOKUP(M390,'[1]TABELA FRETE'!$A$6:$B$12,2,0)</f>
        <v>425.7</v>
      </c>
      <c r="W390" s="3075"/>
      <c r="X390" s="3076"/>
      <c r="Y390" s="3077"/>
    </row>
    <row r="391" spans="2:25" s="299" customFormat="1" ht="48" customHeight="1">
      <c r="B391" s="358">
        <v>0.5</v>
      </c>
      <c r="C391" s="326"/>
      <c r="D391" s="857">
        <v>34</v>
      </c>
      <c r="E391" s="360">
        <v>6500</v>
      </c>
      <c r="F391" s="1143"/>
      <c r="G391" s="375"/>
      <c r="H391" s="363"/>
      <c r="I391" s="364"/>
      <c r="J391" s="365">
        <f t="shared" si="28"/>
        <v>6500</v>
      </c>
      <c r="K391" s="366">
        <f t="shared" si="29"/>
        <v>14.444444444444445</v>
      </c>
      <c r="L391" s="365">
        <v>1</v>
      </c>
      <c r="M391" s="901" t="s">
        <v>6</v>
      </c>
      <c r="N391" s="902">
        <v>14</v>
      </c>
      <c r="O391" s="2829" t="s">
        <v>64</v>
      </c>
      <c r="P391" s="3172"/>
      <c r="Q391" s="1013">
        <v>1</v>
      </c>
      <c r="R391" s="917">
        <v>0</v>
      </c>
      <c r="S391" s="905" t="s">
        <v>222</v>
      </c>
      <c r="T391" s="906">
        <v>598</v>
      </c>
      <c r="U391" s="307"/>
      <c r="V391" s="3074" t="e">
        <f>VLOOKUP(#REF!,'[1]TABELA FRETE'!$A$6:$B$12,2,0)</f>
        <v>#REF!</v>
      </c>
      <c r="W391" s="3075"/>
      <c r="X391" s="3076"/>
      <c r="Y391" s="3077"/>
    </row>
    <row r="392" spans="2:25" s="299" customFormat="1" ht="48" customHeight="1">
      <c r="B392" s="358">
        <v>0.5</v>
      </c>
      <c r="C392" s="326"/>
      <c r="D392" s="857">
        <v>35</v>
      </c>
      <c r="E392" s="360">
        <v>2568</v>
      </c>
      <c r="F392" s="943">
        <v>34</v>
      </c>
      <c r="G392" s="375">
        <v>794</v>
      </c>
      <c r="H392" s="363"/>
      <c r="I392" s="364"/>
      <c r="J392" s="365">
        <f t="shared" si="28"/>
        <v>3362</v>
      </c>
      <c r="K392" s="366">
        <f t="shared" si="29"/>
        <v>7.471111111111111</v>
      </c>
      <c r="L392" s="365">
        <v>1</v>
      </c>
      <c r="M392" s="909">
        <v>1016</v>
      </c>
      <c r="N392" s="910">
        <v>8</v>
      </c>
      <c r="O392" s="2827" t="s">
        <v>106</v>
      </c>
      <c r="P392" s="3163"/>
      <c r="Q392" s="1013">
        <v>2</v>
      </c>
      <c r="R392" s="906">
        <v>2</v>
      </c>
      <c r="S392" s="913" t="s">
        <v>223</v>
      </c>
      <c r="T392" s="906">
        <v>606</v>
      </c>
      <c r="U392" s="307"/>
      <c r="V392" s="3074">
        <f>VLOOKUP(M392,'[1]TABELA FRETE'!$A$6:$B$12,2,0)</f>
        <v>425.7</v>
      </c>
      <c r="W392" s="3075"/>
      <c r="X392" s="3076"/>
      <c r="Y392" s="3077"/>
    </row>
    <row r="393" spans="2:25" s="299" customFormat="1" ht="48" customHeight="1">
      <c r="B393" s="358">
        <v>0.5</v>
      </c>
      <c r="C393" s="326"/>
      <c r="D393" s="857">
        <v>43</v>
      </c>
      <c r="E393" s="360">
        <v>3889</v>
      </c>
      <c r="F393" s="943"/>
      <c r="G393" s="375"/>
      <c r="H393" s="363"/>
      <c r="I393" s="364"/>
      <c r="J393" s="365">
        <f t="shared" si="28"/>
        <v>3889</v>
      </c>
      <c r="K393" s="366">
        <f t="shared" si="29"/>
        <v>8.6422222222222214</v>
      </c>
      <c r="L393" s="365">
        <v>1</v>
      </c>
      <c r="M393" s="909">
        <v>1016</v>
      </c>
      <c r="N393" s="910">
        <v>10</v>
      </c>
      <c r="O393" s="2827" t="s">
        <v>81</v>
      </c>
      <c r="P393" s="3163"/>
      <c r="Q393" s="906">
        <v>2</v>
      </c>
      <c r="R393" s="906">
        <v>2</v>
      </c>
      <c r="S393" s="913" t="s">
        <v>82</v>
      </c>
      <c r="T393" s="906">
        <v>606</v>
      </c>
      <c r="U393" s="307"/>
      <c r="V393" s="3074">
        <f>VLOOKUP(M393,'[1]TABELA FRETE'!$A$6:$B$12,2,0)</f>
        <v>425.7</v>
      </c>
      <c r="W393" s="3075"/>
      <c r="X393" s="3076"/>
      <c r="Y393" s="3077"/>
    </row>
    <row r="394" spans="2:25" s="299" customFormat="1" ht="48" customHeight="1">
      <c r="B394" s="358">
        <v>0.5</v>
      </c>
      <c r="C394" s="326"/>
      <c r="D394" s="857">
        <v>47</v>
      </c>
      <c r="E394" s="360">
        <v>3082</v>
      </c>
      <c r="F394" s="1124">
        <v>45</v>
      </c>
      <c r="G394" s="362">
        <v>3044</v>
      </c>
      <c r="H394" s="363"/>
      <c r="I394" s="364"/>
      <c r="J394" s="365">
        <f t="shared" si="28"/>
        <v>6126</v>
      </c>
      <c r="K394" s="366">
        <f t="shared" si="29"/>
        <v>13.613333333333333</v>
      </c>
      <c r="L394" s="365">
        <v>1</v>
      </c>
      <c r="M394" s="1066" t="s">
        <v>6</v>
      </c>
      <c r="N394" s="1113">
        <v>14</v>
      </c>
      <c r="O394" s="3164" t="s">
        <v>54</v>
      </c>
      <c r="P394" s="3165"/>
      <c r="Q394" s="1114">
        <v>1</v>
      </c>
      <c r="R394" s="1114">
        <v>0</v>
      </c>
      <c r="S394" s="1115" t="s">
        <v>55</v>
      </c>
      <c r="T394" s="1070">
        <v>590</v>
      </c>
      <c r="U394" s="307"/>
      <c r="V394" s="3074">
        <f>VLOOKUP(M394,'[1]TABELA FRETE'!$A$6:$B$12,2,0)</f>
        <v>489.5</v>
      </c>
      <c r="W394" s="3075"/>
      <c r="X394" s="3076"/>
      <c r="Y394" s="3077"/>
    </row>
    <row r="395" spans="2:25" s="299" customFormat="1" ht="48" customHeight="1">
      <c r="B395" s="408">
        <v>0.5</v>
      </c>
      <c r="C395" s="326"/>
      <c r="D395" s="1146">
        <v>19</v>
      </c>
      <c r="E395" s="410">
        <v>6424</v>
      </c>
      <c r="F395" s="412"/>
      <c r="G395" s="410"/>
      <c r="H395" s="412"/>
      <c r="I395" s="410"/>
      <c r="J395" s="413">
        <f t="shared" si="28"/>
        <v>6424</v>
      </c>
      <c r="K395" s="414">
        <f t="shared" si="29"/>
        <v>14.275555555555556</v>
      </c>
      <c r="L395" s="480">
        <v>1</v>
      </c>
      <c r="M395" s="878" t="s">
        <v>6</v>
      </c>
      <c r="N395" s="879">
        <v>14</v>
      </c>
      <c r="O395" s="2831" t="s">
        <v>143</v>
      </c>
      <c r="P395" s="2832"/>
      <c r="Q395" s="881">
        <v>1</v>
      </c>
      <c r="R395" s="881">
        <v>1</v>
      </c>
      <c r="S395" s="883" t="s">
        <v>69</v>
      </c>
      <c r="T395" s="881">
        <v>184422</v>
      </c>
      <c r="U395" s="307"/>
      <c r="V395" s="3074">
        <f>VLOOKUP(M395,'[1]TABELA FRETE'!$A$6:$B$12,2,0)</f>
        <v>489.5</v>
      </c>
      <c r="W395" s="3075"/>
      <c r="X395" s="3076"/>
      <c r="Y395" s="3077"/>
    </row>
    <row r="396" spans="2:25" s="301" customFormat="1" ht="6" customHeight="1">
      <c r="B396" s="326"/>
      <c r="C396" s="326"/>
      <c r="D396" s="421"/>
      <c r="E396" s="422"/>
      <c r="F396" s="421"/>
      <c r="G396" s="423"/>
      <c r="H396" s="424"/>
      <c r="I396" s="423"/>
      <c r="J396" s="423"/>
      <c r="K396" s="425"/>
      <c r="L396" s="423"/>
      <c r="M396" s="426"/>
      <c r="N396" s="427"/>
      <c r="O396" s="428"/>
      <c r="P396" s="428"/>
      <c r="Q396" s="429"/>
      <c r="R396" s="429"/>
      <c r="S396" s="430"/>
      <c r="T396" s="431"/>
      <c r="U396" s="432"/>
      <c r="V396" s="433"/>
      <c r="W396" s="433"/>
      <c r="X396" s="434"/>
      <c r="Y396" s="434"/>
    </row>
    <row r="397" spans="2:25" s="299" customFormat="1" ht="48" customHeight="1">
      <c r="B397" s="325">
        <v>0.58333333333333304</v>
      </c>
      <c r="C397" s="326"/>
      <c r="D397" s="935">
        <v>26</v>
      </c>
      <c r="E397" s="328">
        <v>2291</v>
      </c>
      <c r="F397" s="1121"/>
      <c r="G397" s="437"/>
      <c r="H397" s="438"/>
      <c r="I397" s="330"/>
      <c r="J397" s="332">
        <f t="shared" ref="J397:J409" si="30">E397+G397+I397</f>
        <v>2291</v>
      </c>
      <c r="K397" s="333">
        <f t="shared" ref="K397:K403" si="31">J397/450</f>
        <v>5.0911111111111111</v>
      </c>
      <c r="L397" s="332">
        <v>1</v>
      </c>
      <c r="M397" s="1035">
        <v>1016</v>
      </c>
      <c r="N397" s="1036">
        <v>6</v>
      </c>
      <c r="O397" s="3170" t="s">
        <v>83</v>
      </c>
      <c r="P397" s="3171"/>
      <c r="Q397" s="853">
        <v>2</v>
      </c>
      <c r="R397" s="854">
        <v>2</v>
      </c>
      <c r="S397" s="1147" t="s">
        <v>84</v>
      </c>
      <c r="T397" s="852">
        <v>655</v>
      </c>
      <c r="U397" s="307"/>
      <c r="V397" s="3074">
        <f>VLOOKUP(M397,'[1]TABELA FRETE'!$A$6:$B$12,2,0)</f>
        <v>425.7</v>
      </c>
      <c r="W397" s="3075"/>
      <c r="X397" s="3076"/>
      <c r="Y397" s="3077"/>
    </row>
    <row r="398" spans="2:25" s="299" customFormat="1" ht="48" customHeight="1">
      <c r="B398" s="343">
        <v>0.58333333333333304</v>
      </c>
      <c r="C398" s="326"/>
      <c r="D398" s="942">
        <v>25</v>
      </c>
      <c r="E398" s="375">
        <v>3399</v>
      </c>
      <c r="F398" s="445">
        <v>6</v>
      </c>
      <c r="G398" s="360">
        <v>2377</v>
      </c>
      <c r="H398" s="445"/>
      <c r="I398" s="360"/>
      <c r="J398" s="365">
        <f t="shared" si="30"/>
        <v>5776</v>
      </c>
      <c r="K398" s="366">
        <f>J398/480</f>
        <v>12.033333333333333</v>
      </c>
      <c r="L398" s="365">
        <v>1</v>
      </c>
      <c r="M398" s="901" t="s">
        <v>7</v>
      </c>
      <c r="N398" s="902">
        <v>12</v>
      </c>
      <c r="O398" s="2829" t="s">
        <v>50</v>
      </c>
      <c r="P398" s="2830"/>
      <c r="Q398" s="947">
        <v>2</v>
      </c>
      <c r="R398" s="1013">
        <v>3</v>
      </c>
      <c r="S398" s="905" t="s">
        <v>51</v>
      </c>
      <c r="T398" s="917">
        <v>612</v>
      </c>
      <c r="U398" s="307"/>
      <c r="V398" s="3074">
        <f>VLOOKUP(M398,'[1]TABELA FRETE'!$A$6:$B$12,2,0)</f>
        <v>466.4</v>
      </c>
      <c r="W398" s="3075"/>
      <c r="X398" s="3083"/>
      <c r="Y398" s="3084"/>
    </row>
    <row r="399" spans="2:25" s="299" customFormat="1" ht="48" customHeight="1">
      <c r="B399" s="343">
        <v>0.58333333333333304</v>
      </c>
      <c r="C399" s="326"/>
      <c r="D399" s="942">
        <v>31</v>
      </c>
      <c r="E399" s="375">
        <v>2870</v>
      </c>
      <c r="F399" s="1124">
        <v>22</v>
      </c>
      <c r="G399" s="360">
        <v>2009</v>
      </c>
      <c r="H399" s="445"/>
      <c r="I399" s="360"/>
      <c r="J399" s="365">
        <f t="shared" si="30"/>
        <v>4879</v>
      </c>
      <c r="K399" s="366">
        <f t="shared" si="31"/>
        <v>10.842222222222222</v>
      </c>
      <c r="L399" s="365">
        <v>1</v>
      </c>
      <c r="M399" s="919" t="s">
        <v>7</v>
      </c>
      <c r="N399" s="920">
        <v>12</v>
      </c>
      <c r="O399" s="2827" t="s">
        <v>224</v>
      </c>
      <c r="P399" s="2828"/>
      <c r="Q399" s="963">
        <v>1</v>
      </c>
      <c r="R399" s="906">
        <v>2</v>
      </c>
      <c r="S399" s="913" t="s">
        <v>225</v>
      </c>
      <c r="T399" s="906">
        <v>782</v>
      </c>
      <c r="U399" s="307"/>
      <c r="V399" s="3074">
        <f>VLOOKUP(M399,'[1]TABELA FRETE'!$A$6:$B$12,2,0)</f>
        <v>466.4</v>
      </c>
      <c r="W399" s="3075"/>
      <c r="X399" s="3087"/>
      <c r="Y399" s="3088"/>
    </row>
    <row r="400" spans="2:25" s="299" customFormat="1" ht="48" customHeight="1">
      <c r="B400" s="343">
        <v>0.58333333333333304</v>
      </c>
      <c r="C400" s="452"/>
      <c r="D400" s="654">
        <v>17</v>
      </c>
      <c r="E400" s="345">
        <v>3406</v>
      </c>
      <c r="F400" s="700">
        <v>44</v>
      </c>
      <c r="G400" s="345">
        <v>1399</v>
      </c>
      <c r="H400" s="348"/>
      <c r="I400" s="455"/>
      <c r="J400" s="350">
        <f t="shared" si="30"/>
        <v>4805</v>
      </c>
      <c r="K400" s="351">
        <f t="shared" si="31"/>
        <v>10.677777777777777</v>
      </c>
      <c r="L400" s="350">
        <v>1</v>
      </c>
      <c r="M400" s="901" t="s">
        <v>7</v>
      </c>
      <c r="N400" s="902">
        <v>12</v>
      </c>
      <c r="O400" s="2827" t="s">
        <v>153</v>
      </c>
      <c r="P400" s="2828"/>
      <c r="Q400" s="947">
        <v>1</v>
      </c>
      <c r="R400" s="1013">
        <v>2</v>
      </c>
      <c r="S400" s="905" t="s">
        <v>154</v>
      </c>
      <c r="T400" s="917">
        <v>664</v>
      </c>
      <c r="U400" s="307"/>
      <c r="V400" s="3074">
        <f>VLOOKUP(M400,'[1]TABELA FRETE'!$A$6:$B$12,2,0)</f>
        <v>466.4</v>
      </c>
      <c r="W400" s="3075"/>
      <c r="X400" s="3076"/>
      <c r="Y400" s="3077"/>
    </row>
    <row r="401" spans="2:25" s="299" customFormat="1" ht="48" customHeight="1">
      <c r="B401" s="343">
        <v>0.58333333333333304</v>
      </c>
      <c r="C401" s="326"/>
      <c r="D401" s="470">
        <v>23</v>
      </c>
      <c r="E401" s="392">
        <v>4296</v>
      </c>
      <c r="F401" s="465"/>
      <c r="G401" s="392"/>
      <c r="H401" s="394"/>
      <c r="I401" s="395"/>
      <c r="J401" s="396">
        <f t="shared" si="30"/>
        <v>4296</v>
      </c>
      <c r="K401" s="461">
        <f>J401/480</f>
        <v>8.9499999999999993</v>
      </c>
      <c r="L401" s="396">
        <v>1</v>
      </c>
      <c r="M401" s="901" t="s">
        <v>7</v>
      </c>
      <c r="N401" s="902">
        <v>11</v>
      </c>
      <c r="O401" s="2829" t="s">
        <v>52</v>
      </c>
      <c r="P401" s="2830"/>
      <c r="Q401" s="947">
        <v>1</v>
      </c>
      <c r="R401" s="1013">
        <v>1</v>
      </c>
      <c r="S401" s="905" t="s">
        <v>53</v>
      </c>
      <c r="T401" s="917">
        <v>633</v>
      </c>
      <c r="U401" s="307"/>
      <c r="V401" s="3074">
        <f>VLOOKUP(M401,'[1]TABELA FRETE'!$A$6:$B$12,2,0)</f>
        <v>466.4</v>
      </c>
      <c r="W401" s="3075"/>
      <c r="X401" s="3076"/>
      <c r="Y401" s="3077"/>
    </row>
    <row r="402" spans="2:25" s="299" customFormat="1" ht="48" customHeight="1">
      <c r="B402" s="358">
        <v>0.58333333333333304</v>
      </c>
      <c r="C402" s="326"/>
      <c r="D402" s="470">
        <v>10</v>
      </c>
      <c r="E402" s="392">
        <v>5467</v>
      </c>
      <c r="F402" s="445"/>
      <c r="G402" s="360"/>
      <c r="H402" s="363"/>
      <c r="I402" s="375"/>
      <c r="J402" s="365">
        <f t="shared" si="30"/>
        <v>5467</v>
      </c>
      <c r="K402" s="366">
        <f t="shared" si="31"/>
        <v>12.148888888888889</v>
      </c>
      <c r="L402" s="365">
        <v>1</v>
      </c>
      <c r="M402" s="901" t="s">
        <v>7</v>
      </c>
      <c r="N402" s="902">
        <v>12</v>
      </c>
      <c r="O402" s="2910" t="s">
        <v>62</v>
      </c>
      <c r="P402" s="3162"/>
      <c r="Q402" s="947">
        <v>2</v>
      </c>
      <c r="R402" s="1013">
        <v>2</v>
      </c>
      <c r="S402" s="905" t="s">
        <v>63</v>
      </c>
      <c r="T402" s="917">
        <v>740</v>
      </c>
      <c r="U402" s="307"/>
      <c r="V402" s="3074">
        <f>VLOOKUP(M402,'[1]TABELA FRETE'!$A$6:$B$12,2,0)</f>
        <v>466.4</v>
      </c>
      <c r="W402" s="3075"/>
      <c r="X402" s="3076"/>
      <c r="Y402" s="3077"/>
    </row>
    <row r="403" spans="2:25" s="299" customFormat="1" ht="61.5" customHeight="1">
      <c r="B403" s="358">
        <v>0.58333333333333304</v>
      </c>
      <c r="C403" s="326"/>
      <c r="D403" s="462" t="s">
        <v>78</v>
      </c>
      <c r="E403" s="360">
        <v>4582</v>
      </c>
      <c r="F403" s="445"/>
      <c r="G403" s="360"/>
      <c r="H403" s="363"/>
      <c r="I403" s="375"/>
      <c r="J403" s="365">
        <f t="shared" si="30"/>
        <v>4582</v>
      </c>
      <c r="K403" s="366">
        <f t="shared" si="31"/>
        <v>10.182222222222222</v>
      </c>
      <c r="L403" s="365">
        <v>1</v>
      </c>
      <c r="M403" s="901" t="s">
        <v>7</v>
      </c>
      <c r="N403" s="902">
        <v>12</v>
      </c>
      <c r="O403" s="2829" t="s">
        <v>58</v>
      </c>
      <c r="P403" s="2830"/>
      <c r="Q403" s="947">
        <v>2</v>
      </c>
      <c r="R403" s="917">
        <v>2</v>
      </c>
      <c r="S403" s="905" t="s">
        <v>59</v>
      </c>
      <c r="T403" s="906">
        <v>674</v>
      </c>
      <c r="U403" s="307"/>
      <c r="V403" s="3074">
        <f>VLOOKUP(M403,'[1]TABELA FRETE'!$A$6:$B$12,2,0)</f>
        <v>466.4</v>
      </c>
      <c r="W403" s="3075"/>
      <c r="X403" s="3076"/>
      <c r="Y403" s="3077"/>
    </row>
    <row r="404" spans="2:25" s="299" customFormat="1" ht="45" customHeight="1">
      <c r="B404" s="463">
        <v>0.58333333333333304</v>
      </c>
      <c r="C404" s="326"/>
      <c r="D404" s="470">
        <v>40</v>
      </c>
      <c r="E404" s="392">
        <v>4643</v>
      </c>
      <c r="F404" s="445"/>
      <c r="G404" s="392"/>
      <c r="H404" s="394"/>
      <c r="I404" s="395"/>
      <c r="J404" s="365">
        <f t="shared" si="30"/>
        <v>4643</v>
      </c>
      <c r="K404" s="366">
        <f>J404/460</f>
        <v>10.093478260869565</v>
      </c>
      <c r="L404" s="396">
        <v>1</v>
      </c>
      <c r="M404" s="901" t="s">
        <v>7</v>
      </c>
      <c r="N404" s="902">
        <v>11</v>
      </c>
      <c r="O404" s="2829" t="s">
        <v>42</v>
      </c>
      <c r="P404" s="2830"/>
      <c r="Q404" s="947">
        <v>3</v>
      </c>
      <c r="R404" s="1013">
        <v>3</v>
      </c>
      <c r="S404" s="913" t="s">
        <v>43</v>
      </c>
      <c r="T404" s="967">
        <v>479</v>
      </c>
      <c r="U404" s="307"/>
      <c r="V404" s="3074">
        <f>VLOOKUP(M404,'[1]TABELA FRETE'!$A$6:$B$12,2,0)</f>
        <v>466.4</v>
      </c>
      <c r="W404" s="3075"/>
      <c r="X404" s="3076"/>
      <c r="Y404" s="3077"/>
    </row>
    <row r="405" spans="2:25" s="299" customFormat="1" ht="48" customHeight="1">
      <c r="B405" s="463">
        <v>0.58333333333333304</v>
      </c>
      <c r="C405" s="326"/>
      <c r="D405" s="470">
        <v>3</v>
      </c>
      <c r="E405" s="392">
        <v>1703</v>
      </c>
      <c r="F405" s="470">
        <v>5</v>
      </c>
      <c r="G405" s="392">
        <v>1818</v>
      </c>
      <c r="H405" s="465"/>
      <c r="I405" s="392"/>
      <c r="J405" s="365">
        <f t="shared" si="30"/>
        <v>3521</v>
      </c>
      <c r="K405" s="366">
        <f>J405/450</f>
        <v>7.8244444444444445</v>
      </c>
      <c r="L405" s="396">
        <v>1</v>
      </c>
      <c r="M405" s="901">
        <v>1016</v>
      </c>
      <c r="N405" s="902">
        <v>9</v>
      </c>
      <c r="O405" s="2829" t="s">
        <v>79</v>
      </c>
      <c r="P405" s="2830"/>
      <c r="Q405" s="947">
        <v>1</v>
      </c>
      <c r="R405" s="1013">
        <v>2</v>
      </c>
      <c r="S405" s="905" t="s">
        <v>80</v>
      </c>
      <c r="T405" s="917">
        <v>184725</v>
      </c>
      <c r="U405" s="307"/>
      <c r="V405" s="3074">
        <f>VLOOKUP(M405,'[1]TABELA FRETE'!$A$6:$B$12,2,0)</f>
        <v>425.7</v>
      </c>
      <c r="W405" s="3075"/>
      <c r="X405" s="3076"/>
      <c r="Y405" s="3077"/>
    </row>
    <row r="406" spans="2:25" s="299" customFormat="1" ht="48" customHeight="1">
      <c r="B406" s="463">
        <v>0.58333333333333304</v>
      </c>
      <c r="C406" s="326"/>
      <c r="D406" s="470">
        <v>32</v>
      </c>
      <c r="E406" s="392">
        <v>2206</v>
      </c>
      <c r="F406" s="465">
        <v>20</v>
      </c>
      <c r="G406" s="392">
        <v>2836</v>
      </c>
      <c r="H406" s="465"/>
      <c r="I406" s="392"/>
      <c r="J406" s="365">
        <f t="shared" si="30"/>
        <v>5042</v>
      </c>
      <c r="K406" s="366">
        <f>J406/450</f>
        <v>11.204444444444444</v>
      </c>
      <c r="L406" s="396">
        <v>1</v>
      </c>
      <c r="M406" s="901" t="s">
        <v>7</v>
      </c>
      <c r="N406" s="902">
        <v>12</v>
      </c>
      <c r="O406" s="2829" t="s">
        <v>146</v>
      </c>
      <c r="P406" s="2830"/>
      <c r="Q406" s="947">
        <v>1</v>
      </c>
      <c r="R406" s="1013">
        <v>2</v>
      </c>
      <c r="S406" s="913" t="s">
        <v>147</v>
      </c>
      <c r="T406" s="967">
        <v>91</v>
      </c>
      <c r="U406" s="307"/>
      <c r="V406" s="537"/>
      <c r="W406" s="538"/>
      <c r="X406" s="341"/>
      <c r="Y406" s="342"/>
    </row>
    <row r="407" spans="2:25" s="299" customFormat="1" ht="48" customHeight="1">
      <c r="B407" s="463">
        <v>0.58333333333333304</v>
      </c>
      <c r="C407" s="326"/>
      <c r="D407" s="470">
        <v>42</v>
      </c>
      <c r="E407" s="392">
        <v>3606</v>
      </c>
      <c r="F407" s="465"/>
      <c r="G407" s="392"/>
      <c r="H407" s="465"/>
      <c r="I407" s="392"/>
      <c r="J407" s="365">
        <f t="shared" si="30"/>
        <v>3606</v>
      </c>
      <c r="K407" s="366">
        <f>J407/450</f>
        <v>8.0133333333333336</v>
      </c>
      <c r="L407" s="396">
        <v>1</v>
      </c>
      <c r="M407" s="1122">
        <v>1016</v>
      </c>
      <c r="N407" s="1122">
        <v>10</v>
      </c>
      <c r="O407" s="3198" t="s">
        <v>72</v>
      </c>
      <c r="P407" s="3199"/>
      <c r="Q407" s="1123">
        <v>2</v>
      </c>
      <c r="R407" s="1148">
        <v>2</v>
      </c>
      <c r="S407" s="957" t="s">
        <v>73</v>
      </c>
      <c r="T407" s="954">
        <v>184090</v>
      </c>
      <c r="U407" s="307"/>
      <c r="V407" s="3074">
        <f>VLOOKUP(M407,'[1]TABELA FRETE'!$A$6:$B$12,2,0)</f>
        <v>425.7</v>
      </c>
      <c r="W407" s="3075"/>
      <c r="X407" s="3076"/>
      <c r="Y407" s="3077"/>
    </row>
    <row r="408" spans="2:25" s="299" customFormat="1" ht="63" customHeight="1">
      <c r="B408" s="463">
        <v>0.58333333333333304</v>
      </c>
      <c r="C408" s="326"/>
      <c r="D408" s="462" t="s">
        <v>87</v>
      </c>
      <c r="E408" s="360">
        <v>4867</v>
      </c>
      <c r="F408" s="1132">
        <v>1129</v>
      </c>
      <c r="G408" s="360">
        <v>1369</v>
      </c>
      <c r="H408" s="445"/>
      <c r="I408" s="360"/>
      <c r="J408" s="365">
        <f t="shared" si="30"/>
        <v>6236</v>
      </c>
      <c r="K408" s="366">
        <f>J408/450</f>
        <v>13.857777777777779</v>
      </c>
      <c r="L408" s="365">
        <v>1</v>
      </c>
      <c r="M408" s="901" t="s">
        <v>6</v>
      </c>
      <c r="N408" s="902">
        <v>14</v>
      </c>
      <c r="O408" s="2829" t="s">
        <v>220</v>
      </c>
      <c r="P408" s="2830"/>
      <c r="Q408" s="966">
        <v>1</v>
      </c>
      <c r="R408" s="917">
        <v>2</v>
      </c>
      <c r="S408" s="905" t="s">
        <v>221</v>
      </c>
      <c r="T408" s="906">
        <v>184422</v>
      </c>
      <c r="U408" s="307"/>
      <c r="V408" s="2630">
        <f>VLOOKUP(M408,'[1]TABELA FRETE'!$D$25:$E$29,2,0)</f>
        <v>326.7</v>
      </c>
      <c r="W408" s="2631"/>
      <c r="X408" s="3076"/>
      <c r="Y408" s="3077"/>
    </row>
    <row r="409" spans="2:25" s="299" customFormat="1" ht="48" customHeight="1">
      <c r="B409" s="408">
        <v>0.58333333333333304</v>
      </c>
      <c r="C409" s="326"/>
      <c r="D409" s="1133">
        <v>46</v>
      </c>
      <c r="E409" s="477">
        <v>3296</v>
      </c>
      <c r="F409" s="478"/>
      <c r="G409" s="477"/>
      <c r="H409" s="479"/>
      <c r="I409" s="477"/>
      <c r="J409" s="480">
        <f t="shared" si="30"/>
        <v>3296</v>
      </c>
      <c r="K409" s="481">
        <f>J409/450</f>
        <v>7.3244444444444445</v>
      </c>
      <c r="L409" s="480">
        <v>1</v>
      </c>
      <c r="M409" s="878">
        <v>1016</v>
      </c>
      <c r="N409" s="879">
        <v>8</v>
      </c>
      <c r="O409" s="2831" t="s">
        <v>150</v>
      </c>
      <c r="P409" s="3158"/>
      <c r="Q409" s="1117">
        <v>1</v>
      </c>
      <c r="R409" s="881">
        <v>1</v>
      </c>
      <c r="S409" s="883" t="s">
        <v>151</v>
      </c>
      <c r="T409" s="881">
        <v>642</v>
      </c>
      <c r="U409" s="486"/>
      <c r="V409" s="3074">
        <f>VLOOKUP(M409,'[1]TABELA FRETE'!$A$6:$B$12,2,0)</f>
        <v>425.7</v>
      </c>
      <c r="W409" s="3075"/>
      <c r="X409" s="3087"/>
      <c r="Y409" s="3088"/>
    </row>
    <row r="410" spans="2:25" s="301" customFormat="1" ht="6" customHeight="1">
      <c r="B410" s="326"/>
      <c r="C410" s="326"/>
      <c r="D410" s="487"/>
      <c r="E410" s="423"/>
      <c r="F410" s="488"/>
      <c r="G410" s="423"/>
      <c r="H410" s="424"/>
      <c r="I410" s="423"/>
      <c r="J410" s="423"/>
      <c r="K410" s="425"/>
      <c r="L410" s="423"/>
      <c r="M410" s="426"/>
      <c r="N410" s="427"/>
      <c r="O410" s="431"/>
      <c r="P410" s="431"/>
      <c r="Q410" s="431"/>
      <c r="R410" s="431"/>
      <c r="S410" s="489"/>
      <c r="T410" s="431"/>
      <c r="U410" s="432"/>
      <c r="V410" s="433"/>
      <c r="W410" s="433"/>
      <c r="X410" s="434"/>
      <c r="Y410" s="434"/>
    </row>
    <row r="411" spans="2:25" s="299" customFormat="1" ht="48" customHeight="1">
      <c r="B411" s="325">
        <v>0.70833333333333304</v>
      </c>
      <c r="C411" s="326"/>
      <c r="D411" s="490">
        <v>36</v>
      </c>
      <c r="E411" s="328">
        <v>1958</v>
      </c>
      <c r="F411" s="491"/>
      <c r="G411" s="328"/>
      <c r="H411" s="438"/>
      <c r="I411" s="492"/>
      <c r="J411" s="623">
        <f t="shared" ref="J411:J421" si="32">E411+G411+I411</f>
        <v>1958</v>
      </c>
      <c r="K411" s="494">
        <f t="shared" ref="K411:K420" si="33">J411/450</f>
        <v>4.3511111111111109</v>
      </c>
      <c r="L411" s="493">
        <v>1</v>
      </c>
      <c r="M411" s="994">
        <v>1016</v>
      </c>
      <c r="N411" s="995">
        <v>8</v>
      </c>
      <c r="O411" s="2940" t="s">
        <v>85</v>
      </c>
      <c r="P411" s="3200"/>
      <c r="Q411" s="442">
        <v>2</v>
      </c>
      <c r="R411" s="588">
        <v>2</v>
      </c>
      <c r="S411" s="1134" t="s">
        <v>86</v>
      </c>
      <c r="T411" s="588">
        <v>714</v>
      </c>
      <c r="U411" s="307"/>
      <c r="V411" s="3074">
        <f>VLOOKUP(M411,'[1]TABELA FRETE'!$A$6:$B$12,2,0)</f>
        <v>425.7</v>
      </c>
      <c r="W411" s="3075"/>
      <c r="X411" s="3076"/>
      <c r="Y411" s="3077"/>
    </row>
    <row r="412" spans="2:25" s="299" customFormat="1" ht="48" customHeight="1">
      <c r="B412" s="343">
        <v>0.70833333333333304</v>
      </c>
      <c r="C412" s="326"/>
      <c r="D412" s="520">
        <v>33</v>
      </c>
      <c r="E412" s="345">
        <v>2524</v>
      </c>
      <c r="F412" s="504"/>
      <c r="G412" s="345"/>
      <c r="H412" s="348"/>
      <c r="I412" s="455"/>
      <c r="J412" s="505">
        <f t="shared" si="32"/>
        <v>2524</v>
      </c>
      <c r="K412" s="506">
        <f t="shared" si="33"/>
        <v>5.608888888888889</v>
      </c>
      <c r="L412" s="423">
        <v>1</v>
      </c>
      <c r="M412" s="807">
        <v>1016</v>
      </c>
      <c r="N412" s="1135">
        <v>8</v>
      </c>
      <c r="O412" s="2908" t="s">
        <v>46</v>
      </c>
      <c r="P412" s="2909"/>
      <c r="Q412" s="357">
        <v>2</v>
      </c>
      <c r="R412" s="657">
        <v>2</v>
      </c>
      <c r="S412" s="1137" t="s">
        <v>102</v>
      </c>
      <c r="T412" s="657">
        <v>48</v>
      </c>
      <c r="U412" s="307"/>
      <c r="V412" s="537"/>
      <c r="W412" s="538"/>
      <c r="X412" s="341"/>
      <c r="Y412" s="342"/>
    </row>
    <row r="413" spans="2:25" s="299" customFormat="1" ht="48" customHeight="1">
      <c r="B413" s="358">
        <v>0.70833333333333304</v>
      </c>
      <c r="C413" s="326"/>
      <c r="D413" s="516">
        <v>30</v>
      </c>
      <c r="E413" s="360">
        <v>1846</v>
      </c>
      <c r="F413" s="521"/>
      <c r="G413" s="345"/>
      <c r="H413" s="474"/>
      <c r="I413" s="360"/>
      <c r="J413" s="467">
        <f t="shared" si="32"/>
        <v>1846</v>
      </c>
      <c r="K413" s="475">
        <f t="shared" si="33"/>
        <v>4.1022222222222222</v>
      </c>
      <c r="L413" s="467">
        <v>1</v>
      </c>
      <c r="M413" s="869">
        <v>1016</v>
      </c>
      <c r="N413" s="870">
        <v>8</v>
      </c>
      <c r="O413" s="3161" t="s">
        <v>44</v>
      </c>
      <c r="P413" s="2926"/>
      <c r="Q413" s="407">
        <v>2</v>
      </c>
      <c r="R413" s="451">
        <v>2</v>
      </c>
      <c r="S413" s="871" t="s">
        <v>103</v>
      </c>
      <c r="T413" s="451">
        <v>674</v>
      </c>
      <c r="U413" s="307"/>
      <c r="V413" s="3074">
        <f>VLOOKUP(M413,'[1]TABELA FRETE'!$A$6:$B$12,2,0)</f>
        <v>425.7</v>
      </c>
      <c r="W413" s="3075"/>
      <c r="X413" s="3076"/>
      <c r="Y413" s="3077"/>
    </row>
    <row r="414" spans="2:25" s="299" customFormat="1" ht="48" customHeight="1">
      <c r="B414" s="358">
        <v>0.70833333333333304</v>
      </c>
      <c r="C414" s="326"/>
      <c r="D414" s="522">
        <v>21</v>
      </c>
      <c r="E414" s="392">
        <v>2017</v>
      </c>
      <c r="F414" s="523"/>
      <c r="G414" s="460"/>
      <c r="H414" s="465"/>
      <c r="I414" s="392"/>
      <c r="J414" s="467">
        <f t="shared" si="32"/>
        <v>2017</v>
      </c>
      <c r="K414" s="475">
        <f t="shared" si="33"/>
        <v>4.4822222222222221</v>
      </c>
      <c r="L414" s="467">
        <v>1</v>
      </c>
      <c r="M414" s="869">
        <v>1016</v>
      </c>
      <c r="N414" s="870">
        <v>8</v>
      </c>
      <c r="O414" s="2628" t="s">
        <v>106</v>
      </c>
      <c r="P414" s="2926"/>
      <c r="Q414" s="407">
        <v>2</v>
      </c>
      <c r="R414" s="451">
        <v>2</v>
      </c>
      <c r="S414" s="871" t="s">
        <v>211</v>
      </c>
      <c r="T414" s="451">
        <v>606</v>
      </c>
      <c r="U414" s="307"/>
      <c r="V414" s="3074">
        <f>VLOOKUP(M414,'[1]TABELA FRETE'!$A$6:$B$12,2,0)</f>
        <v>425.7</v>
      </c>
      <c r="W414" s="3075"/>
      <c r="X414" s="3076"/>
      <c r="Y414" s="3077"/>
    </row>
    <row r="415" spans="2:25" s="299" customFormat="1" ht="49.5" customHeight="1">
      <c r="B415" s="358">
        <v>0.70833333333333304</v>
      </c>
      <c r="C415" s="326"/>
      <c r="D415" s="516">
        <v>4</v>
      </c>
      <c r="E415" s="360">
        <v>1979</v>
      </c>
      <c r="F415" s="524"/>
      <c r="G415" s="360"/>
      <c r="H415" s="525"/>
      <c r="I415" s="360"/>
      <c r="J415" s="467">
        <f t="shared" si="32"/>
        <v>1979</v>
      </c>
      <c r="K415" s="475">
        <f t="shared" si="33"/>
        <v>4.3977777777777778</v>
      </c>
      <c r="L415" s="467">
        <v>1</v>
      </c>
      <c r="M415" s="1138">
        <v>1016</v>
      </c>
      <c r="N415" s="1139">
        <v>8</v>
      </c>
      <c r="O415" s="2742" t="s">
        <v>92</v>
      </c>
      <c r="P415" s="2770"/>
      <c r="Q415" s="455">
        <v>2</v>
      </c>
      <c r="R415" s="1087">
        <v>2</v>
      </c>
      <c r="S415" s="1140" t="s">
        <v>104</v>
      </c>
      <c r="T415" s="1089">
        <v>576</v>
      </c>
      <c r="U415" s="432"/>
      <c r="V415" s="3074">
        <f>VLOOKUP(M415,'[1]TABELA FRETE'!$A$6:$B$12,2,0)</f>
        <v>425.7</v>
      </c>
      <c r="W415" s="3075"/>
      <c r="X415" s="3076"/>
      <c r="Y415" s="3077"/>
    </row>
    <row r="416" spans="2:25" s="299" customFormat="1" ht="49.5" customHeight="1">
      <c r="B416" s="358">
        <v>0.70833333333333304</v>
      </c>
      <c r="C416" s="326"/>
      <c r="D416" s="516">
        <v>18</v>
      </c>
      <c r="E416" s="360">
        <v>2473</v>
      </c>
      <c r="F416" s="530"/>
      <c r="G416" s="392"/>
      <c r="H416" s="531"/>
      <c r="I416" s="392"/>
      <c r="J416" s="467">
        <f t="shared" si="32"/>
        <v>2473</v>
      </c>
      <c r="K416" s="475">
        <f t="shared" si="33"/>
        <v>5.4955555555555557</v>
      </c>
      <c r="L416" s="467">
        <v>1</v>
      </c>
      <c r="M416" s="869">
        <v>1016</v>
      </c>
      <c r="N416" s="870">
        <v>7</v>
      </c>
      <c r="O416" s="2628" t="s">
        <v>56</v>
      </c>
      <c r="P416" s="2926"/>
      <c r="Q416" s="407">
        <v>1</v>
      </c>
      <c r="R416" s="451">
        <v>1</v>
      </c>
      <c r="S416" s="871" t="s">
        <v>57</v>
      </c>
      <c r="T416" s="451">
        <v>663</v>
      </c>
      <c r="U416" s="432"/>
      <c r="V416" s="3074">
        <f>VLOOKUP(M416,'[1]TABELA FRETE'!$A$6:$B$12,2,0)</f>
        <v>425.7</v>
      </c>
      <c r="W416" s="3075"/>
      <c r="X416" s="3076"/>
      <c r="Y416" s="3077"/>
    </row>
    <row r="417" spans="2:25" s="299" customFormat="1" ht="48" customHeight="1">
      <c r="B417" s="463">
        <v>0.70833333333333304</v>
      </c>
      <c r="C417" s="326"/>
      <c r="D417" s="516">
        <v>27</v>
      </c>
      <c r="E417" s="360">
        <v>1846</v>
      </c>
      <c r="F417" s="1090">
        <v>15</v>
      </c>
      <c r="G417" s="395">
        <v>2524</v>
      </c>
      <c r="H417" s="744"/>
      <c r="I417" s="392"/>
      <c r="J417" s="467">
        <f t="shared" si="32"/>
        <v>4370</v>
      </c>
      <c r="K417" s="475">
        <f t="shared" si="33"/>
        <v>9.7111111111111104</v>
      </c>
      <c r="L417" s="467">
        <v>1</v>
      </c>
      <c r="M417" s="901" t="s">
        <v>7</v>
      </c>
      <c r="N417" s="902">
        <v>12</v>
      </c>
      <c r="O417" s="2910" t="s">
        <v>62</v>
      </c>
      <c r="P417" s="3162"/>
      <c r="Q417" s="947">
        <v>2</v>
      </c>
      <c r="R417" s="1013">
        <v>2</v>
      </c>
      <c r="S417" s="905" t="s">
        <v>63</v>
      </c>
      <c r="T417" s="917">
        <v>740</v>
      </c>
      <c r="U417" s="307"/>
      <c r="V417" s="3074">
        <f>VLOOKUP(M417,'[1]TABELA FRETE'!$A$6:$B$12,2,0)</f>
        <v>466.4</v>
      </c>
      <c r="W417" s="3075"/>
      <c r="X417" s="3076"/>
      <c r="Y417" s="3077"/>
    </row>
    <row r="418" spans="2:25" s="299" customFormat="1" ht="48" customHeight="1">
      <c r="B418" s="463">
        <v>0.70833333333333304</v>
      </c>
      <c r="C418" s="326"/>
      <c r="D418" s="516">
        <v>7</v>
      </c>
      <c r="E418" s="360">
        <v>5141</v>
      </c>
      <c r="F418" s="473"/>
      <c r="G418" s="375"/>
      <c r="H418" s="474"/>
      <c r="I418" s="360"/>
      <c r="J418" s="467">
        <f t="shared" si="32"/>
        <v>5141</v>
      </c>
      <c r="K418" s="475">
        <f t="shared" si="33"/>
        <v>11.424444444444445</v>
      </c>
      <c r="L418" s="467">
        <v>1</v>
      </c>
      <c r="M418" s="901" t="s">
        <v>7</v>
      </c>
      <c r="N418" s="902">
        <v>12</v>
      </c>
      <c r="O418" s="2829" t="s">
        <v>50</v>
      </c>
      <c r="P418" s="2830"/>
      <c r="Q418" s="947">
        <v>2</v>
      </c>
      <c r="R418" s="1013">
        <v>2</v>
      </c>
      <c r="S418" s="905" t="s">
        <v>51</v>
      </c>
      <c r="T418" s="917">
        <v>612</v>
      </c>
      <c r="U418" s="307"/>
      <c r="V418" s="3074">
        <f>VLOOKUP(M418,'[1]TABELA FRETE'!$A$6:$B$12,2,0)</f>
        <v>466.4</v>
      </c>
      <c r="W418" s="3075"/>
      <c r="X418" s="3076"/>
      <c r="Y418" s="3077"/>
    </row>
    <row r="419" spans="2:25" s="299" customFormat="1" ht="48" customHeight="1">
      <c r="B419" s="463">
        <v>0.70833333333333304</v>
      </c>
      <c r="C419" s="326"/>
      <c r="D419" s="522">
        <v>48</v>
      </c>
      <c r="E419" s="392">
        <v>2324</v>
      </c>
      <c r="F419" s="539"/>
      <c r="G419" s="360"/>
      <c r="H419" s="363"/>
      <c r="I419" s="375"/>
      <c r="J419" s="365">
        <f t="shared" si="32"/>
        <v>2324</v>
      </c>
      <c r="K419" s="366">
        <f t="shared" si="33"/>
        <v>5.1644444444444444</v>
      </c>
      <c r="L419" s="365">
        <v>1</v>
      </c>
      <c r="M419" s="1138">
        <v>1016</v>
      </c>
      <c r="N419" s="1139">
        <v>8</v>
      </c>
      <c r="O419" s="3047" t="s">
        <v>88</v>
      </c>
      <c r="P419" s="2755"/>
      <c r="Q419" s="455">
        <v>1</v>
      </c>
      <c r="R419" s="1087">
        <v>1</v>
      </c>
      <c r="S419" s="1140" t="s">
        <v>89</v>
      </c>
      <c r="T419" s="1089">
        <v>799</v>
      </c>
      <c r="U419" s="307"/>
      <c r="V419" s="3074">
        <f>VLOOKUP(M419,'[1]TABELA FRETE'!$A$6:$B$12,2,0)</f>
        <v>425.7</v>
      </c>
      <c r="W419" s="3075"/>
      <c r="X419" s="3083"/>
      <c r="Y419" s="3084"/>
    </row>
    <row r="420" spans="2:25" s="299" customFormat="1" ht="48" customHeight="1">
      <c r="B420" s="408">
        <v>0.70833333333333304</v>
      </c>
      <c r="C420" s="326"/>
      <c r="D420" s="542">
        <v>13</v>
      </c>
      <c r="E420" s="410">
        <v>2367</v>
      </c>
      <c r="F420" s="543"/>
      <c r="G420" s="544"/>
      <c r="H420" s="545"/>
      <c r="I420" s="544"/>
      <c r="J420" s="546">
        <f t="shared" si="32"/>
        <v>2367</v>
      </c>
      <c r="K420" s="547">
        <f t="shared" si="33"/>
        <v>5.26</v>
      </c>
      <c r="L420" s="546">
        <v>1</v>
      </c>
      <c r="M420" s="1045" t="s">
        <v>7</v>
      </c>
      <c r="N420" s="1046">
        <v>12</v>
      </c>
      <c r="O420" s="3196" t="s">
        <v>68</v>
      </c>
      <c r="P420" s="3197"/>
      <c r="Q420" s="551">
        <v>1</v>
      </c>
      <c r="R420" s="607">
        <v>1</v>
      </c>
      <c r="S420" s="608" t="s">
        <v>174</v>
      </c>
      <c r="T420" s="606">
        <v>808</v>
      </c>
      <c r="U420" s="307"/>
      <c r="V420" s="2630">
        <f>VLOOKUP(M420,'[1]TABELA FRETE'!$D$7:$E$12,2,0)</f>
        <v>1161.5999999999999</v>
      </c>
      <c r="W420" s="2631"/>
      <c r="X420" s="3087"/>
      <c r="Y420" s="3088"/>
    </row>
    <row r="421" spans="2:25" s="299" customFormat="1" ht="49.5" customHeight="1">
      <c r="B421" s="554" t="s">
        <v>108</v>
      </c>
      <c r="C421" s="555"/>
      <c r="D421" s="556"/>
      <c r="E421" s="557">
        <f>SUM(E381:E420)</f>
        <v>114016</v>
      </c>
      <c r="F421" s="557" t="s">
        <v>109</v>
      </c>
      <c r="G421" s="557">
        <f>SUM(G381:G420)</f>
        <v>22756</v>
      </c>
      <c r="H421" s="557" t="s">
        <v>109</v>
      </c>
      <c r="I421" s="319">
        <f>SUM(I381:I420)</f>
        <v>0</v>
      </c>
      <c r="J421" s="319">
        <f t="shared" si="32"/>
        <v>136772</v>
      </c>
      <c r="K421" s="558">
        <f>SUM(K381:K420)</f>
        <v>301.84101449275357</v>
      </c>
      <c r="L421" s="559">
        <f>SUM(L381:L420)</f>
        <v>37</v>
      </c>
      <c r="M421" s="560" t="s">
        <v>110</v>
      </c>
      <c r="N421" s="554">
        <f>SUM(N381:N420)</f>
        <v>355</v>
      </c>
      <c r="O421" s="557" t="s">
        <v>32</v>
      </c>
      <c r="P421" s="557"/>
      <c r="Q421" s="319"/>
      <c r="R421" s="561">
        <f>SUM(R381:R420)</f>
        <v>63</v>
      </c>
      <c r="S421" s="562" t="s">
        <v>111</v>
      </c>
      <c r="T421" s="563"/>
      <c r="U421" s="307"/>
      <c r="V421" s="2560" t="e">
        <f>SUM(V381:W420)</f>
        <v>#REF!</v>
      </c>
      <c r="W421" s="2561"/>
      <c r="X421" s="2566">
        <f>COUNT(X381:Y420)</f>
        <v>0</v>
      </c>
      <c r="Y421" s="2567"/>
    </row>
    <row r="422" spans="2:25" s="299" customFormat="1" ht="42" customHeight="1">
      <c r="B422" s="2853" t="s">
        <v>112</v>
      </c>
      <c r="C422" s="2899"/>
      <c r="D422" s="2899"/>
      <c r="E422" s="2899"/>
      <c r="F422" s="2899"/>
      <c r="G422" s="2899"/>
      <c r="H422" s="2899"/>
      <c r="I422" s="2899"/>
      <c r="J422" s="2899"/>
      <c r="K422" s="564">
        <v>44</v>
      </c>
      <c r="L422" s="2899" t="s">
        <v>113</v>
      </c>
      <c r="M422" s="2854"/>
      <c r="N422" s="2915" t="s">
        <v>114</v>
      </c>
      <c r="O422" s="2916"/>
      <c r="P422" s="2916"/>
      <c r="Q422" s="2916"/>
      <c r="R422" s="2917"/>
      <c r="S422" s="2915" t="s">
        <v>115</v>
      </c>
      <c r="T422" s="2917"/>
      <c r="U422" s="307"/>
      <c r="V422" s="2560"/>
      <c r="W422" s="2561"/>
      <c r="X422" s="2566"/>
      <c r="Y422" s="2567"/>
    </row>
    <row r="423" spans="2:25" s="299" customFormat="1" ht="6" customHeight="1">
      <c r="B423" s="2570" t="s">
        <v>116</v>
      </c>
      <c r="C423" s="2571"/>
      <c r="D423" s="2571"/>
      <c r="E423" s="2574">
        <f>L421</f>
        <v>37</v>
      </c>
      <c r="F423" s="2570" t="s">
        <v>30</v>
      </c>
      <c r="G423" s="2571"/>
      <c r="H423" s="2574">
        <f>J421</f>
        <v>136772</v>
      </c>
      <c r="I423" s="2575"/>
      <c r="J423" s="2571" t="s">
        <v>117</v>
      </c>
      <c r="K423" s="2575">
        <f>H423/E423</f>
        <v>3696.5405405405404</v>
      </c>
      <c r="L423" s="2574" t="s">
        <v>118</v>
      </c>
      <c r="M423" s="2574"/>
      <c r="N423" s="2574"/>
      <c r="O423" s="2575">
        <v>44</v>
      </c>
      <c r="P423" s="565"/>
      <c r="Q423" s="565"/>
      <c r="R423" s="565"/>
      <c r="S423" s="565"/>
      <c r="T423" s="566"/>
      <c r="U423" s="307"/>
      <c r="V423" s="2562"/>
      <c r="W423" s="2563"/>
      <c r="X423" s="2568"/>
      <c r="Y423" s="2569"/>
    </row>
    <row r="424" spans="2:25" s="299" customFormat="1" ht="42" customHeight="1">
      <c r="B424" s="2572"/>
      <c r="C424" s="2573"/>
      <c r="D424" s="2573"/>
      <c r="E424" s="2576"/>
      <c r="F424" s="2572"/>
      <c r="G424" s="2573"/>
      <c r="H424" s="2576"/>
      <c r="I424" s="2577"/>
      <c r="J424" s="2573"/>
      <c r="K424" s="2577"/>
      <c r="L424" s="2576"/>
      <c r="M424" s="2576"/>
      <c r="N424" s="2576"/>
      <c r="O424" s="2577"/>
      <c r="P424" s="567"/>
      <c r="Q424" s="2663" t="s">
        <v>119</v>
      </c>
      <c r="R424" s="2664"/>
      <c r="S424" s="2664"/>
      <c r="T424" s="2665"/>
      <c r="U424" s="307"/>
      <c r="V424" s="2578" t="s">
        <v>120</v>
      </c>
      <c r="W424" s="2579"/>
      <c r="X424" s="2582" t="s">
        <v>121</v>
      </c>
      <c r="Y424" s="2583"/>
    </row>
    <row r="425" spans="2:25" s="299" customFormat="1" ht="39" customHeight="1">
      <c r="B425" s="2887" t="s">
        <v>122</v>
      </c>
      <c r="C425" s="2733" t="s">
        <v>33</v>
      </c>
      <c r="D425" s="2734"/>
      <c r="E425" s="2541" t="s">
        <v>123</v>
      </c>
      <c r="F425" s="2542"/>
      <c r="G425" s="2542"/>
      <c r="H425" s="2542"/>
      <c r="I425" s="2542"/>
      <c r="J425" s="2542"/>
      <c r="K425" s="2542"/>
      <c r="L425" s="2542"/>
      <c r="M425" s="2542"/>
      <c r="N425" s="2542"/>
      <c r="O425" s="2543"/>
      <c r="P425" s="568"/>
      <c r="Q425" s="2680" t="s">
        <v>124</v>
      </c>
      <c r="R425" s="2681"/>
      <c r="S425" s="2681"/>
      <c r="T425" s="2682"/>
      <c r="U425" s="307"/>
      <c r="V425" s="2578"/>
      <c r="W425" s="2579"/>
      <c r="X425" s="2582"/>
      <c r="Y425" s="2583"/>
    </row>
    <row r="426" spans="2:25" s="299" customFormat="1" ht="39" customHeight="1">
      <c r="B426" s="2888"/>
      <c r="C426" s="2735"/>
      <c r="D426" s="2736"/>
      <c r="E426" s="2544"/>
      <c r="F426" s="2545"/>
      <c r="G426" s="2545"/>
      <c r="H426" s="2545"/>
      <c r="I426" s="2545"/>
      <c r="J426" s="2545"/>
      <c r="K426" s="2545"/>
      <c r="L426" s="2545"/>
      <c r="M426" s="2545"/>
      <c r="N426" s="2545"/>
      <c r="O426" s="2546"/>
      <c r="P426" s="569"/>
      <c r="Q426" s="2683" t="s">
        <v>125</v>
      </c>
      <c r="R426" s="2684"/>
      <c r="S426" s="2684"/>
      <c r="T426" s="2685"/>
      <c r="U426" s="307"/>
      <c r="V426" s="2580"/>
      <c r="W426" s="2581"/>
      <c r="X426" s="2584"/>
      <c r="Y426" s="2585"/>
    </row>
    <row r="427" spans="2:25" s="299" customFormat="1" ht="39" customHeight="1">
      <c r="B427" s="1032" t="s">
        <v>9</v>
      </c>
      <c r="C427" s="3068">
        <f>COUNTIF(M381:M420,"kia")</f>
        <v>2</v>
      </c>
      <c r="D427" s="3069"/>
      <c r="E427" s="2547"/>
      <c r="F427" s="2548"/>
      <c r="G427" s="2548"/>
      <c r="H427" s="2548"/>
      <c r="I427" s="2548"/>
      <c r="J427" s="2548"/>
      <c r="K427" s="2548"/>
      <c r="L427" s="2548"/>
      <c r="M427" s="2548"/>
      <c r="N427" s="2548"/>
      <c r="O427" s="2549"/>
      <c r="P427" s="569"/>
      <c r="Q427" s="2686" t="s">
        <v>126</v>
      </c>
      <c r="R427" s="2687"/>
      <c r="S427" s="2687"/>
      <c r="T427" s="2688"/>
      <c r="U427" s="307"/>
      <c r="V427" s="321"/>
      <c r="W427" s="321"/>
      <c r="X427" s="321"/>
      <c r="Y427" s="321"/>
    </row>
    <row r="428" spans="2:25" s="299" customFormat="1" ht="39" customHeight="1">
      <c r="B428" s="1033" t="s">
        <v>8</v>
      </c>
      <c r="C428" s="2913">
        <f>COUNTIF(M381:M420,"iveco")</f>
        <v>1</v>
      </c>
      <c r="D428" s="2914"/>
      <c r="E428" s="2586" t="s">
        <v>127</v>
      </c>
      <c r="F428" s="2587"/>
      <c r="G428" s="2587"/>
      <c r="H428" s="2587"/>
      <c r="I428" s="2587"/>
      <c r="J428" s="2587"/>
      <c r="K428" s="2587"/>
      <c r="L428" s="2587"/>
      <c r="M428" s="2587"/>
      <c r="N428" s="2587"/>
      <c r="O428" s="2588"/>
      <c r="P428" s="569"/>
      <c r="Q428" s="2592" t="s">
        <v>128</v>
      </c>
      <c r="R428" s="2593"/>
      <c r="S428" s="2593"/>
      <c r="T428" s="2594"/>
      <c r="U428" s="307"/>
      <c r="V428" s="2689" t="s">
        <v>129</v>
      </c>
      <c r="W428" s="2690"/>
      <c r="X428" s="2690"/>
      <c r="Y428" s="2691"/>
    </row>
    <row r="429" spans="2:25" s="299" customFormat="1" ht="39" customHeight="1">
      <c r="B429" s="1033">
        <v>1016</v>
      </c>
      <c r="C429" s="2913">
        <f>COUNTIF(M381:M420,"1016")</f>
        <v>17</v>
      </c>
      <c r="D429" s="2914"/>
      <c r="E429" s="2589"/>
      <c r="F429" s="2590"/>
      <c r="G429" s="2590"/>
      <c r="H429" s="2590"/>
      <c r="I429" s="2590"/>
      <c r="J429" s="2590"/>
      <c r="K429" s="2590"/>
      <c r="L429" s="2590"/>
      <c r="M429" s="2590"/>
      <c r="N429" s="2590"/>
      <c r="O429" s="2591"/>
      <c r="P429" s="569"/>
      <c r="Q429" s="2595"/>
      <c r="R429" s="2596"/>
      <c r="S429" s="2596"/>
      <c r="T429" s="2597"/>
      <c r="U429" s="307"/>
      <c r="V429" s="2601" t="s">
        <v>130</v>
      </c>
      <c r="W429" s="2602"/>
      <c r="X429" s="2602"/>
      <c r="Y429" s="2603"/>
    </row>
    <row r="430" spans="2:25" s="299" customFormat="1" ht="39" customHeight="1">
      <c r="B430" s="1033" t="s">
        <v>7</v>
      </c>
      <c r="C430" s="2913">
        <f>COUNTIF(M381:M420,"toco")</f>
        <v>13</v>
      </c>
      <c r="D430" s="2914"/>
      <c r="E430" s="2607" t="s">
        <v>131</v>
      </c>
      <c r="F430" s="2608"/>
      <c r="G430" s="2608"/>
      <c r="H430" s="2608"/>
      <c r="I430" s="2608"/>
      <c r="J430" s="2608"/>
      <c r="K430" s="2608"/>
      <c r="L430" s="2608"/>
      <c r="M430" s="2608"/>
      <c r="N430" s="2608"/>
      <c r="O430" s="2609"/>
      <c r="P430" s="568"/>
      <c r="Q430" s="2598"/>
      <c r="R430" s="2599"/>
      <c r="S430" s="2599"/>
      <c r="T430" s="2600"/>
      <c r="U430" s="307"/>
      <c r="V430" s="2604"/>
      <c r="W430" s="2605"/>
      <c r="X430" s="2605"/>
      <c r="Y430" s="2606"/>
    </row>
    <row r="431" spans="2:25" s="299" customFormat="1" ht="39" customHeight="1">
      <c r="B431" s="1034" t="s">
        <v>6</v>
      </c>
      <c r="C431" s="3070">
        <f>COUNTIF(M381:M420,"truck")</f>
        <v>4</v>
      </c>
      <c r="D431" s="3071"/>
      <c r="E431" s="2555"/>
      <c r="F431" s="2556"/>
      <c r="G431" s="2556"/>
      <c r="H431" s="2556"/>
      <c r="I431" s="2556"/>
      <c r="J431" s="2556"/>
      <c r="K431" s="2556"/>
      <c r="L431" s="2556"/>
      <c r="M431" s="2556"/>
      <c r="N431" s="2556"/>
      <c r="O431" s="2557"/>
      <c r="P431" s="568"/>
      <c r="Q431" s="2610" t="s">
        <v>132</v>
      </c>
      <c r="R431" s="2611"/>
      <c r="S431" s="2611"/>
      <c r="T431" s="2612"/>
      <c r="U431" s="307"/>
      <c r="V431" s="2616" t="s">
        <v>133</v>
      </c>
      <c r="W431" s="2617"/>
      <c r="X431" s="2622">
        <f>SUM(E381:E420,G381:G420,I381:I420)</f>
        <v>136772</v>
      </c>
      <c r="Y431" s="2623"/>
    </row>
    <row r="432" spans="2:25" s="299" customFormat="1" ht="39" customHeight="1">
      <c r="B432" s="2887" t="s">
        <v>134</v>
      </c>
      <c r="C432" s="2733">
        <f>SUM(C427:D431)</f>
        <v>37</v>
      </c>
      <c r="D432" s="2734"/>
      <c r="E432" s="2552" t="s">
        <v>135</v>
      </c>
      <c r="F432" s="2553"/>
      <c r="G432" s="2553"/>
      <c r="H432" s="2553"/>
      <c r="I432" s="2553"/>
      <c r="J432" s="2553"/>
      <c r="K432" s="2553"/>
      <c r="L432" s="2553"/>
      <c r="M432" s="2553"/>
      <c r="N432" s="2553"/>
      <c r="O432" s="2554"/>
      <c r="P432" s="573"/>
      <c r="Q432" s="2610"/>
      <c r="R432" s="2611"/>
      <c r="S432" s="2611"/>
      <c r="T432" s="2612"/>
      <c r="U432" s="574"/>
      <c r="V432" s="2618"/>
      <c r="W432" s="2619"/>
      <c r="X432" s="2624"/>
      <c r="Y432" s="2625"/>
    </row>
    <row r="433" spans="1:25" s="299" customFormat="1" ht="39" customHeight="1">
      <c r="B433" s="2888"/>
      <c r="C433" s="2735"/>
      <c r="D433" s="2736"/>
      <c r="E433" s="2555"/>
      <c r="F433" s="2556"/>
      <c r="G433" s="2556"/>
      <c r="H433" s="2556"/>
      <c r="I433" s="2556"/>
      <c r="J433" s="2556"/>
      <c r="K433" s="2556"/>
      <c r="L433" s="2556"/>
      <c r="M433" s="2556"/>
      <c r="N433" s="2556"/>
      <c r="O433" s="2557"/>
      <c r="P433" s="575"/>
      <c r="Q433" s="2610"/>
      <c r="R433" s="2611"/>
      <c r="S433" s="2611"/>
      <c r="T433" s="2612"/>
      <c r="U433" s="574"/>
      <c r="V433" s="2618"/>
      <c r="W433" s="2619"/>
      <c r="X433" s="2624"/>
      <c r="Y433" s="2625"/>
    </row>
    <row r="434" spans="1:25" s="300" customFormat="1" ht="39" customHeight="1">
      <c r="B434" s="770" t="s">
        <v>136</v>
      </c>
      <c r="C434" s="2847" t="s">
        <v>137</v>
      </c>
      <c r="D434" s="2848"/>
      <c r="E434" s="2848"/>
      <c r="F434" s="2848"/>
      <c r="G434" s="2848"/>
      <c r="H434" s="2848"/>
      <c r="I434" s="2848"/>
      <c r="J434" s="2848"/>
      <c r="K434" s="2848"/>
      <c r="L434" s="2848"/>
      <c r="M434" s="2848"/>
      <c r="N434" s="2848"/>
      <c r="O434" s="2849"/>
      <c r="P434" s="575"/>
      <c r="Q434" s="2613"/>
      <c r="R434" s="2614"/>
      <c r="S434" s="2614"/>
      <c r="T434" s="2615"/>
      <c r="V434" s="2620"/>
      <c r="W434" s="2621"/>
      <c r="X434" s="2626"/>
      <c r="Y434" s="2627"/>
    </row>
    <row r="436" spans="1:25" s="306" customFormat="1"/>
    <row r="437" spans="1:25" s="306" customFormat="1"/>
    <row r="438" spans="1:25" s="299" customFormat="1" ht="42.75" customHeight="1">
      <c r="A438" s="299" t="s">
        <v>17</v>
      </c>
      <c r="B438" s="2763"/>
      <c r="C438" s="2764"/>
      <c r="D438" s="2764"/>
      <c r="E438" s="2764"/>
      <c r="F438" s="2764"/>
      <c r="G438" s="2764"/>
      <c r="H438" s="2764"/>
      <c r="I438" s="2765"/>
      <c r="J438" s="3055" t="s">
        <v>18</v>
      </c>
      <c r="K438" s="3056"/>
      <c r="L438" s="3056"/>
      <c r="M438" s="3056"/>
      <c r="N438" s="3056"/>
      <c r="O438" s="3056"/>
      <c r="P438" s="3056"/>
      <c r="Q438" s="3057"/>
      <c r="R438" s="2718">
        <v>46150</v>
      </c>
      <c r="S438" s="2719"/>
      <c r="T438" s="2720"/>
      <c r="U438" s="307"/>
      <c r="V438" s="2700" t="s">
        <v>19</v>
      </c>
      <c r="W438" s="2701"/>
      <c r="X438" s="2700" t="s">
        <v>19</v>
      </c>
      <c r="Y438" s="2701"/>
    </row>
    <row r="439" spans="1:25" s="299" customFormat="1" ht="42.75" customHeight="1">
      <c r="B439" s="2766"/>
      <c r="C439" s="2767"/>
      <c r="D439" s="2767"/>
      <c r="E439" s="2767"/>
      <c r="F439" s="2767"/>
      <c r="G439" s="2767"/>
      <c r="H439" s="2767"/>
      <c r="I439" s="2768"/>
      <c r="J439" s="2724" t="s">
        <v>20</v>
      </c>
      <c r="K439" s="2725"/>
      <c r="L439" s="2725"/>
      <c r="M439" s="2725"/>
      <c r="N439" s="2725"/>
      <c r="O439" s="2725"/>
      <c r="P439" s="2725"/>
      <c r="Q439" s="2726"/>
      <c r="R439" s="2721"/>
      <c r="S439" s="2722"/>
      <c r="T439" s="2723"/>
      <c r="U439" s="307"/>
      <c r="V439" s="2702"/>
      <c r="W439" s="2703"/>
      <c r="X439" s="2702"/>
      <c r="Y439" s="2703"/>
    </row>
    <row r="440" spans="1:25" s="299" customFormat="1" ht="6" customHeight="1">
      <c r="B440" s="1150"/>
      <c r="C440" s="1151"/>
      <c r="D440" s="1149"/>
      <c r="E440" s="1149"/>
      <c r="F440" s="1149"/>
      <c r="G440" s="1149"/>
      <c r="H440" s="1149"/>
      <c r="I440" s="1149"/>
      <c r="J440" s="2727"/>
      <c r="K440" s="2728"/>
      <c r="L440" s="2728"/>
      <c r="M440" s="2728"/>
      <c r="N440" s="2728"/>
      <c r="O440" s="2728"/>
      <c r="P440" s="2728"/>
      <c r="Q440" s="2729"/>
      <c r="R440" s="1152" t="s">
        <v>21</v>
      </c>
      <c r="S440" s="1152"/>
      <c r="T440" s="1153"/>
      <c r="U440" s="307"/>
      <c r="V440" s="309"/>
      <c r="W440" s="310"/>
      <c r="X440" s="309"/>
      <c r="Y440" s="310"/>
    </row>
    <row r="441" spans="1:25" s="299" customFormat="1" ht="54" customHeight="1">
      <c r="B441" s="2881" t="s">
        <v>22</v>
      </c>
      <c r="C441" s="315"/>
      <c r="D441" s="2853" t="s">
        <v>23</v>
      </c>
      <c r="E441" s="2854"/>
      <c r="F441" s="2853" t="s">
        <v>24</v>
      </c>
      <c r="G441" s="2854"/>
      <c r="H441" s="2853" t="s">
        <v>25</v>
      </c>
      <c r="I441" s="2854"/>
      <c r="J441" s="2730"/>
      <c r="K441" s="2731"/>
      <c r="L441" s="2731"/>
      <c r="M441" s="2731"/>
      <c r="N441" s="2731"/>
      <c r="O441" s="2731"/>
      <c r="P441" s="2731"/>
      <c r="Q441" s="2732"/>
      <c r="R441" s="2853" t="s">
        <v>26</v>
      </c>
      <c r="S441" s="2854"/>
      <c r="T441" s="1154">
        <f>L484</f>
        <v>37</v>
      </c>
      <c r="U441" s="321"/>
      <c r="V441" s="2525" t="s">
        <v>27</v>
      </c>
      <c r="W441" s="2526"/>
      <c r="X441" s="2525" t="s">
        <v>28</v>
      </c>
      <c r="Y441" s="2526"/>
    </row>
    <row r="442" spans="1:25" s="299" customFormat="1" ht="54" customHeight="1">
      <c r="B442" s="2882"/>
      <c r="C442" s="315"/>
      <c r="D442" s="323" t="s">
        <v>29</v>
      </c>
      <c r="E442" s="323" t="s">
        <v>30</v>
      </c>
      <c r="F442" s="323" t="s">
        <v>29</v>
      </c>
      <c r="G442" s="323" t="s">
        <v>30</v>
      </c>
      <c r="H442" s="323" t="s">
        <v>29</v>
      </c>
      <c r="I442" s="323" t="s">
        <v>30</v>
      </c>
      <c r="J442" s="317" t="s">
        <v>31</v>
      </c>
      <c r="K442" s="323" t="s">
        <v>32</v>
      </c>
      <c r="L442" s="323" t="s">
        <v>33</v>
      </c>
      <c r="M442" s="323" t="s">
        <v>34</v>
      </c>
      <c r="N442" s="323" t="s">
        <v>32</v>
      </c>
      <c r="O442" s="316" t="s">
        <v>35</v>
      </c>
      <c r="P442" s="317"/>
      <c r="Q442" s="323" t="s">
        <v>36</v>
      </c>
      <c r="R442" s="323" t="s">
        <v>37</v>
      </c>
      <c r="S442" s="323" t="s">
        <v>38</v>
      </c>
      <c r="T442" s="324" t="s">
        <v>39</v>
      </c>
      <c r="U442" s="321"/>
      <c r="V442" s="2527"/>
      <c r="W442" s="2528"/>
      <c r="X442" s="2527"/>
      <c r="Y442" s="2528"/>
    </row>
    <row r="443" spans="1:25" s="300" customFormat="1" ht="48" customHeight="1">
      <c r="B443" s="325">
        <v>0.41666666666666702</v>
      </c>
      <c r="C443" s="326"/>
      <c r="D443" s="327">
        <v>28</v>
      </c>
      <c r="E443" s="328">
        <v>1144</v>
      </c>
      <c r="F443" s="329">
        <v>29</v>
      </c>
      <c r="G443" s="330">
        <v>1801</v>
      </c>
      <c r="H443" s="587"/>
      <c r="I443" s="330"/>
      <c r="J443" s="332">
        <f>E443+G443+I443</f>
        <v>2945</v>
      </c>
      <c r="K443" s="333">
        <f>J443/450</f>
        <v>6.5444444444444443</v>
      </c>
      <c r="L443" s="332">
        <v>1</v>
      </c>
      <c r="M443" s="1035">
        <v>1016</v>
      </c>
      <c r="N443" s="1036">
        <v>8</v>
      </c>
      <c r="O443" s="3170" t="s">
        <v>88</v>
      </c>
      <c r="P443" s="3171"/>
      <c r="Q443" s="853">
        <v>1</v>
      </c>
      <c r="R443" s="854">
        <v>2</v>
      </c>
      <c r="S443" s="1147" t="s">
        <v>89</v>
      </c>
      <c r="T443" s="939">
        <v>799</v>
      </c>
      <c r="U443" s="307"/>
      <c r="V443" s="3043">
        <f>VLOOKUP(M443,'[1]TABELA FRETE'!$A$6:$B$12,2,0)</f>
        <v>425.7</v>
      </c>
      <c r="W443" s="3044"/>
      <c r="X443" s="2632"/>
      <c r="Y443" s="2633"/>
    </row>
    <row r="444" spans="1:25" s="300" customFormat="1" ht="55.5" customHeight="1">
      <c r="B444" s="463">
        <v>0.41666666666666702</v>
      </c>
      <c r="C444" s="326"/>
      <c r="D444" s="1155" t="s">
        <v>198</v>
      </c>
      <c r="E444" s="1156"/>
      <c r="F444" s="1155" t="s">
        <v>78</v>
      </c>
      <c r="G444" s="349"/>
      <c r="H444" s="3024" t="s">
        <v>226</v>
      </c>
      <c r="I444" s="3025"/>
      <c r="J444" s="365">
        <f>E444+G444+I444</f>
        <v>0</v>
      </c>
      <c r="K444" s="366">
        <f>J444/450</f>
        <v>0</v>
      </c>
      <c r="L444" s="365">
        <v>1</v>
      </c>
      <c r="M444" s="1060" t="s">
        <v>7</v>
      </c>
      <c r="N444" s="1157">
        <v>12</v>
      </c>
      <c r="O444" s="2825" t="s">
        <v>68</v>
      </c>
      <c r="P444" s="2826"/>
      <c r="Q444" s="1062">
        <v>1</v>
      </c>
      <c r="R444" s="1080">
        <v>2</v>
      </c>
      <c r="S444" s="1145" t="s">
        <v>69</v>
      </c>
      <c r="T444" s="1065">
        <v>808</v>
      </c>
      <c r="U444" s="307"/>
      <c r="V444" s="3043">
        <f>VLOOKUP(M444,'[1]TABELA FRETE'!$A$6:$B$12,2,0)</f>
        <v>466.4</v>
      </c>
      <c r="W444" s="3044"/>
      <c r="X444" s="2632"/>
      <c r="Y444" s="2633"/>
    </row>
    <row r="445" spans="1:25" s="299" customFormat="1" ht="48" customHeight="1">
      <c r="B445" s="463">
        <v>0.41666666666666702</v>
      </c>
      <c r="C445" s="326"/>
      <c r="D445" s="359">
        <v>7</v>
      </c>
      <c r="E445" s="360">
        <v>1500</v>
      </c>
      <c r="F445" s="374"/>
      <c r="G445" s="375"/>
      <c r="H445" s="363"/>
      <c r="I445" s="364"/>
      <c r="J445" s="365">
        <f>E445+G445+I445</f>
        <v>1500</v>
      </c>
      <c r="K445" s="366">
        <f>J445/450</f>
        <v>3.3333333333333335</v>
      </c>
      <c r="L445" s="365">
        <v>1</v>
      </c>
      <c r="M445" s="1158" t="s">
        <v>9</v>
      </c>
      <c r="N445" s="1159">
        <v>3</v>
      </c>
      <c r="O445" s="3194" t="s">
        <v>189</v>
      </c>
      <c r="P445" s="3195"/>
      <c r="Q445" s="388">
        <v>1</v>
      </c>
      <c r="R445" s="1007">
        <v>1</v>
      </c>
      <c r="S445" s="1160" t="s">
        <v>190</v>
      </c>
      <c r="T445" s="1009">
        <v>738</v>
      </c>
      <c r="U445" s="307"/>
      <c r="V445" s="3043">
        <f>VLOOKUP(M445,'[1]TABELA FRETE'!$A$6:$B$12,2,0)</f>
        <v>250.8</v>
      </c>
      <c r="W445" s="3044"/>
      <c r="X445" s="2632"/>
      <c r="Y445" s="2633"/>
    </row>
    <row r="446" spans="1:25" s="299" customFormat="1" ht="48" customHeight="1">
      <c r="B446" s="463">
        <v>0.41666666666666702</v>
      </c>
      <c r="C446" s="326"/>
      <c r="D446" s="359">
        <v>11</v>
      </c>
      <c r="E446" s="360">
        <v>2000</v>
      </c>
      <c r="F446" s="374"/>
      <c r="G446" s="375"/>
      <c r="H446" s="363"/>
      <c r="I446" s="364"/>
      <c r="J446" s="365">
        <f>E446+G446+I446</f>
        <v>2000</v>
      </c>
      <c r="K446" s="366">
        <f>J446/450</f>
        <v>4.4444444444444446</v>
      </c>
      <c r="L446" s="365">
        <v>1</v>
      </c>
      <c r="M446" s="1158" t="s">
        <v>8</v>
      </c>
      <c r="N446" s="1159">
        <v>4</v>
      </c>
      <c r="O446" s="2692" t="s">
        <v>96</v>
      </c>
      <c r="P446" s="2912"/>
      <c r="Q446" s="388">
        <v>2</v>
      </c>
      <c r="R446" s="1007">
        <v>2</v>
      </c>
      <c r="S446" s="1160" t="s">
        <v>227</v>
      </c>
      <c r="T446" s="1009">
        <v>456</v>
      </c>
      <c r="U446" s="307"/>
      <c r="V446" s="3043">
        <f>VLOOKUP(M446,'[1]TABELA FRETE'!$A$6:$B$12,2,0)</f>
        <v>286</v>
      </c>
      <c r="W446" s="3044"/>
      <c r="X446" s="2632"/>
      <c r="Y446" s="2633"/>
    </row>
    <row r="447" spans="1:25" s="299" customFormat="1" ht="48" customHeight="1">
      <c r="B447" s="408">
        <v>0.41666666666666702</v>
      </c>
      <c r="C447" s="326"/>
      <c r="D447" s="665">
        <v>11</v>
      </c>
      <c r="E447" s="410">
        <v>1408</v>
      </c>
      <c r="F447" s="666"/>
      <c r="G447" s="544"/>
      <c r="H447" s="545"/>
      <c r="I447" s="705"/>
      <c r="J447" s="413">
        <f>E447+G447+I447</f>
        <v>1408</v>
      </c>
      <c r="K447" s="414">
        <f>J447/450</f>
        <v>3.1288888888888891</v>
      </c>
      <c r="L447" s="413">
        <v>1</v>
      </c>
      <c r="M447" s="1161" t="s">
        <v>9</v>
      </c>
      <c r="N447" s="1162">
        <v>3</v>
      </c>
      <c r="O447" s="3192" t="s">
        <v>98</v>
      </c>
      <c r="P447" s="3193"/>
      <c r="Q447" s="1163">
        <v>1</v>
      </c>
      <c r="R447" s="1164">
        <v>1</v>
      </c>
      <c r="S447" s="1165" t="s">
        <v>228</v>
      </c>
      <c r="T447" s="1164">
        <v>496</v>
      </c>
      <c r="U447" s="307"/>
      <c r="V447" s="2630">
        <f>VLOOKUP(M447,'[1]TABELA FRETE'!$A$6:$B$12,2,0)</f>
        <v>250.8</v>
      </c>
      <c r="W447" s="2631"/>
      <c r="X447" s="2694"/>
      <c r="Y447" s="2695"/>
    </row>
    <row r="448" spans="1:25" s="301" customFormat="1" ht="6" customHeight="1">
      <c r="B448" s="326"/>
      <c r="C448" s="326"/>
      <c r="D448" s="421"/>
      <c r="E448" s="422"/>
      <c r="F448" s="421"/>
      <c r="G448" s="423"/>
      <c r="H448" s="424"/>
      <c r="I448" s="423"/>
      <c r="J448" s="423"/>
      <c r="K448" s="425"/>
      <c r="L448" s="423"/>
      <c r="M448" s="885"/>
      <c r="N448" s="886"/>
      <c r="O448" s="428"/>
      <c r="P448" s="428"/>
      <c r="Q448" s="429"/>
      <c r="R448" s="429"/>
      <c r="S448" s="430"/>
      <c r="T448" s="428"/>
      <c r="U448" s="432"/>
      <c r="V448" s="679"/>
      <c r="W448" s="679"/>
      <c r="X448" s="434"/>
      <c r="Y448" s="434"/>
    </row>
    <row r="449" spans="2:25" s="299" customFormat="1" ht="48" customHeight="1">
      <c r="B449" s="325">
        <v>0.5</v>
      </c>
      <c r="C449" s="326"/>
      <c r="D449" s="327">
        <v>8</v>
      </c>
      <c r="E449" s="328">
        <v>4609</v>
      </c>
      <c r="F449" s="1048"/>
      <c r="G449" s="437"/>
      <c r="H449" s="438"/>
      <c r="I449" s="330"/>
      <c r="J449" s="1166">
        <f t="shared" ref="J449:J472" si="34">E449+G449+I449</f>
        <v>4609</v>
      </c>
      <c r="K449" s="1167">
        <f>J449/450</f>
        <v>10.242222222222223</v>
      </c>
      <c r="L449" s="1166">
        <v>1</v>
      </c>
      <c r="M449" s="850" t="s">
        <v>7</v>
      </c>
      <c r="N449" s="851">
        <v>12</v>
      </c>
      <c r="O449" s="3170" t="s">
        <v>50</v>
      </c>
      <c r="P449" s="3171"/>
      <c r="Q449" s="853">
        <v>2</v>
      </c>
      <c r="R449" s="854">
        <v>2</v>
      </c>
      <c r="S449" s="1147" t="s">
        <v>51</v>
      </c>
      <c r="T449" s="852">
        <v>612</v>
      </c>
      <c r="U449" s="307"/>
      <c r="V449" s="2630">
        <f>VLOOKUP(M449,'[1]TABELA FRETE'!$A$6:$B$12,2,0)</f>
        <v>466.4</v>
      </c>
      <c r="W449" s="2631"/>
      <c r="X449" s="2632"/>
      <c r="Y449" s="2633"/>
    </row>
    <row r="450" spans="2:25" s="299" customFormat="1" ht="48" customHeight="1">
      <c r="B450" s="343">
        <v>0.5</v>
      </c>
      <c r="C450" s="326"/>
      <c r="D450" s="344">
        <v>14</v>
      </c>
      <c r="E450" s="349">
        <v>4626</v>
      </c>
      <c r="F450" s="628"/>
      <c r="G450" s="455"/>
      <c r="H450" s="348"/>
      <c r="I450" s="349"/>
      <c r="J450" s="365">
        <f t="shared" si="34"/>
        <v>4626</v>
      </c>
      <c r="K450" s="366">
        <f>J450/450</f>
        <v>10.28</v>
      </c>
      <c r="L450" s="396">
        <v>1</v>
      </c>
      <c r="M450" s="901" t="s">
        <v>7</v>
      </c>
      <c r="N450" s="902">
        <v>11</v>
      </c>
      <c r="O450" s="2829" t="s">
        <v>42</v>
      </c>
      <c r="P450" s="2830"/>
      <c r="Q450" s="947">
        <v>3</v>
      </c>
      <c r="R450" s="1013">
        <v>3</v>
      </c>
      <c r="S450" s="913" t="s">
        <v>43</v>
      </c>
      <c r="T450" s="967">
        <v>479</v>
      </c>
      <c r="U450" s="307"/>
      <c r="V450" s="3043">
        <f>VLOOKUP(M450,'[1]TABELA FRETE'!$A$6:$B$12,2,0)</f>
        <v>466.4</v>
      </c>
      <c r="W450" s="3044"/>
      <c r="X450" s="2632"/>
      <c r="Y450" s="2633"/>
    </row>
    <row r="451" spans="2:25" s="299" customFormat="1" ht="48" customHeight="1">
      <c r="B451" s="358">
        <v>0.5</v>
      </c>
      <c r="C451" s="326"/>
      <c r="D451" s="344">
        <v>38</v>
      </c>
      <c r="E451" s="349">
        <v>2775</v>
      </c>
      <c r="F451" s="628">
        <v>12</v>
      </c>
      <c r="G451" s="455">
        <v>2278</v>
      </c>
      <c r="H451" s="348"/>
      <c r="I451" s="349"/>
      <c r="J451" s="365">
        <f t="shared" si="34"/>
        <v>5053</v>
      </c>
      <c r="K451" s="366">
        <f t="shared" ref="K451:K472" si="35">J451/450</f>
        <v>11.228888888888889</v>
      </c>
      <c r="L451" s="365">
        <v>1</v>
      </c>
      <c r="M451" s="901" t="s">
        <v>7</v>
      </c>
      <c r="N451" s="902">
        <v>12</v>
      </c>
      <c r="O451" s="2829" t="s">
        <v>146</v>
      </c>
      <c r="P451" s="2830"/>
      <c r="Q451" s="947">
        <v>1</v>
      </c>
      <c r="R451" s="1013">
        <v>2</v>
      </c>
      <c r="S451" s="913" t="s">
        <v>147</v>
      </c>
      <c r="T451" s="967">
        <v>91</v>
      </c>
      <c r="U451" s="307"/>
      <c r="V451" s="3043">
        <f>VLOOKUP(M451,'[1]TABELA FRETE'!$A$6:$B$12,2,0)</f>
        <v>466.4</v>
      </c>
      <c r="W451" s="3044"/>
      <c r="X451" s="2632"/>
      <c r="Y451" s="2633"/>
    </row>
    <row r="452" spans="2:25" s="299" customFormat="1" ht="48" customHeight="1">
      <c r="B452" s="358">
        <v>0.5</v>
      </c>
      <c r="C452" s="326"/>
      <c r="D452" s="344">
        <v>9</v>
      </c>
      <c r="E452" s="345">
        <v>1930</v>
      </c>
      <c r="F452" s="628">
        <v>1</v>
      </c>
      <c r="G452" s="455">
        <v>1541</v>
      </c>
      <c r="H452" s="348"/>
      <c r="I452" s="364"/>
      <c r="J452" s="365">
        <f t="shared" si="34"/>
        <v>3471</v>
      </c>
      <c r="K452" s="351">
        <f t="shared" si="35"/>
        <v>7.7133333333333329</v>
      </c>
      <c r="L452" s="365">
        <v>1</v>
      </c>
      <c r="M452" s="909">
        <v>1016</v>
      </c>
      <c r="N452" s="910">
        <v>8</v>
      </c>
      <c r="O452" s="2827" t="s">
        <v>106</v>
      </c>
      <c r="P452" s="2828"/>
      <c r="Q452" s="947">
        <v>2</v>
      </c>
      <c r="R452" s="906">
        <v>3</v>
      </c>
      <c r="S452" s="913" t="s">
        <v>107</v>
      </c>
      <c r="T452" s="906">
        <v>606</v>
      </c>
      <c r="U452" s="307"/>
      <c r="V452" s="3043">
        <f>VLOOKUP(M452,'[1]TABELA FRETE'!$A$6:$B$12,2,0)</f>
        <v>425.7</v>
      </c>
      <c r="W452" s="3044"/>
      <c r="X452" s="2632"/>
      <c r="Y452" s="2633"/>
    </row>
    <row r="453" spans="2:25" s="299" customFormat="1" ht="48" customHeight="1">
      <c r="B453" s="358">
        <v>0.5</v>
      </c>
      <c r="C453" s="326"/>
      <c r="D453" s="359">
        <v>34</v>
      </c>
      <c r="E453" s="360">
        <v>6500</v>
      </c>
      <c r="F453" s="374"/>
      <c r="G453" s="375"/>
      <c r="H453" s="363"/>
      <c r="I453" s="364"/>
      <c r="J453" s="365">
        <f t="shared" si="34"/>
        <v>6500</v>
      </c>
      <c r="K453" s="366">
        <f t="shared" si="35"/>
        <v>14.444444444444445</v>
      </c>
      <c r="L453" s="365">
        <v>1</v>
      </c>
      <c r="M453" s="1066" t="s">
        <v>6</v>
      </c>
      <c r="N453" s="1113">
        <v>14</v>
      </c>
      <c r="O453" s="3164" t="s">
        <v>54</v>
      </c>
      <c r="P453" s="3184"/>
      <c r="Q453" s="1068">
        <v>1</v>
      </c>
      <c r="R453" s="1114">
        <v>1</v>
      </c>
      <c r="S453" s="1115" t="s">
        <v>229</v>
      </c>
      <c r="T453" s="1070">
        <v>590</v>
      </c>
      <c r="U453" s="307"/>
      <c r="V453" s="3043">
        <f>VLOOKUP(M453,'[1]TABELA FRETE'!$A$6:$B$12,2,0)</f>
        <v>489.5</v>
      </c>
      <c r="W453" s="3044"/>
      <c r="X453" s="2632"/>
      <c r="Y453" s="2633"/>
    </row>
    <row r="454" spans="2:25" s="299" customFormat="1" ht="48" customHeight="1">
      <c r="B454" s="358">
        <v>0.5</v>
      </c>
      <c r="C454" s="326"/>
      <c r="D454" s="359">
        <v>35</v>
      </c>
      <c r="E454" s="360">
        <v>3100</v>
      </c>
      <c r="F454" s="401">
        <v>34</v>
      </c>
      <c r="G454" s="375">
        <v>604</v>
      </c>
      <c r="H454" s="363"/>
      <c r="I454" s="364"/>
      <c r="J454" s="365">
        <f t="shared" si="34"/>
        <v>3704</v>
      </c>
      <c r="K454" s="366">
        <f t="shared" si="35"/>
        <v>8.2311111111111117</v>
      </c>
      <c r="L454" s="365">
        <v>1</v>
      </c>
      <c r="M454" s="1103">
        <v>1016</v>
      </c>
      <c r="N454" s="1104">
        <v>10</v>
      </c>
      <c r="O454" s="3185" t="s">
        <v>81</v>
      </c>
      <c r="P454" s="3186"/>
      <c r="Q454" s="1168">
        <v>2</v>
      </c>
      <c r="R454" s="1105">
        <v>3</v>
      </c>
      <c r="S454" s="1106" t="s">
        <v>230</v>
      </c>
      <c r="T454" s="1105">
        <v>606</v>
      </c>
      <c r="U454" s="307"/>
      <c r="V454" s="3043">
        <f>VLOOKUP(M454,'[1]TABELA FRETE'!$A$6:$B$12,2,0)</f>
        <v>425.7</v>
      </c>
      <c r="W454" s="3044"/>
      <c r="X454" s="2632"/>
      <c r="Y454" s="2633"/>
    </row>
    <row r="455" spans="2:25" s="299" customFormat="1" ht="48" customHeight="1">
      <c r="B455" s="358">
        <v>0.5</v>
      </c>
      <c r="C455" s="326"/>
      <c r="D455" s="359">
        <v>43</v>
      </c>
      <c r="E455" s="360">
        <v>3144</v>
      </c>
      <c r="F455" s="401"/>
      <c r="G455" s="375"/>
      <c r="H455" s="363"/>
      <c r="I455" s="364"/>
      <c r="J455" s="365">
        <f t="shared" si="34"/>
        <v>3144</v>
      </c>
      <c r="K455" s="366">
        <f t="shared" si="35"/>
        <v>6.9866666666666664</v>
      </c>
      <c r="L455" s="365">
        <v>1</v>
      </c>
      <c r="M455" s="1107">
        <v>1016</v>
      </c>
      <c r="N455" s="1108">
        <v>8</v>
      </c>
      <c r="O455" s="3187" t="s">
        <v>46</v>
      </c>
      <c r="P455" s="3188"/>
      <c r="Q455" s="1109">
        <v>2</v>
      </c>
      <c r="R455" s="1110">
        <v>2</v>
      </c>
      <c r="S455" s="1111" t="s">
        <v>47</v>
      </c>
      <c r="T455" s="1112">
        <v>48</v>
      </c>
      <c r="U455" s="307"/>
      <c r="V455" s="3043">
        <f>VLOOKUP(M455,'[1]TABELA FRETE'!$A$6:$B$12,2,0)</f>
        <v>425.7</v>
      </c>
      <c r="W455" s="3044"/>
      <c r="X455" s="2632"/>
      <c r="Y455" s="2633"/>
    </row>
    <row r="456" spans="2:25" s="299" customFormat="1" ht="48" customHeight="1">
      <c r="B456" s="358">
        <v>0.5</v>
      </c>
      <c r="C456" s="326"/>
      <c r="D456" s="924">
        <v>47</v>
      </c>
      <c r="E456" s="392">
        <v>2162</v>
      </c>
      <c r="F456" s="359"/>
      <c r="G456" s="360"/>
      <c r="H456" s="394"/>
      <c r="I456" s="727"/>
      <c r="J456" s="365">
        <f t="shared" si="34"/>
        <v>2162</v>
      </c>
      <c r="K456" s="366">
        <f t="shared" si="35"/>
        <v>4.8044444444444441</v>
      </c>
      <c r="L456" s="365">
        <v>1</v>
      </c>
      <c r="M456" s="919">
        <v>1016</v>
      </c>
      <c r="N456" s="920">
        <v>6</v>
      </c>
      <c r="O456" s="2827" t="s">
        <v>139</v>
      </c>
      <c r="P456" s="2828"/>
      <c r="Q456" s="963">
        <v>1</v>
      </c>
      <c r="R456" s="906">
        <v>1</v>
      </c>
      <c r="S456" s="913" t="s">
        <v>140</v>
      </c>
      <c r="T456" s="906">
        <v>809</v>
      </c>
      <c r="U456" s="307"/>
      <c r="V456" s="3043">
        <f>VLOOKUP(M456,'[1]TABELA FRETE'!$A$6:$B$12,2,0)</f>
        <v>425.7</v>
      </c>
      <c r="W456" s="3044"/>
      <c r="X456" s="2632"/>
      <c r="Y456" s="2633"/>
    </row>
    <row r="457" spans="2:25" s="299" customFormat="1" ht="48" customHeight="1">
      <c r="B457" s="463">
        <v>0.5</v>
      </c>
      <c r="C457" s="326"/>
      <c r="D457" s="924">
        <v>45</v>
      </c>
      <c r="E457" s="392">
        <v>6047</v>
      </c>
      <c r="F457" s="687"/>
      <c r="G457" s="392"/>
      <c r="H457" s="394"/>
      <c r="I457" s="727"/>
      <c r="J457" s="365">
        <f t="shared" si="34"/>
        <v>6047</v>
      </c>
      <c r="K457" s="366">
        <f t="shared" si="35"/>
        <v>13.437777777777777</v>
      </c>
      <c r="L457" s="396">
        <v>1</v>
      </c>
      <c r="M457" s="901" t="s">
        <v>6</v>
      </c>
      <c r="N457" s="902">
        <v>14</v>
      </c>
      <c r="O457" s="2829" t="s">
        <v>64</v>
      </c>
      <c r="P457" s="2830"/>
      <c r="Q457" s="947">
        <v>1</v>
      </c>
      <c r="R457" s="917">
        <v>1</v>
      </c>
      <c r="S457" s="905" t="s">
        <v>65</v>
      </c>
      <c r="T457" s="906">
        <v>598</v>
      </c>
      <c r="U457" s="307"/>
      <c r="V457" s="1169"/>
      <c r="W457" s="1170"/>
      <c r="X457" s="865"/>
      <c r="Y457" s="866"/>
    </row>
    <row r="458" spans="2:25" s="299" customFormat="1" ht="48" customHeight="1">
      <c r="B458" s="408">
        <v>0.5</v>
      </c>
      <c r="C458" s="326"/>
      <c r="D458" s="409">
        <v>19</v>
      </c>
      <c r="E458" s="410">
        <v>6629</v>
      </c>
      <c r="F458" s="411"/>
      <c r="G458" s="410"/>
      <c r="H458" s="412"/>
      <c r="I458" s="410"/>
      <c r="J458" s="413">
        <f t="shared" si="34"/>
        <v>6629</v>
      </c>
      <c r="K458" s="414">
        <f>J458/480</f>
        <v>13.810416666666667</v>
      </c>
      <c r="L458" s="413">
        <v>1</v>
      </c>
      <c r="M458" s="1071" t="s">
        <v>6</v>
      </c>
      <c r="N458" s="1116">
        <v>14</v>
      </c>
      <c r="O458" s="3181" t="s">
        <v>192</v>
      </c>
      <c r="P458" s="3189"/>
      <c r="Q458" s="1073">
        <v>1</v>
      </c>
      <c r="R458" s="1120">
        <v>1</v>
      </c>
      <c r="S458" s="1119" t="s">
        <v>193</v>
      </c>
      <c r="T458" s="881">
        <v>808</v>
      </c>
      <c r="U458" s="307"/>
      <c r="V458" s="2630">
        <f>VLOOKUP(M458,'[1]TABELA FRETE'!$A$6:$B$12,2,0)</f>
        <v>489.5</v>
      </c>
      <c r="W458" s="2631"/>
      <c r="X458" s="2632"/>
      <c r="Y458" s="2633"/>
    </row>
    <row r="459" spans="2:25" s="301" customFormat="1" ht="6" customHeight="1">
      <c r="B459" s="326"/>
      <c r="C459" s="326"/>
      <c r="D459" s="421"/>
      <c r="E459" s="422"/>
      <c r="F459" s="421"/>
      <c r="G459" s="423"/>
      <c r="H459" s="424"/>
      <c r="I459" s="423"/>
      <c r="J459" s="423"/>
      <c r="K459" s="425"/>
      <c r="L459" s="423"/>
      <c r="M459" s="426"/>
      <c r="N459" s="427"/>
      <c r="O459" s="428"/>
      <c r="P459" s="428"/>
      <c r="Q459" s="429"/>
      <c r="R459" s="429"/>
      <c r="S459" s="430"/>
      <c r="T459" s="431"/>
      <c r="U459" s="432"/>
      <c r="V459" s="679"/>
      <c r="W459" s="679"/>
      <c r="X459" s="434"/>
      <c r="Y459" s="434"/>
    </row>
    <row r="460" spans="2:25" s="299" customFormat="1" ht="48" customHeight="1">
      <c r="B460" s="325">
        <v>0.58333333333333304</v>
      </c>
      <c r="C460" s="326"/>
      <c r="D460" s="435">
        <v>3</v>
      </c>
      <c r="E460" s="328">
        <v>1161</v>
      </c>
      <c r="F460" s="436">
        <v>5</v>
      </c>
      <c r="G460" s="437">
        <v>1523</v>
      </c>
      <c r="H460" s="438"/>
      <c r="I460" s="330"/>
      <c r="J460" s="332">
        <f t="shared" si="34"/>
        <v>2684</v>
      </c>
      <c r="K460" s="333">
        <f t="shared" si="35"/>
        <v>5.9644444444444442</v>
      </c>
      <c r="L460" s="1171">
        <v>1</v>
      </c>
      <c r="M460" s="1035">
        <v>1016</v>
      </c>
      <c r="N460" s="1036">
        <v>7</v>
      </c>
      <c r="O460" s="3190" t="s">
        <v>56</v>
      </c>
      <c r="P460" s="3191"/>
      <c r="Q460" s="854">
        <v>1</v>
      </c>
      <c r="R460" s="939">
        <v>2</v>
      </c>
      <c r="S460" s="855" t="s">
        <v>57</v>
      </c>
      <c r="T460" s="939">
        <v>663</v>
      </c>
      <c r="U460" s="307"/>
      <c r="V460" s="3043">
        <f>VLOOKUP(M460,'[1]TABELA FRETE'!$A$6:$B$12,2,0)</f>
        <v>425.7</v>
      </c>
      <c r="W460" s="3044"/>
      <c r="X460" s="2632"/>
      <c r="Y460" s="2633"/>
    </row>
    <row r="461" spans="2:25" s="299" customFormat="1" ht="48" customHeight="1">
      <c r="B461" s="343">
        <v>0.58333333333333304</v>
      </c>
      <c r="C461" s="326"/>
      <c r="D461" s="444">
        <v>25</v>
      </c>
      <c r="E461" s="375">
        <v>1922</v>
      </c>
      <c r="F461" s="393">
        <v>22</v>
      </c>
      <c r="G461" s="360">
        <v>2666</v>
      </c>
      <c r="H461" s="445"/>
      <c r="I461" s="360"/>
      <c r="J461" s="365">
        <f t="shared" si="34"/>
        <v>4588</v>
      </c>
      <c r="K461" s="366">
        <f t="shared" si="35"/>
        <v>10.195555555555556</v>
      </c>
      <c r="L461" s="900">
        <v>1</v>
      </c>
      <c r="M461" s="901" t="s">
        <v>7</v>
      </c>
      <c r="N461" s="902">
        <v>12</v>
      </c>
      <c r="O461" s="2829" t="s">
        <v>58</v>
      </c>
      <c r="P461" s="3172"/>
      <c r="Q461" s="1013">
        <v>2</v>
      </c>
      <c r="R461" s="917">
        <v>3</v>
      </c>
      <c r="S461" s="905" t="s">
        <v>59</v>
      </c>
      <c r="T461" s="906">
        <v>674</v>
      </c>
      <c r="U461" s="307"/>
      <c r="V461" s="3030">
        <f>VLOOKUP(M461,'[1]TABELA FRETE'!$A$6:$B$12,2,0)</f>
        <v>466.4</v>
      </c>
      <c r="W461" s="3031"/>
      <c r="X461" s="3039"/>
      <c r="Y461" s="3040"/>
    </row>
    <row r="462" spans="2:25" s="299" customFormat="1" ht="48" customHeight="1">
      <c r="B462" s="343">
        <v>0.58333333333333304</v>
      </c>
      <c r="C462" s="326"/>
      <c r="D462" s="444">
        <v>6</v>
      </c>
      <c r="E462" s="360">
        <v>1360</v>
      </c>
      <c r="F462" s="444">
        <v>31</v>
      </c>
      <c r="G462" s="375">
        <v>2143</v>
      </c>
      <c r="H462" s="445"/>
      <c r="I462" s="360"/>
      <c r="J462" s="365">
        <f t="shared" si="34"/>
        <v>3503</v>
      </c>
      <c r="K462" s="366">
        <f t="shared" si="35"/>
        <v>7.7844444444444445</v>
      </c>
      <c r="L462" s="900">
        <v>1</v>
      </c>
      <c r="M462" s="901">
        <v>1016</v>
      </c>
      <c r="N462" s="902">
        <v>9</v>
      </c>
      <c r="O462" s="2829" t="s">
        <v>79</v>
      </c>
      <c r="P462" s="3172"/>
      <c r="Q462" s="1013">
        <v>1</v>
      </c>
      <c r="R462" s="1013">
        <v>2</v>
      </c>
      <c r="S462" s="905" t="s">
        <v>80</v>
      </c>
      <c r="T462" s="917">
        <v>184725</v>
      </c>
      <c r="U462" s="307"/>
      <c r="V462" s="2630">
        <f>VLOOKUP(M462,'[1]TABELA FRETE'!$A$6:$B$12,2,0)</f>
        <v>425.7</v>
      </c>
      <c r="W462" s="2631"/>
      <c r="X462" s="2694"/>
      <c r="Y462" s="2695"/>
    </row>
    <row r="463" spans="2:25" s="299" customFormat="1" ht="48" customHeight="1">
      <c r="B463" s="343">
        <v>0.58333333333333304</v>
      </c>
      <c r="C463" s="452"/>
      <c r="D463" s="453">
        <v>23</v>
      </c>
      <c r="E463" s="345">
        <v>3218</v>
      </c>
      <c r="F463" s="464"/>
      <c r="G463" s="392"/>
      <c r="H463" s="348"/>
      <c r="I463" s="455"/>
      <c r="J463" s="350">
        <f t="shared" si="34"/>
        <v>3218</v>
      </c>
      <c r="K463" s="351">
        <f t="shared" si="35"/>
        <v>7.1511111111111108</v>
      </c>
      <c r="L463" s="1172">
        <v>1</v>
      </c>
      <c r="M463" s="1094">
        <v>1016</v>
      </c>
      <c r="N463" s="1095">
        <v>8</v>
      </c>
      <c r="O463" s="3156" t="s">
        <v>159</v>
      </c>
      <c r="P463" s="3183"/>
      <c r="Q463" s="1096">
        <v>1</v>
      </c>
      <c r="R463" s="1096">
        <v>1</v>
      </c>
      <c r="S463" s="975" t="s">
        <v>160</v>
      </c>
      <c r="T463" s="972">
        <v>456</v>
      </c>
      <c r="U463" s="307"/>
      <c r="V463" s="2630">
        <f>VLOOKUP(M463,'[1]TABELA FRETE'!$A$6:$B$12,2,0)</f>
        <v>425.7</v>
      </c>
      <c r="W463" s="2631"/>
      <c r="X463" s="2632"/>
      <c r="Y463" s="2633"/>
    </row>
    <row r="464" spans="2:25" s="299" customFormat="1" ht="48" customHeight="1">
      <c r="B464" s="343">
        <v>0.58333333333333304</v>
      </c>
      <c r="C464" s="326"/>
      <c r="D464" s="458">
        <v>17</v>
      </c>
      <c r="E464" s="392">
        <v>2851</v>
      </c>
      <c r="F464" s="464">
        <v>44</v>
      </c>
      <c r="G464" s="392">
        <v>2605</v>
      </c>
      <c r="H464" s="394"/>
      <c r="I464" s="395"/>
      <c r="J464" s="396">
        <f t="shared" si="34"/>
        <v>5456</v>
      </c>
      <c r="K464" s="461">
        <f t="shared" si="35"/>
        <v>12.124444444444444</v>
      </c>
      <c r="L464" s="908">
        <v>1</v>
      </c>
      <c r="M464" s="909" t="s">
        <v>7</v>
      </c>
      <c r="N464" s="909">
        <v>12</v>
      </c>
      <c r="O464" s="2910" t="s">
        <v>66</v>
      </c>
      <c r="P464" s="2911"/>
      <c r="Q464" s="832">
        <v>2</v>
      </c>
      <c r="R464" s="906">
        <v>3</v>
      </c>
      <c r="S464" s="922" t="s">
        <v>67</v>
      </c>
      <c r="T464" s="832">
        <v>184461</v>
      </c>
      <c r="U464" s="307"/>
      <c r="V464" s="2630">
        <f>VLOOKUP(M464,'[1]TABELA FRETE'!$A$6:$B$12,2,0)</f>
        <v>466.4</v>
      </c>
      <c r="W464" s="2631"/>
      <c r="X464" s="2632"/>
      <c r="Y464" s="2633"/>
    </row>
    <row r="465" spans="2:25" s="299" customFormat="1" ht="64.5" customHeight="1">
      <c r="B465" s="358">
        <v>0.58333333333333304</v>
      </c>
      <c r="C465" s="326"/>
      <c r="D465" s="462" t="s">
        <v>78</v>
      </c>
      <c r="E465" s="360">
        <v>6404</v>
      </c>
      <c r="F465" s="462"/>
      <c r="G465" s="360"/>
      <c r="H465" s="363"/>
      <c r="I465" s="375"/>
      <c r="J465" s="365">
        <f t="shared" si="34"/>
        <v>6404</v>
      </c>
      <c r="K465" s="366">
        <f t="shared" si="35"/>
        <v>14.231111111111112</v>
      </c>
      <c r="L465" s="900">
        <v>1</v>
      </c>
      <c r="M465" s="901" t="s">
        <v>6</v>
      </c>
      <c r="N465" s="902">
        <v>14</v>
      </c>
      <c r="O465" s="2829" t="s">
        <v>220</v>
      </c>
      <c r="P465" s="3172"/>
      <c r="Q465" s="917">
        <v>1</v>
      </c>
      <c r="R465" s="917">
        <v>1</v>
      </c>
      <c r="S465" s="905" t="s">
        <v>231</v>
      </c>
      <c r="T465" s="906">
        <v>184422</v>
      </c>
      <c r="U465" s="307"/>
      <c r="V465" s="2630">
        <f>VLOOKUP(M465,'[1]TABELA FRETE'!$A$6:$B$12,2,0)</f>
        <v>489.5</v>
      </c>
      <c r="W465" s="2631"/>
      <c r="X465" s="2632"/>
      <c r="Y465" s="2633"/>
    </row>
    <row r="466" spans="2:25" s="299" customFormat="1" ht="57" customHeight="1">
      <c r="B466" s="358">
        <v>0.58333333333333304</v>
      </c>
      <c r="C466" s="326"/>
      <c r="D466" s="458">
        <v>10</v>
      </c>
      <c r="E466" s="392">
        <v>4588</v>
      </c>
      <c r="F466" s="445" t="s">
        <v>78</v>
      </c>
      <c r="G466" s="360">
        <v>1000</v>
      </c>
      <c r="H466" s="363"/>
      <c r="I466" s="375"/>
      <c r="J466" s="365">
        <f t="shared" si="34"/>
        <v>5588</v>
      </c>
      <c r="K466" s="366">
        <f t="shared" si="35"/>
        <v>12.417777777777777</v>
      </c>
      <c r="L466" s="900">
        <v>1</v>
      </c>
      <c r="M466" s="919" t="s">
        <v>7</v>
      </c>
      <c r="N466" s="920">
        <v>12</v>
      </c>
      <c r="O466" s="2827" t="s">
        <v>224</v>
      </c>
      <c r="P466" s="3163"/>
      <c r="Q466" s="906">
        <v>1</v>
      </c>
      <c r="R466" s="906">
        <v>2</v>
      </c>
      <c r="S466" s="913" t="s">
        <v>232</v>
      </c>
      <c r="T466" s="906">
        <v>782</v>
      </c>
      <c r="U466" s="307"/>
      <c r="V466" s="2630">
        <f>VLOOKUP(M466,'[1]TABELA FRETE'!$A$6:$B$12,2,0)</f>
        <v>466.4</v>
      </c>
      <c r="W466" s="2631"/>
      <c r="X466" s="2632"/>
      <c r="Y466" s="2633"/>
    </row>
    <row r="467" spans="2:25" s="299" customFormat="1" ht="48" customHeight="1">
      <c r="B467" s="358">
        <v>0.58333333333333304</v>
      </c>
      <c r="C467" s="326"/>
      <c r="D467" s="458">
        <v>26</v>
      </c>
      <c r="E467" s="392">
        <v>2066</v>
      </c>
      <c r="F467" s="1173">
        <v>46</v>
      </c>
      <c r="G467" s="460">
        <v>3672</v>
      </c>
      <c r="H467" s="465"/>
      <c r="I467" s="392"/>
      <c r="J467" s="365">
        <f t="shared" si="34"/>
        <v>5738</v>
      </c>
      <c r="K467" s="366">
        <f>J467/480</f>
        <v>11.954166666666667</v>
      </c>
      <c r="L467" s="900">
        <v>1</v>
      </c>
      <c r="M467" s="901" t="s">
        <v>7</v>
      </c>
      <c r="N467" s="902">
        <v>12</v>
      </c>
      <c r="O467" s="2910" t="s">
        <v>62</v>
      </c>
      <c r="P467" s="2911"/>
      <c r="Q467" s="1013">
        <v>2</v>
      </c>
      <c r="R467" s="1013">
        <v>3</v>
      </c>
      <c r="S467" s="905" t="s">
        <v>63</v>
      </c>
      <c r="T467" s="917">
        <v>740</v>
      </c>
      <c r="U467" s="307"/>
      <c r="V467" s="2630">
        <f>VLOOKUP(M467,'[1]TABELA FRETE'!$A$6:$B$12,2,0)</f>
        <v>466.4</v>
      </c>
      <c r="W467" s="2631"/>
      <c r="X467" s="2632"/>
      <c r="Y467" s="2633"/>
    </row>
    <row r="468" spans="2:25" s="299" customFormat="1" ht="48" customHeight="1">
      <c r="B468" s="463">
        <v>0.58333333333333304</v>
      </c>
      <c r="C468" s="326"/>
      <c r="D468" s="458">
        <v>40</v>
      </c>
      <c r="E468" s="392">
        <v>3779</v>
      </c>
      <c r="F468" s="458"/>
      <c r="G468" s="392"/>
      <c r="H468" s="465"/>
      <c r="I468" s="392"/>
      <c r="J468" s="365">
        <f t="shared" si="34"/>
        <v>3779</v>
      </c>
      <c r="K468" s="366">
        <f t="shared" si="35"/>
        <v>8.3977777777777778</v>
      </c>
      <c r="L468" s="908">
        <v>1</v>
      </c>
      <c r="M468" s="901" t="s">
        <v>7</v>
      </c>
      <c r="N468" s="902">
        <v>11</v>
      </c>
      <c r="O468" s="2829" t="s">
        <v>52</v>
      </c>
      <c r="P468" s="3172"/>
      <c r="Q468" s="1013">
        <v>1</v>
      </c>
      <c r="R468" s="1013">
        <v>1</v>
      </c>
      <c r="S468" s="905" t="s">
        <v>53</v>
      </c>
      <c r="T468" s="917">
        <v>633</v>
      </c>
      <c r="U468" s="307"/>
      <c r="V468" s="2630">
        <f>VLOOKUP(M468,'[1]TABELA FRETE'!$A$6:$B$12,2,0)</f>
        <v>466.4</v>
      </c>
      <c r="W468" s="2631"/>
      <c r="X468" s="2632"/>
      <c r="Y468" s="2633"/>
    </row>
    <row r="469" spans="2:25" s="299" customFormat="1" ht="48" customHeight="1">
      <c r="B469" s="463">
        <v>0.58333333333333304</v>
      </c>
      <c r="C469" s="326"/>
      <c r="D469" s="458">
        <v>20</v>
      </c>
      <c r="E469" s="392">
        <v>2982</v>
      </c>
      <c r="F469" s="464"/>
      <c r="G469" s="392"/>
      <c r="H469" s="465"/>
      <c r="I469" s="392"/>
      <c r="J469" s="365">
        <f t="shared" si="34"/>
        <v>2982</v>
      </c>
      <c r="K469" s="366">
        <f t="shared" si="35"/>
        <v>6.6266666666666669</v>
      </c>
      <c r="L469" s="908">
        <v>1</v>
      </c>
      <c r="M469" s="919">
        <v>1016</v>
      </c>
      <c r="N469" s="920">
        <v>7</v>
      </c>
      <c r="O469" s="2829" t="s">
        <v>141</v>
      </c>
      <c r="P469" s="3172"/>
      <c r="Q469" s="1013">
        <v>2</v>
      </c>
      <c r="R469" s="906">
        <v>2</v>
      </c>
      <c r="S469" s="913" t="s">
        <v>142</v>
      </c>
      <c r="T469" s="906">
        <v>605</v>
      </c>
      <c r="U469" s="307"/>
      <c r="V469" s="339"/>
      <c r="W469" s="340"/>
      <c r="X469" s="865"/>
      <c r="Y469" s="866"/>
    </row>
    <row r="470" spans="2:25" s="299" customFormat="1" ht="52.5" customHeight="1">
      <c r="B470" s="463">
        <v>0.58333333333333304</v>
      </c>
      <c r="C470" s="326"/>
      <c r="D470" s="458">
        <v>32</v>
      </c>
      <c r="E470" s="392">
        <v>1758</v>
      </c>
      <c r="F470" s="464">
        <v>42</v>
      </c>
      <c r="G470" s="392">
        <v>3242</v>
      </c>
      <c r="H470" s="465"/>
      <c r="I470" s="392"/>
      <c r="J470" s="365">
        <f t="shared" si="34"/>
        <v>5000</v>
      </c>
      <c r="K470" s="366">
        <f t="shared" si="35"/>
        <v>11.111111111111111</v>
      </c>
      <c r="L470" s="908">
        <v>1</v>
      </c>
      <c r="M470" s="901" t="s">
        <v>7</v>
      </c>
      <c r="N470" s="902">
        <v>12</v>
      </c>
      <c r="O470" s="2827" t="s">
        <v>153</v>
      </c>
      <c r="P470" s="3163"/>
      <c r="Q470" s="1013">
        <v>1</v>
      </c>
      <c r="R470" s="1013">
        <v>2</v>
      </c>
      <c r="S470" s="905" t="s">
        <v>154</v>
      </c>
      <c r="T470" s="917">
        <v>664</v>
      </c>
      <c r="U470" s="307"/>
      <c r="V470" s="2630">
        <f>VLOOKUP(M470,'[1]TABELA FRETE'!$A$6:$B$12,2,0)</f>
        <v>466.4</v>
      </c>
      <c r="W470" s="2631"/>
      <c r="X470" s="2632"/>
      <c r="Y470" s="2633"/>
    </row>
    <row r="471" spans="2:25" s="299" customFormat="1" ht="58.5" customHeight="1">
      <c r="B471" s="463">
        <v>0.58333333333333304</v>
      </c>
      <c r="C471" s="326"/>
      <c r="D471" s="470" t="s">
        <v>198</v>
      </c>
      <c r="E471" s="392">
        <v>4645</v>
      </c>
      <c r="F471" s="464"/>
      <c r="G471" s="392"/>
      <c r="H471" s="465"/>
      <c r="I471" s="392"/>
      <c r="J471" s="396"/>
      <c r="K471" s="461"/>
      <c r="L471" s="908"/>
      <c r="M471" s="1060" t="s">
        <v>7</v>
      </c>
      <c r="N471" s="1079">
        <v>12</v>
      </c>
      <c r="O471" s="2825" t="s">
        <v>68</v>
      </c>
      <c r="P471" s="3173"/>
      <c r="Q471" s="1144">
        <v>1</v>
      </c>
      <c r="R471" s="1080">
        <v>2</v>
      </c>
      <c r="S471" s="1145" t="s">
        <v>69</v>
      </c>
      <c r="T471" s="1065">
        <v>808</v>
      </c>
      <c r="U471" s="307"/>
      <c r="V471" s="339"/>
      <c r="W471" s="340"/>
      <c r="X471" s="980"/>
      <c r="Y471" s="981"/>
    </row>
    <row r="472" spans="2:25" s="299" customFormat="1" ht="63" customHeight="1">
      <c r="B472" s="408">
        <v>0.58333333333333304</v>
      </c>
      <c r="C472" s="1174"/>
      <c r="D472" s="1175">
        <v>1129</v>
      </c>
      <c r="E472" s="410">
        <v>1532</v>
      </c>
      <c r="F472" s="1175"/>
      <c r="G472" s="410"/>
      <c r="H472" s="412"/>
      <c r="I472" s="410"/>
      <c r="J472" s="413">
        <f t="shared" si="34"/>
        <v>1532</v>
      </c>
      <c r="K472" s="414">
        <f t="shared" si="35"/>
        <v>3.4044444444444446</v>
      </c>
      <c r="L472" s="928">
        <v>1</v>
      </c>
      <c r="M472" s="878">
        <v>1016</v>
      </c>
      <c r="N472" s="879">
        <v>6</v>
      </c>
      <c r="O472" s="3181" t="s">
        <v>83</v>
      </c>
      <c r="P472" s="3182"/>
      <c r="Q472" s="1118">
        <v>2</v>
      </c>
      <c r="R472" s="1118">
        <v>2</v>
      </c>
      <c r="S472" s="1119" t="s">
        <v>84</v>
      </c>
      <c r="T472" s="1120">
        <v>655</v>
      </c>
      <c r="U472" s="307"/>
      <c r="V472" s="2630">
        <f>VLOOKUP(M472,'[1]TABELA FRETE'!$A$6:$B$12,2,0)</f>
        <v>425.7</v>
      </c>
      <c r="W472" s="2631"/>
      <c r="X472" s="3039"/>
      <c r="Y472" s="3040"/>
    </row>
    <row r="473" spans="2:25" s="301" customFormat="1" ht="6" customHeight="1">
      <c r="B473" s="326"/>
      <c r="C473" s="326"/>
      <c r="D473" s="487"/>
      <c r="E473" s="423"/>
      <c r="F473" s="488"/>
      <c r="G473" s="423"/>
      <c r="H473" s="424"/>
      <c r="I473" s="423"/>
      <c r="J473" s="423"/>
      <c r="K473" s="425"/>
      <c r="L473" s="423"/>
      <c r="M473" s="426"/>
      <c r="N473" s="427"/>
      <c r="O473" s="431"/>
      <c r="P473" s="431"/>
      <c r="Q473" s="431"/>
      <c r="R473" s="431"/>
      <c r="S473" s="489"/>
      <c r="T473" s="431"/>
      <c r="U473" s="432"/>
      <c r="V473" s="679"/>
      <c r="W473" s="679"/>
      <c r="X473" s="434"/>
      <c r="Y473" s="434"/>
    </row>
    <row r="474" spans="2:25" s="299" customFormat="1" ht="48" customHeight="1">
      <c r="B474" s="325">
        <v>0.70833333333333304</v>
      </c>
      <c r="C474" s="326"/>
      <c r="D474" s="490">
        <v>36</v>
      </c>
      <c r="E474" s="328">
        <v>1869</v>
      </c>
      <c r="F474" s="491"/>
      <c r="G474" s="328"/>
      <c r="H474" s="438"/>
      <c r="I474" s="492"/>
      <c r="J474" s="493">
        <f t="shared" ref="J474:J484" si="36">E474+G474+I474</f>
        <v>1869</v>
      </c>
      <c r="K474" s="494">
        <f t="shared" ref="K474:K483" si="37">J474/450</f>
        <v>4.1533333333333333</v>
      </c>
      <c r="L474" s="493">
        <v>1</v>
      </c>
      <c r="M474" s="439">
        <v>1016</v>
      </c>
      <c r="N474" s="1176">
        <v>8</v>
      </c>
      <c r="O474" s="2940" t="s">
        <v>85</v>
      </c>
      <c r="P474" s="2941"/>
      <c r="Q474" s="498">
        <v>2</v>
      </c>
      <c r="R474" s="441">
        <v>2</v>
      </c>
      <c r="S474" s="589" t="s">
        <v>86</v>
      </c>
      <c r="T474" s="442">
        <v>714</v>
      </c>
      <c r="U474" s="307"/>
      <c r="V474" s="2630">
        <f>VLOOKUP(M474,'[1]TABELA FRETE'!$A$6:$B$12,2,0)</f>
        <v>425.7</v>
      </c>
      <c r="W474" s="2631"/>
      <c r="X474" s="2632"/>
      <c r="Y474" s="2633"/>
    </row>
    <row r="475" spans="2:25" s="299" customFormat="1" ht="48" customHeight="1">
      <c r="B475" s="358">
        <v>0.70833333333333304</v>
      </c>
      <c r="C475" s="326"/>
      <c r="D475" s="520">
        <v>33</v>
      </c>
      <c r="E475" s="345">
        <v>3117</v>
      </c>
      <c r="F475" s="504"/>
      <c r="G475" s="345"/>
      <c r="H475" s="348"/>
      <c r="I475" s="455"/>
      <c r="J475" s="467">
        <f t="shared" si="36"/>
        <v>3117</v>
      </c>
      <c r="K475" s="475">
        <f t="shared" si="37"/>
        <v>6.9266666666666667</v>
      </c>
      <c r="L475" s="467">
        <v>1</v>
      </c>
      <c r="M475" s="807">
        <v>1016</v>
      </c>
      <c r="N475" s="1135">
        <v>8</v>
      </c>
      <c r="O475" s="2908" t="s">
        <v>46</v>
      </c>
      <c r="P475" s="2909"/>
      <c r="Q475" s="357">
        <v>2</v>
      </c>
      <c r="R475" s="657">
        <v>2</v>
      </c>
      <c r="S475" s="1137" t="s">
        <v>102</v>
      </c>
      <c r="T475" s="657">
        <v>48</v>
      </c>
      <c r="U475" s="307"/>
      <c r="V475" s="2630">
        <f>VLOOKUP(M475,'[1]TABELA FRETE'!$A$6:$B$12,2,0)</f>
        <v>425.7</v>
      </c>
      <c r="W475" s="2631"/>
      <c r="X475" s="2632"/>
      <c r="Y475" s="2633"/>
    </row>
    <row r="476" spans="2:25" s="299" customFormat="1" ht="48" customHeight="1">
      <c r="B476" s="358">
        <v>0.70833333333333304</v>
      </c>
      <c r="C476" s="326"/>
      <c r="D476" s="516">
        <v>30</v>
      </c>
      <c r="E476" s="360">
        <v>1957</v>
      </c>
      <c r="F476" s="521"/>
      <c r="G476" s="345"/>
      <c r="H476" s="474"/>
      <c r="I476" s="360"/>
      <c r="J476" s="467">
        <f t="shared" si="36"/>
        <v>1957</v>
      </c>
      <c r="K476" s="475">
        <f t="shared" si="37"/>
        <v>4.3488888888888892</v>
      </c>
      <c r="L476" s="467">
        <v>1</v>
      </c>
      <c r="M476" s="376">
        <v>1016</v>
      </c>
      <c r="N476" s="1177">
        <v>8</v>
      </c>
      <c r="O476" s="2926" t="s">
        <v>44</v>
      </c>
      <c r="P476" s="2926"/>
      <c r="Q476" s="388">
        <v>2</v>
      </c>
      <c r="R476" s="446">
        <v>2</v>
      </c>
      <c r="S476" s="1086" t="s">
        <v>103</v>
      </c>
      <c r="T476" s="407">
        <v>674</v>
      </c>
      <c r="U476" s="307"/>
      <c r="V476" s="2630">
        <f>VLOOKUP(M476,'[1]TABELA FRETE'!$A$6:$B$12,2,0)</f>
        <v>425.7</v>
      </c>
      <c r="W476" s="2631"/>
      <c r="X476" s="2632"/>
      <c r="Y476" s="2633"/>
    </row>
    <row r="477" spans="2:25" s="299" customFormat="1" ht="48" customHeight="1">
      <c r="B477" s="358">
        <v>0.70833333333333304</v>
      </c>
      <c r="C477" s="326"/>
      <c r="D477" s="516">
        <v>21</v>
      </c>
      <c r="E477" s="360">
        <v>2716</v>
      </c>
      <c r="F477" s="521"/>
      <c r="G477" s="345"/>
      <c r="H477" s="474"/>
      <c r="I477" s="360"/>
      <c r="J477" s="467">
        <f t="shared" si="36"/>
        <v>2716</v>
      </c>
      <c r="K477" s="475">
        <f t="shared" si="37"/>
        <v>6.0355555555555558</v>
      </c>
      <c r="L477" s="467">
        <v>1</v>
      </c>
      <c r="M477" s="367">
        <v>1016</v>
      </c>
      <c r="N477" s="1178">
        <v>8</v>
      </c>
      <c r="O477" s="3058" t="s">
        <v>106</v>
      </c>
      <c r="P477" s="3059"/>
      <c r="Q477" s="388">
        <v>2</v>
      </c>
      <c r="R477" s="387">
        <v>2</v>
      </c>
      <c r="S477" s="1179" t="s">
        <v>233</v>
      </c>
      <c r="T477" s="390">
        <v>606</v>
      </c>
      <c r="U477" s="307"/>
      <c r="V477" s="2630">
        <f>VLOOKUP(M477,'[1]TABELA FRETE'!$A$6:$B$12,2,0)</f>
        <v>425.7</v>
      </c>
      <c r="W477" s="2631"/>
      <c r="X477" s="2632"/>
      <c r="Y477" s="2633"/>
    </row>
    <row r="478" spans="2:25" s="299" customFormat="1" ht="48" customHeight="1">
      <c r="B478" s="358">
        <v>0.70833333333333304</v>
      </c>
      <c r="C478" s="326"/>
      <c r="D478" s="516">
        <v>4</v>
      </c>
      <c r="E478" s="360">
        <v>1718</v>
      </c>
      <c r="F478" s="524"/>
      <c r="G478" s="360"/>
      <c r="H478" s="525"/>
      <c r="I478" s="360"/>
      <c r="J478" s="467">
        <f t="shared" si="36"/>
        <v>1718</v>
      </c>
      <c r="K478" s="475">
        <f t="shared" si="37"/>
        <v>3.8177777777777777</v>
      </c>
      <c r="L478" s="467">
        <v>1</v>
      </c>
      <c r="M478" s="594">
        <v>1016</v>
      </c>
      <c r="N478" s="1180">
        <v>8</v>
      </c>
      <c r="O478" s="2628" t="s">
        <v>92</v>
      </c>
      <c r="P478" s="2629"/>
      <c r="Q478" s="596">
        <v>2</v>
      </c>
      <c r="R478" s="741">
        <v>2</v>
      </c>
      <c r="S478" s="1181" t="s">
        <v>104</v>
      </c>
      <c r="T478" s="596">
        <v>576</v>
      </c>
      <c r="U478" s="432"/>
      <c r="V478" s="2630">
        <f>VLOOKUP(M478,'[1]TABELA FRETE'!$A$6:$B$12,2,0)</f>
        <v>425.7</v>
      </c>
      <c r="W478" s="2631"/>
      <c r="X478" s="2632"/>
      <c r="Y478" s="2633"/>
    </row>
    <row r="479" spans="2:25" s="299" customFormat="1" ht="48" customHeight="1">
      <c r="B479" s="358">
        <v>0.70833333333333304</v>
      </c>
      <c r="C479" s="326"/>
      <c r="D479" s="516">
        <v>18</v>
      </c>
      <c r="E479" s="360">
        <v>2222</v>
      </c>
      <c r="F479" s="516"/>
      <c r="G479" s="360"/>
      <c r="H479" s="525"/>
      <c r="I479" s="360"/>
      <c r="J479" s="467">
        <f t="shared" si="36"/>
        <v>2222</v>
      </c>
      <c r="K479" s="475">
        <f t="shared" si="37"/>
        <v>4.9377777777777778</v>
      </c>
      <c r="L479" s="467">
        <v>1</v>
      </c>
      <c r="M479" s="919">
        <v>1016</v>
      </c>
      <c r="N479" s="920">
        <v>7</v>
      </c>
      <c r="O479" s="2829" t="s">
        <v>141</v>
      </c>
      <c r="P479" s="2830"/>
      <c r="Q479" s="947">
        <v>2</v>
      </c>
      <c r="R479" s="906">
        <v>3</v>
      </c>
      <c r="S479" s="913" t="s">
        <v>142</v>
      </c>
      <c r="T479" s="906">
        <v>605</v>
      </c>
      <c r="U479" s="432"/>
      <c r="V479" s="2630">
        <f>VLOOKUP(M479,'[1]TABELA FRETE'!$A$6:$B$12,2,0)</f>
        <v>425.7</v>
      </c>
      <c r="W479" s="2631"/>
      <c r="X479" s="2632"/>
      <c r="Y479" s="2633"/>
    </row>
    <row r="480" spans="2:25" s="299" customFormat="1" ht="48" customHeight="1">
      <c r="B480" s="463">
        <v>0.70833333333333304</v>
      </c>
      <c r="C480" s="326"/>
      <c r="D480" s="516">
        <v>7</v>
      </c>
      <c r="E480" s="360">
        <v>5500</v>
      </c>
      <c r="F480" s="516"/>
      <c r="G480" s="360"/>
      <c r="H480" s="525"/>
      <c r="I480" s="360"/>
      <c r="J480" s="467">
        <f t="shared" si="36"/>
        <v>5500</v>
      </c>
      <c r="K480" s="475">
        <f t="shared" si="37"/>
        <v>12.222222222222221</v>
      </c>
      <c r="L480" s="467">
        <v>1</v>
      </c>
      <c r="M480" s="594" t="s">
        <v>7</v>
      </c>
      <c r="N480" s="1180">
        <v>12</v>
      </c>
      <c r="O480" s="2928" t="s">
        <v>50</v>
      </c>
      <c r="P480" s="2928"/>
      <c r="Q480" s="596">
        <v>2</v>
      </c>
      <c r="R480" s="741">
        <v>2</v>
      </c>
      <c r="S480" s="1181" t="s">
        <v>234</v>
      </c>
      <c r="T480" s="407">
        <v>612</v>
      </c>
      <c r="U480" s="432"/>
      <c r="V480" s="339"/>
      <c r="W480" s="340"/>
      <c r="X480" s="865"/>
      <c r="Y480" s="866"/>
    </row>
    <row r="481" spans="2:25" s="299" customFormat="1" ht="48" customHeight="1">
      <c r="B481" s="463">
        <v>0.70833333333333304</v>
      </c>
      <c r="C481" s="326"/>
      <c r="D481" s="516">
        <v>7</v>
      </c>
      <c r="E481" s="360">
        <v>1187</v>
      </c>
      <c r="F481" s="516"/>
      <c r="G481" s="360"/>
      <c r="H481" s="474"/>
      <c r="I481" s="360"/>
      <c r="J481" s="467">
        <f t="shared" si="36"/>
        <v>1187</v>
      </c>
      <c r="K481" s="475">
        <f t="shared" si="37"/>
        <v>2.637777777777778</v>
      </c>
      <c r="L481" s="467">
        <v>1</v>
      </c>
      <c r="M481" s="367">
        <v>1016</v>
      </c>
      <c r="N481" s="1182">
        <v>7</v>
      </c>
      <c r="O481" s="643" t="s">
        <v>56</v>
      </c>
      <c r="P481" s="643"/>
      <c r="Q481" s="862">
        <v>1</v>
      </c>
      <c r="R481" s="638">
        <v>1</v>
      </c>
      <c r="S481" s="1183" t="s">
        <v>235</v>
      </c>
      <c r="T481" s="390">
        <v>663</v>
      </c>
      <c r="U481" s="307"/>
      <c r="V481" s="2630">
        <f>VLOOKUP(M481,'[1]TABELA FRETE'!$A$6:$B$12,2,0)</f>
        <v>425.7</v>
      </c>
      <c r="W481" s="2631"/>
      <c r="X481" s="2632"/>
      <c r="Y481" s="2633"/>
    </row>
    <row r="482" spans="2:25" s="299" customFormat="1" ht="48" customHeight="1">
      <c r="B482" s="358">
        <v>0.58333333333333304</v>
      </c>
      <c r="C482" s="326"/>
      <c r="D482" s="522">
        <v>48</v>
      </c>
      <c r="E482" s="392">
        <v>2045</v>
      </c>
      <c r="F482" s="393"/>
      <c r="G482" s="360"/>
      <c r="H482" s="363"/>
      <c r="I482" s="375"/>
      <c r="J482" s="365">
        <f t="shared" si="36"/>
        <v>2045</v>
      </c>
      <c r="K482" s="366">
        <f t="shared" si="37"/>
        <v>4.5444444444444443</v>
      </c>
      <c r="L482" s="365">
        <v>1</v>
      </c>
      <c r="M482" s="376">
        <v>1016</v>
      </c>
      <c r="N482" s="1177">
        <v>8</v>
      </c>
      <c r="O482" s="2628" t="s">
        <v>88</v>
      </c>
      <c r="P482" s="2629"/>
      <c r="Q482" s="407">
        <v>1</v>
      </c>
      <c r="R482" s="446">
        <v>1</v>
      </c>
      <c r="S482" s="1086" t="s">
        <v>89</v>
      </c>
      <c r="T482" s="407">
        <v>799</v>
      </c>
      <c r="U482" s="307"/>
      <c r="V482" s="2630">
        <f>VLOOKUP(M482,'[1]TABELA FRETE'!$A$6:$B$12,2,0)</f>
        <v>425.7</v>
      </c>
      <c r="W482" s="2631"/>
      <c r="X482" s="2632"/>
      <c r="Y482" s="2633"/>
    </row>
    <row r="483" spans="2:25" s="299" customFormat="1" ht="48" customHeight="1">
      <c r="B483" s="408">
        <v>0.70833333333333304</v>
      </c>
      <c r="C483" s="326"/>
      <c r="D483" s="542">
        <v>13</v>
      </c>
      <c r="E483" s="410">
        <v>1966</v>
      </c>
      <c r="F483" s="666"/>
      <c r="G483" s="544"/>
      <c r="H483" s="545"/>
      <c r="I483" s="544"/>
      <c r="J483" s="546">
        <f t="shared" si="36"/>
        <v>1966</v>
      </c>
      <c r="K483" s="547">
        <f t="shared" si="37"/>
        <v>4.3688888888888888</v>
      </c>
      <c r="L483" s="546">
        <v>1</v>
      </c>
      <c r="M483" s="667" t="s">
        <v>7</v>
      </c>
      <c r="N483" s="841">
        <v>12</v>
      </c>
      <c r="O483" s="2930" t="s">
        <v>68</v>
      </c>
      <c r="P483" s="2930"/>
      <c r="Q483" s="551">
        <v>1</v>
      </c>
      <c r="R483" s="842">
        <v>1</v>
      </c>
      <c r="S483" s="843" t="s">
        <v>174</v>
      </c>
      <c r="T483" s="710">
        <v>808</v>
      </c>
      <c r="U483" s="307"/>
      <c r="V483" s="2630">
        <f>VLOOKUP(M483,'[1]TABELA FRETE'!$D$7:$E$12,2,0)</f>
        <v>1161.5999999999999</v>
      </c>
      <c r="W483" s="2631"/>
      <c r="X483" s="2632"/>
      <c r="Y483" s="2633"/>
    </row>
    <row r="484" spans="2:25" s="299" customFormat="1" ht="49.5" customHeight="1">
      <c r="B484" s="554" t="s">
        <v>108</v>
      </c>
      <c r="C484" s="555"/>
      <c r="D484" s="556"/>
      <c r="E484" s="557">
        <f>SUM(E443:E483)</f>
        <v>110137</v>
      </c>
      <c r="F484" s="557" t="s">
        <v>109</v>
      </c>
      <c r="G484" s="557">
        <f>SUM(G443:G483)</f>
        <v>23075</v>
      </c>
      <c r="H484" s="557" t="s">
        <v>109</v>
      </c>
      <c r="I484" s="319">
        <f>SUM(I443:I483)</f>
        <v>0</v>
      </c>
      <c r="J484" s="319">
        <f t="shared" si="36"/>
        <v>133212</v>
      </c>
      <c r="K484" s="558">
        <f>SUM(K443:K483)</f>
        <v>283.98680555555558</v>
      </c>
      <c r="L484" s="559">
        <f>SUM(L443:L483)</f>
        <v>37</v>
      </c>
      <c r="M484" s="560" t="s">
        <v>110</v>
      </c>
      <c r="N484" s="554">
        <f>SUM(N443:N483)</f>
        <v>359</v>
      </c>
      <c r="O484" s="557" t="s">
        <v>32</v>
      </c>
      <c r="P484" s="557"/>
      <c r="Q484" s="319"/>
      <c r="R484" s="561">
        <f>SUM(R443:R483)</f>
        <v>71</v>
      </c>
      <c r="S484" s="562" t="s">
        <v>111</v>
      </c>
      <c r="T484" s="563"/>
      <c r="U484" s="307"/>
      <c r="V484" s="2558">
        <f>SUM(V443:W483)</f>
        <v>15318.600000000004</v>
      </c>
      <c r="W484" s="2559"/>
      <c r="X484" s="2564">
        <f>COUNT(X443:Y483)</f>
        <v>0</v>
      </c>
      <c r="Y484" s="2565"/>
    </row>
    <row r="485" spans="2:25" s="299" customFormat="1" ht="42" customHeight="1">
      <c r="B485" s="2895" t="s">
        <v>112</v>
      </c>
      <c r="C485" s="2896"/>
      <c r="D485" s="2896"/>
      <c r="E485" s="2896"/>
      <c r="F485" s="2896"/>
      <c r="G485" s="2896"/>
      <c r="H485" s="2896"/>
      <c r="I485" s="2896"/>
      <c r="J485" s="2896"/>
      <c r="K485" s="557">
        <v>44</v>
      </c>
      <c r="L485" s="2896" t="s">
        <v>113</v>
      </c>
      <c r="M485" s="2965"/>
      <c r="N485" s="3036" t="s">
        <v>114</v>
      </c>
      <c r="O485" s="3037"/>
      <c r="P485" s="3037"/>
      <c r="Q485" s="3037"/>
      <c r="R485" s="3038"/>
      <c r="S485" s="3036" t="s">
        <v>115</v>
      </c>
      <c r="T485" s="3038"/>
      <c r="U485" s="307"/>
      <c r="V485" s="2560"/>
      <c r="W485" s="2561"/>
      <c r="X485" s="2566"/>
      <c r="Y485" s="2567"/>
    </row>
    <row r="486" spans="2:25" s="299" customFormat="1" ht="3.95" customHeight="1">
      <c r="B486" s="2666" t="s">
        <v>116</v>
      </c>
      <c r="C486" s="2667"/>
      <c r="D486" s="2667"/>
      <c r="E486" s="2670">
        <f>L484</f>
        <v>37</v>
      </c>
      <c r="F486" s="2666" t="s">
        <v>30</v>
      </c>
      <c r="G486" s="2667"/>
      <c r="H486" s="2670">
        <f>J484</f>
        <v>133212</v>
      </c>
      <c r="I486" s="2671"/>
      <c r="J486" s="2667" t="s">
        <v>117</v>
      </c>
      <c r="K486" s="2671">
        <f>H486/E486</f>
        <v>3600.3243243243242</v>
      </c>
      <c r="L486" s="2670" t="s">
        <v>118</v>
      </c>
      <c r="M486" s="2670"/>
      <c r="N486" s="2670"/>
      <c r="O486" s="2671">
        <v>44</v>
      </c>
      <c r="P486" s="1184"/>
      <c r="Q486" s="1184"/>
      <c r="R486" s="1184"/>
      <c r="S486" s="1184"/>
      <c r="T486" s="1185"/>
      <c r="U486" s="307"/>
      <c r="V486" s="2562"/>
      <c r="W486" s="2563"/>
      <c r="X486" s="2568"/>
      <c r="Y486" s="2569"/>
    </row>
    <row r="487" spans="2:25" s="299" customFormat="1" ht="39" customHeight="1">
      <c r="B487" s="2668"/>
      <c r="C487" s="2669"/>
      <c r="D487" s="2669"/>
      <c r="E487" s="2672"/>
      <c r="F487" s="2668"/>
      <c r="G487" s="2669"/>
      <c r="H487" s="2672"/>
      <c r="I487" s="2673"/>
      <c r="J487" s="2669"/>
      <c r="K487" s="2673"/>
      <c r="L487" s="2672"/>
      <c r="M487" s="2672"/>
      <c r="N487" s="2672"/>
      <c r="O487" s="2673"/>
      <c r="P487" s="425"/>
      <c r="Q487" s="2663" t="s">
        <v>119</v>
      </c>
      <c r="R487" s="2664"/>
      <c r="S487" s="2664"/>
      <c r="T487" s="2665"/>
      <c r="U487" s="307"/>
      <c r="V487" s="2578" t="s">
        <v>120</v>
      </c>
      <c r="W487" s="2579"/>
      <c r="X487" s="2582" t="s">
        <v>121</v>
      </c>
      <c r="Y487" s="2583"/>
    </row>
    <row r="488" spans="2:25" s="299" customFormat="1" ht="45" customHeight="1">
      <c r="B488" s="2906" t="s">
        <v>122</v>
      </c>
      <c r="C488" s="2810" t="s">
        <v>33</v>
      </c>
      <c r="D488" s="2811"/>
      <c r="E488" s="2541" t="s">
        <v>123</v>
      </c>
      <c r="F488" s="2542"/>
      <c r="G488" s="2542"/>
      <c r="H488" s="2542"/>
      <c r="I488" s="2542"/>
      <c r="J488" s="2542"/>
      <c r="K488" s="2542"/>
      <c r="L488" s="2542"/>
      <c r="M488" s="2542"/>
      <c r="N488" s="2542"/>
      <c r="O488" s="2543"/>
      <c r="P488" s="1186"/>
      <c r="Q488" s="2680" t="s">
        <v>124</v>
      </c>
      <c r="R488" s="2681"/>
      <c r="S488" s="2681"/>
      <c r="T488" s="2682"/>
      <c r="U488" s="307"/>
      <c r="V488" s="2578"/>
      <c r="W488" s="2579"/>
      <c r="X488" s="2582"/>
      <c r="Y488" s="2583"/>
    </row>
    <row r="489" spans="2:25" s="299" customFormat="1" ht="45" customHeight="1">
      <c r="B489" s="2907"/>
      <c r="C489" s="2812"/>
      <c r="D489" s="2813"/>
      <c r="E489" s="2544"/>
      <c r="F489" s="2545"/>
      <c r="G489" s="2545"/>
      <c r="H489" s="2545"/>
      <c r="I489" s="2545"/>
      <c r="J489" s="2545"/>
      <c r="K489" s="2545"/>
      <c r="L489" s="2545"/>
      <c r="M489" s="2545"/>
      <c r="N489" s="2545"/>
      <c r="O489" s="2546"/>
      <c r="P489" s="1187"/>
      <c r="Q489" s="2683" t="s">
        <v>125</v>
      </c>
      <c r="R489" s="2684"/>
      <c r="S489" s="2684"/>
      <c r="T489" s="2685"/>
      <c r="U489" s="307"/>
      <c r="V489" s="2580"/>
      <c r="W489" s="2581"/>
      <c r="X489" s="2584"/>
      <c r="Y489" s="2585"/>
    </row>
    <row r="490" spans="2:25" s="299" customFormat="1" ht="45" customHeight="1">
      <c r="B490" s="1188" t="s">
        <v>9</v>
      </c>
      <c r="C490" s="3179">
        <f>COUNTIF(M443:M483,"kia")</f>
        <v>2</v>
      </c>
      <c r="D490" s="3180"/>
      <c r="E490" s="2547"/>
      <c r="F490" s="2548"/>
      <c r="G490" s="2548"/>
      <c r="H490" s="2548"/>
      <c r="I490" s="2548"/>
      <c r="J490" s="2548"/>
      <c r="K490" s="2548"/>
      <c r="L490" s="2548"/>
      <c r="M490" s="2548"/>
      <c r="N490" s="2548"/>
      <c r="O490" s="2549"/>
      <c r="P490" s="1187"/>
      <c r="Q490" s="2686" t="s">
        <v>126</v>
      </c>
      <c r="R490" s="2687"/>
      <c r="S490" s="2687"/>
      <c r="T490" s="2688"/>
      <c r="U490" s="307"/>
      <c r="V490" s="321"/>
      <c r="W490" s="321"/>
      <c r="X490" s="321"/>
      <c r="Y490" s="321"/>
    </row>
    <row r="491" spans="2:25" s="299" customFormat="1" ht="45" customHeight="1">
      <c r="B491" s="1189" t="s">
        <v>8</v>
      </c>
      <c r="C491" s="3175">
        <f>COUNTIF(M443:M483,"iveco")</f>
        <v>1</v>
      </c>
      <c r="D491" s="3176"/>
      <c r="E491" s="2586" t="s">
        <v>127</v>
      </c>
      <c r="F491" s="2587"/>
      <c r="G491" s="2587"/>
      <c r="H491" s="2587"/>
      <c r="I491" s="2587"/>
      <c r="J491" s="2587"/>
      <c r="K491" s="2587"/>
      <c r="L491" s="2587"/>
      <c r="M491" s="2587"/>
      <c r="N491" s="2587"/>
      <c r="O491" s="2588"/>
      <c r="P491" s="1187"/>
      <c r="Q491" s="2592" t="s">
        <v>128</v>
      </c>
      <c r="R491" s="2593"/>
      <c r="S491" s="2593"/>
      <c r="T491" s="2594"/>
      <c r="U491" s="307"/>
      <c r="V491" s="2689" t="s">
        <v>129</v>
      </c>
      <c r="W491" s="2690"/>
      <c r="X491" s="2690"/>
      <c r="Y491" s="2691"/>
    </row>
    <row r="492" spans="2:25" s="299" customFormat="1" ht="45" customHeight="1">
      <c r="B492" s="1189">
        <v>1016</v>
      </c>
      <c r="C492" s="3175">
        <f>COUNTIF(M443:M483,"1016")</f>
        <v>18</v>
      </c>
      <c r="D492" s="3176"/>
      <c r="E492" s="2589"/>
      <c r="F492" s="2590"/>
      <c r="G492" s="2590"/>
      <c r="H492" s="2590"/>
      <c r="I492" s="2590"/>
      <c r="J492" s="2590"/>
      <c r="K492" s="2590"/>
      <c r="L492" s="2590"/>
      <c r="M492" s="2590"/>
      <c r="N492" s="2590"/>
      <c r="O492" s="2591"/>
      <c r="P492" s="1187"/>
      <c r="Q492" s="2595"/>
      <c r="R492" s="2596"/>
      <c r="S492" s="2596"/>
      <c r="T492" s="2597"/>
      <c r="U492" s="307"/>
      <c r="V492" s="2601" t="s">
        <v>130</v>
      </c>
      <c r="W492" s="2602"/>
      <c r="X492" s="2602"/>
      <c r="Y492" s="2603"/>
    </row>
    <row r="493" spans="2:25" s="299" customFormat="1" ht="45" customHeight="1">
      <c r="B493" s="1189" t="s">
        <v>7</v>
      </c>
      <c r="C493" s="3175">
        <f>COUNTIF(M443:M483,"toco")</f>
        <v>13</v>
      </c>
      <c r="D493" s="3176"/>
      <c r="E493" s="2607" t="s">
        <v>131</v>
      </c>
      <c r="F493" s="2608"/>
      <c r="G493" s="2608"/>
      <c r="H493" s="2608"/>
      <c r="I493" s="2608"/>
      <c r="J493" s="2608"/>
      <c r="K493" s="2608"/>
      <c r="L493" s="2608"/>
      <c r="M493" s="2608"/>
      <c r="N493" s="2608"/>
      <c r="O493" s="2609"/>
      <c r="P493" s="1186"/>
      <c r="Q493" s="2598"/>
      <c r="R493" s="2599"/>
      <c r="S493" s="2599"/>
      <c r="T493" s="2600"/>
      <c r="U493" s="307"/>
      <c r="V493" s="2604"/>
      <c r="W493" s="2605"/>
      <c r="X493" s="2605"/>
      <c r="Y493" s="2606"/>
    </row>
    <row r="494" spans="2:25" s="299" customFormat="1" ht="45" customHeight="1">
      <c r="B494" s="1190" t="s">
        <v>6</v>
      </c>
      <c r="C494" s="3177">
        <f>COUNTIF(M443:M483,"truck")</f>
        <v>4</v>
      </c>
      <c r="D494" s="3178"/>
      <c r="E494" s="2555"/>
      <c r="F494" s="2556"/>
      <c r="G494" s="2556"/>
      <c r="H494" s="2556"/>
      <c r="I494" s="2556"/>
      <c r="J494" s="2556"/>
      <c r="K494" s="2556"/>
      <c r="L494" s="2556"/>
      <c r="M494" s="2556"/>
      <c r="N494" s="2556"/>
      <c r="O494" s="2557"/>
      <c r="P494" s="1186"/>
      <c r="Q494" s="2610" t="s">
        <v>132</v>
      </c>
      <c r="R494" s="2611"/>
      <c r="S494" s="2611"/>
      <c r="T494" s="2612"/>
      <c r="U494" s="307"/>
      <c r="V494" s="2616" t="s">
        <v>133</v>
      </c>
      <c r="W494" s="2617"/>
      <c r="X494" s="2622">
        <f>SUM(E443:E483,G443:G483,I443:I483)</f>
        <v>133212</v>
      </c>
      <c r="Y494" s="2623"/>
    </row>
    <row r="495" spans="2:25" s="299" customFormat="1" ht="45" customHeight="1">
      <c r="B495" s="2906" t="s">
        <v>134</v>
      </c>
      <c r="C495" s="2812">
        <f>SUM(C490:D494)</f>
        <v>38</v>
      </c>
      <c r="D495" s="2813"/>
      <c r="E495" s="2552" t="s">
        <v>135</v>
      </c>
      <c r="F495" s="2553"/>
      <c r="G495" s="2553"/>
      <c r="H495" s="2553"/>
      <c r="I495" s="2553"/>
      <c r="J495" s="2553"/>
      <c r="K495" s="2553"/>
      <c r="L495" s="2553"/>
      <c r="M495" s="2553"/>
      <c r="N495" s="2553"/>
      <c r="O495" s="2554"/>
      <c r="P495" s="1191"/>
      <c r="Q495" s="2610"/>
      <c r="R495" s="2611"/>
      <c r="S495" s="2611"/>
      <c r="T495" s="2612"/>
      <c r="U495" s="574"/>
      <c r="V495" s="2618"/>
      <c r="W495" s="2619"/>
      <c r="X495" s="2624"/>
      <c r="Y495" s="2625"/>
    </row>
    <row r="496" spans="2:25" s="299" customFormat="1" ht="45" customHeight="1">
      <c r="B496" s="2907"/>
      <c r="C496" s="2861"/>
      <c r="D496" s="2862"/>
      <c r="E496" s="2555"/>
      <c r="F496" s="2556"/>
      <c r="G496" s="2556"/>
      <c r="H496" s="2556"/>
      <c r="I496" s="2556"/>
      <c r="J496" s="2556"/>
      <c r="K496" s="2556"/>
      <c r="L496" s="2556"/>
      <c r="M496" s="2556"/>
      <c r="N496" s="2556"/>
      <c r="O496" s="2557"/>
      <c r="P496" s="1192"/>
      <c r="Q496" s="2610"/>
      <c r="R496" s="2611"/>
      <c r="S496" s="2611"/>
      <c r="T496" s="2612"/>
      <c r="U496" s="574"/>
      <c r="V496" s="2618"/>
      <c r="W496" s="2619"/>
      <c r="X496" s="2624"/>
      <c r="Y496" s="2625"/>
    </row>
    <row r="497" spans="1:26" s="300" customFormat="1" ht="45" customHeight="1">
      <c r="B497" s="1193" t="s">
        <v>136</v>
      </c>
      <c r="C497" s="2847" t="s">
        <v>137</v>
      </c>
      <c r="D497" s="2848"/>
      <c r="E497" s="2848"/>
      <c r="F497" s="2848"/>
      <c r="G497" s="2848"/>
      <c r="H497" s="2848"/>
      <c r="I497" s="2848"/>
      <c r="J497" s="2848"/>
      <c r="K497" s="2848"/>
      <c r="L497" s="2848"/>
      <c r="M497" s="2848"/>
      <c r="N497" s="2848"/>
      <c r="O497" s="2849"/>
      <c r="P497" s="1192"/>
      <c r="Q497" s="2613"/>
      <c r="R497" s="2614"/>
      <c r="S497" s="2614"/>
      <c r="T497" s="2615"/>
      <c r="V497" s="2620"/>
      <c r="W497" s="2621"/>
      <c r="X497" s="2626"/>
      <c r="Y497" s="2627"/>
    </row>
    <row r="500" spans="1:26" s="306" customFormat="1"/>
    <row r="501" spans="1:26" s="306" customFormat="1"/>
    <row r="502" spans="1:26" ht="45" customHeight="1">
      <c r="A502" s="577"/>
      <c r="B502" s="2799"/>
      <c r="C502" s="2800"/>
      <c r="D502" s="2800"/>
      <c r="E502" s="2800"/>
      <c r="F502" s="2800"/>
      <c r="G502" s="2800"/>
      <c r="H502" s="2800"/>
      <c r="I502" s="2801"/>
      <c r="J502" s="2876" t="s">
        <v>18</v>
      </c>
      <c r="K502" s="2877"/>
      <c r="L502" s="2877"/>
      <c r="M502" s="2877"/>
      <c r="N502" s="2877"/>
      <c r="O502" s="2877"/>
      <c r="P502" s="2877"/>
      <c r="Q502" s="2878"/>
      <c r="R502" s="2718">
        <v>46151</v>
      </c>
      <c r="S502" s="2719"/>
      <c r="T502" s="2720"/>
      <c r="U502" s="578"/>
      <c r="V502" s="2704" t="s">
        <v>19</v>
      </c>
      <c r="W502" s="2705"/>
      <c r="X502" s="2705"/>
      <c r="Y502" s="2706"/>
      <c r="Z502" s="577"/>
    </row>
    <row r="503" spans="1:26" ht="39.950000000000003" customHeight="1">
      <c r="A503" s="577"/>
      <c r="B503" s="2802"/>
      <c r="C503" s="2803"/>
      <c r="D503" s="2803"/>
      <c r="E503" s="2803"/>
      <c r="F503" s="2803"/>
      <c r="G503" s="2803"/>
      <c r="H503" s="2803"/>
      <c r="I503" s="2804"/>
      <c r="J503" s="2724" t="s">
        <v>20</v>
      </c>
      <c r="K503" s="2725"/>
      <c r="L503" s="2725"/>
      <c r="M503" s="2725"/>
      <c r="N503" s="2725"/>
      <c r="O503" s="2725"/>
      <c r="P503" s="2725"/>
      <c r="Q503" s="2726"/>
      <c r="R503" s="2721"/>
      <c r="S503" s="2722"/>
      <c r="T503" s="2723"/>
      <c r="U503" s="578"/>
      <c r="V503" s="2707"/>
      <c r="W503" s="2708"/>
      <c r="X503" s="2708"/>
      <c r="Y503" s="2709"/>
      <c r="Z503" s="577"/>
    </row>
    <row r="504" spans="1:26" ht="6" customHeight="1">
      <c r="A504" s="577"/>
      <c r="B504" s="579"/>
      <c r="C504" s="579"/>
      <c r="D504" s="579"/>
      <c r="E504" s="579"/>
      <c r="F504" s="579"/>
      <c r="G504" s="579"/>
      <c r="H504" s="579"/>
      <c r="I504" s="579"/>
      <c r="J504" s="2727"/>
      <c r="K504" s="2728"/>
      <c r="L504" s="2728"/>
      <c r="M504" s="2728"/>
      <c r="N504" s="2728"/>
      <c r="O504" s="2728"/>
      <c r="P504" s="2728"/>
      <c r="Q504" s="2729"/>
      <c r="R504" s="580"/>
      <c r="S504" s="581"/>
      <c r="T504" s="582"/>
      <c r="U504" s="578"/>
      <c r="V504" s="583"/>
      <c r="W504" s="583"/>
      <c r="X504" s="583"/>
      <c r="Y504" s="583"/>
      <c r="Z504" s="577"/>
    </row>
    <row r="505" spans="1:26" s="302" customFormat="1" ht="48.95" customHeight="1">
      <c r="A505" s="584"/>
      <c r="B505" s="2881" t="s">
        <v>22</v>
      </c>
      <c r="C505" s="315"/>
      <c r="D505" s="2853" t="s">
        <v>23</v>
      </c>
      <c r="E505" s="2854"/>
      <c r="F505" s="2853" t="s">
        <v>24</v>
      </c>
      <c r="G505" s="2854"/>
      <c r="H505" s="2853" t="s">
        <v>25</v>
      </c>
      <c r="I505" s="2854"/>
      <c r="J505" s="2730"/>
      <c r="K505" s="2731"/>
      <c r="L505" s="2731"/>
      <c r="M505" s="2731"/>
      <c r="N505" s="2731"/>
      <c r="O505" s="2731"/>
      <c r="P505" s="2731"/>
      <c r="Q505" s="2732"/>
      <c r="R505" s="3034" t="s">
        <v>26</v>
      </c>
      <c r="S505" s="3035"/>
      <c r="T505" s="585">
        <f>L577</f>
        <v>53</v>
      </c>
      <c r="U505" s="322"/>
      <c r="V505" s="2525" t="s">
        <v>27</v>
      </c>
      <c r="W505" s="2526"/>
      <c r="X505" s="2525" t="s">
        <v>28</v>
      </c>
      <c r="Y505" s="2526"/>
      <c r="Z505" s="583"/>
    </row>
    <row r="506" spans="1:26" s="302" customFormat="1" ht="51.95" customHeight="1">
      <c r="A506" s="584"/>
      <c r="B506" s="2882"/>
      <c r="C506" s="315"/>
      <c r="D506" s="323" t="s">
        <v>30</v>
      </c>
      <c r="E506" s="323" t="s">
        <v>29</v>
      </c>
      <c r="F506" s="323" t="s">
        <v>30</v>
      </c>
      <c r="G506" s="323" t="s">
        <v>29</v>
      </c>
      <c r="H506" s="323" t="s">
        <v>30</v>
      </c>
      <c r="I506" s="317" t="s">
        <v>138</v>
      </c>
      <c r="J506" s="317" t="s">
        <v>31</v>
      </c>
      <c r="K506" s="323" t="s">
        <v>32</v>
      </c>
      <c r="L506" s="323" t="s">
        <v>33</v>
      </c>
      <c r="M506" s="323" t="s">
        <v>34</v>
      </c>
      <c r="N506" s="323" t="s">
        <v>32</v>
      </c>
      <c r="O506" s="2853" t="s">
        <v>35</v>
      </c>
      <c r="P506" s="2854"/>
      <c r="Q506" s="323" t="s">
        <v>36</v>
      </c>
      <c r="R506" s="323" t="s">
        <v>37</v>
      </c>
      <c r="S506" s="323" t="s">
        <v>38</v>
      </c>
      <c r="T506" s="324" t="s">
        <v>39</v>
      </c>
      <c r="U506" s="322"/>
      <c r="V506" s="2710"/>
      <c r="W506" s="2711"/>
      <c r="X506" s="2710"/>
      <c r="Y506" s="2711"/>
      <c r="Z506" s="583"/>
    </row>
    <row r="507" spans="1:26" ht="48.75" customHeight="1">
      <c r="A507" s="577"/>
      <c r="B507" s="325">
        <v>0.41666666666666702</v>
      </c>
      <c r="C507" s="326"/>
      <c r="D507" s="327">
        <v>28</v>
      </c>
      <c r="E507" s="328">
        <v>1315</v>
      </c>
      <c r="F507" s="586"/>
      <c r="G507" s="330"/>
      <c r="H507" s="587"/>
      <c r="I507" s="330"/>
      <c r="J507" s="332">
        <f>E507+G507+I507</f>
        <v>1315</v>
      </c>
      <c r="K507" s="333">
        <f>J507/450</f>
        <v>2.9222222222222221</v>
      </c>
      <c r="L507" s="332">
        <v>1</v>
      </c>
      <c r="M507" s="1092">
        <v>1016</v>
      </c>
      <c r="N507" s="1093">
        <v>7</v>
      </c>
      <c r="O507" s="3170" t="s">
        <v>141</v>
      </c>
      <c r="P507" s="3174"/>
      <c r="Q507" s="853">
        <v>2</v>
      </c>
      <c r="R507" s="939">
        <v>2</v>
      </c>
      <c r="S507" s="855" t="s">
        <v>142</v>
      </c>
      <c r="T507" s="939">
        <v>605</v>
      </c>
      <c r="U507" s="590"/>
      <c r="V507" s="2630">
        <f>VLOOKUP(M507,'[1]TABELA FRETE'!$A$6:$B$12,2,0)</f>
        <v>425.7</v>
      </c>
      <c r="W507" s="2631"/>
      <c r="X507" s="2694"/>
      <c r="Y507" s="2695"/>
      <c r="Z507" s="577"/>
    </row>
    <row r="508" spans="1:26" ht="51.75" customHeight="1">
      <c r="A508" s="577"/>
      <c r="B508" s="343">
        <v>0.41666666666666702</v>
      </c>
      <c r="C508" s="326"/>
      <c r="D508" s="359">
        <v>29</v>
      </c>
      <c r="E508" s="375">
        <v>2798</v>
      </c>
      <c r="F508" s="361"/>
      <c r="G508" s="360"/>
      <c r="H508" s="363"/>
      <c r="I508" s="375"/>
      <c r="J508" s="365">
        <f>E508+G508+I508</f>
        <v>2798</v>
      </c>
      <c r="K508" s="366">
        <f>J508/450</f>
        <v>6.2177777777777781</v>
      </c>
      <c r="L508" s="365">
        <v>1</v>
      </c>
      <c r="M508" s="869">
        <v>1016</v>
      </c>
      <c r="N508" s="870">
        <v>7</v>
      </c>
      <c r="O508" s="2628" t="s">
        <v>56</v>
      </c>
      <c r="P508" s="2629"/>
      <c r="Q508" s="388">
        <v>1</v>
      </c>
      <c r="R508" s="451">
        <v>1</v>
      </c>
      <c r="S508" s="871" t="s">
        <v>57</v>
      </c>
      <c r="T508" s="451">
        <v>663</v>
      </c>
      <c r="U508" s="590"/>
      <c r="V508" s="2630">
        <f>VLOOKUP(M508,'[1]TABELA FRETE'!$A$6:$B$12,2,0)</f>
        <v>425.7</v>
      </c>
      <c r="W508" s="2631"/>
      <c r="X508" s="2694"/>
      <c r="Y508" s="2695"/>
      <c r="Z508" s="577"/>
    </row>
    <row r="509" spans="1:26" ht="48.75" customHeight="1">
      <c r="A509" s="577"/>
      <c r="B509" s="463">
        <v>0.41666666666666702</v>
      </c>
      <c r="C509" s="326"/>
      <c r="D509" s="344">
        <v>11</v>
      </c>
      <c r="E509" s="345">
        <v>2392</v>
      </c>
      <c r="F509" s="592"/>
      <c r="G509" s="349"/>
      <c r="H509" s="593"/>
      <c r="I509" s="349"/>
      <c r="J509" s="365">
        <f>E509+G509+I509</f>
        <v>2392</v>
      </c>
      <c r="K509" s="366">
        <f>J509/450</f>
        <v>5.3155555555555551</v>
      </c>
      <c r="L509" s="350">
        <v>1</v>
      </c>
      <c r="M509" s="1004" t="s">
        <v>8</v>
      </c>
      <c r="N509" s="1005">
        <v>4</v>
      </c>
      <c r="O509" s="2692" t="s">
        <v>96</v>
      </c>
      <c r="P509" s="2693"/>
      <c r="Q509" s="388">
        <v>2</v>
      </c>
      <c r="R509" s="1007">
        <v>2</v>
      </c>
      <c r="S509" s="1160" t="s">
        <v>236</v>
      </c>
      <c r="T509" s="1009">
        <v>456</v>
      </c>
      <c r="U509" s="590"/>
      <c r="V509" s="2630">
        <f>VLOOKUP(M509,'[1]TABELA FRETE'!$A$6:$B$12,2,0)</f>
        <v>286</v>
      </c>
      <c r="W509" s="2631"/>
      <c r="X509" s="2694"/>
      <c r="Y509" s="2695"/>
      <c r="Z509" s="577"/>
    </row>
    <row r="510" spans="1:26" ht="48.75" customHeight="1">
      <c r="A510" s="577"/>
      <c r="B510" s="408">
        <v>0.41666666666666702</v>
      </c>
      <c r="C510" s="326"/>
      <c r="D510" s="599">
        <v>11</v>
      </c>
      <c r="E510" s="600">
        <v>2000</v>
      </c>
      <c r="F510" s="601"/>
      <c r="G510" s="602"/>
      <c r="H510" s="603"/>
      <c r="I510" s="602"/>
      <c r="J510" s="480">
        <f>E510+G510+I510</f>
        <v>2000</v>
      </c>
      <c r="K510" s="481">
        <f>J510/450</f>
        <v>4.4444444444444446</v>
      </c>
      <c r="L510" s="480">
        <v>1</v>
      </c>
      <c r="M510" s="878">
        <v>1016</v>
      </c>
      <c r="N510" s="879">
        <v>6</v>
      </c>
      <c r="O510" s="2831" t="s">
        <v>203</v>
      </c>
      <c r="P510" s="2832"/>
      <c r="Q510" s="882">
        <v>1</v>
      </c>
      <c r="R510" s="881">
        <v>1</v>
      </c>
      <c r="S510" s="883" t="s">
        <v>237</v>
      </c>
      <c r="T510" s="881">
        <v>807</v>
      </c>
      <c r="U510" s="590"/>
      <c r="V510" s="2630">
        <f>VLOOKUP(M510,'[1]TABELA FRETE'!$A$6:$B$12,2,0)</f>
        <v>425.7</v>
      </c>
      <c r="W510" s="2631"/>
      <c r="X510" s="2694"/>
      <c r="Y510" s="2695"/>
      <c r="Z510" s="577"/>
    </row>
    <row r="511" spans="1:26" ht="6" customHeight="1">
      <c r="A511" s="577"/>
      <c r="B511" s="609"/>
      <c r="C511" s="609"/>
      <c r="D511" s="610"/>
      <c r="E511" s="611"/>
      <c r="F511" s="612"/>
      <c r="G511" s="613"/>
      <c r="H511" s="613"/>
      <c r="I511" s="613"/>
      <c r="J511" s="613"/>
      <c r="K511" s="614"/>
      <c r="L511" s="613"/>
      <c r="M511" s="615"/>
      <c r="N511" s="616"/>
      <c r="O511" s="615"/>
      <c r="P511" s="615"/>
      <c r="Q511" s="617"/>
      <c r="R511" s="618"/>
      <c r="S511" s="619"/>
      <c r="T511" s="620"/>
      <c r="U511" s="590"/>
      <c r="V511" s="3014"/>
      <c r="W511" s="3014"/>
      <c r="X511" s="3015"/>
      <c r="Y511" s="3015"/>
      <c r="Z511" s="577"/>
    </row>
    <row r="512" spans="1:26" ht="51.75" customHeight="1">
      <c r="A512" s="577"/>
      <c r="B512" s="325">
        <v>0.5</v>
      </c>
      <c r="C512" s="326"/>
      <c r="D512" s="621">
        <v>8</v>
      </c>
      <c r="E512" s="328">
        <v>5538</v>
      </c>
      <c r="F512" s="329"/>
      <c r="G512" s="492"/>
      <c r="H512" s="438"/>
      <c r="I512" s="492"/>
      <c r="J512" s="332">
        <f t="shared" ref="J512:J551" si="38">E512+G512+I512</f>
        <v>5538</v>
      </c>
      <c r="K512" s="333">
        <f t="shared" ref="K512:K551" si="39">J512/450</f>
        <v>12.306666666666667</v>
      </c>
      <c r="L512" s="332">
        <v>1</v>
      </c>
      <c r="M512" s="850" t="s">
        <v>7</v>
      </c>
      <c r="N512" s="851">
        <v>12</v>
      </c>
      <c r="O512" s="3170" t="s">
        <v>50</v>
      </c>
      <c r="P512" s="3174"/>
      <c r="Q512" s="854">
        <v>2</v>
      </c>
      <c r="R512" s="854">
        <v>2</v>
      </c>
      <c r="S512" s="1147" t="s">
        <v>238</v>
      </c>
      <c r="T512" s="852">
        <v>612</v>
      </c>
      <c r="U512" s="590"/>
      <c r="V512" s="2630">
        <f>VLOOKUP(M512,'[1]TABELA FRETE'!$A$6:$B$12,2,0)</f>
        <v>466.4</v>
      </c>
      <c r="W512" s="2631"/>
      <c r="X512" s="2694"/>
      <c r="Y512" s="2695"/>
      <c r="Z512" s="577"/>
    </row>
    <row r="513" spans="1:26" ht="51.75" customHeight="1">
      <c r="A513" s="577"/>
      <c r="B513" s="343">
        <v>0.5</v>
      </c>
      <c r="C513" s="326"/>
      <c r="D513" s="627">
        <v>8</v>
      </c>
      <c r="E513" s="345">
        <v>5500</v>
      </c>
      <c r="F513" s="628"/>
      <c r="G513" s="455"/>
      <c r="H513" s="348"/>
      <c r="I513" s="455"/>
      <c r="J513" s="365">
        <f t="shared" si="38"/>
        <v>5500</v>
      </c>
      <c r="K513" s="366">
        <f t="shared" si="39"/>
        <v>12.222222222222221</v>
      </c>
      <c r="L513" s="365">
        <v>1</v>
      </c>
      <c r="M513" s="919" t="s">
        <v>7</v>
      </c>
      <c r="N513" s="920">
        <v>12</v>
      </c>
      <c r="O513" s="2827" t="s">
        <v>224</v>
      </c>
      <c r="P513" s="3163"/>
      <c r="Q513" s="906">
        <v>1</v>
      </c>
      <c r="R513" s="906">
        <v>1</v>
      </c>
      <c r="S513" s="913" t="s">
        <v>239</v>
      </c>
      <c r="T513" s="906">
        <v>782</v>
      </c>
      <c r="U513" s="590"/>
      <c r="V513" s="2630">
        <f>VLOOKUP(M513,'[1]TABELA FRETE'!$A$6:$B$12,2,0)</f>
        <v>466.4</v>
      </c>
      <c r="W513" s="2631"/>
      <c r="X513" s="2694"/>
      <c r="Y513" s="2695"/>
      <c r="Z513" s="577"/>
    </row>
    <row r="514" spans="1:26" ht="51.75" customHeight="1">
      <c r="A514" s="577"/>
      <c r="B514" s="343">
        <v>0.5</v>
      </c>
      <c r="C514" s="326"/>
      <c r="D514" s="662">
        <v>1</v>
      </c>
      <c r="E514" s="345">
        <v>3604</v>
      </c>
      <c r="F514" s="361"/>
      <c r="G514" s="360"/>
      <c r="H514" s="348"/>
      <c r="I514" s="455"/>
      <c r="J514" s="365">
        <f t="shared" si="38"/>
        <v>3604</v>
      </c>
      <c r="K514" s="366">
        <f t="shared" si="39"/>
        <v>8.0088888888888885</v>
      </c>
      <c r="L514" s="365">
        <v>1</v>
      </c>
      <c r="M514" s="909">
        <v>1016</v>
      </c>
      <c r="N514" s="910">
        <v>10</v>
      </c>
      <c r="O514" s="2827" t="s">
        <v>81</v>
      </c>
      <c r="P514" s="3163"/>
      <c r="Q514" s="906">
        <v>2</v>
      </c>
      <c r="R514" s="906">
        <v>2</v>
      </c>
      <c r="S514" s="913" t="s">
        <v>82</v>
      </c>
      <c r="T514" s="906">
        <v>606</v>
      </c>
      <c r="U514" s="590"/>
      <c r="V514" s="2630">
        <f>VLOOKUP(M514,'[1]TABELA FRETE'!$A$6:$B$12,2,0)</f>
        <v>425.7</v>
      </c>
      <c r="W514" s="2631"/>
      <c r="X514" s="2694"/>
      <c r="Y514" s="2695"/>
      <c r="Z514" s="577"/>
    </row>
    <row r="515" spans="1:26" ht="51.75" customHeight="1">
      <c r="A515" s="577"/>
      <c r="B515" s="343">
        <v>0.5</v>
      </c>
      <c r="C515" s="326"/>
      <c r="D515" s="662">
        <v>14</v>
      </c>
      <c r="E515" s="345">
        <v>2984</v>
      </c>
      <c r="F515" s="628"/>
      <c r="G515" s="455"/>
      <c r="H515" s="348"/>
      <c r="I515" s="455"/>
      <c r="J515" s="350">
        <f t="shared" si="38"/>
        <v>2984</v>
      </c>
      <c r="K515" s="351">
        <f t="shared" si="39"/>
        <v>6.6311111111111112</v>
      </c>
      <c r="L515" s="350">
        <v>1</v>
      </c>
      <c r="M515" s="919">
        <v>1016</v>
      </c>
      <c r="N515" s="920">
        <v>6</v>
      </c>
      <c r="O515" s="2827" t="s">
        <v>139</v>
      </c>
      <c r="P515" s="3163"/>
      <c r="Q515" s="906">
        <v>1</v>
      </c>
      <c r="R515" s="906">
        <v>1</v>
      </c>
      <c r="S515" s="913" t="s">
        <v>140</v>
      </c>
      <c r="T515" s="906">
        <v>809</v>
      </c>
      <c r="U515" s="590"/>
      <c r="V515" s="2630">
        <f>VLOOKUP(M515,'[1]TABELA FRETE'!$A$6:$B$12,2,0)</f>
        <v>425.7</v>
      </c>
      <c r="W515" s="2631"/>
      <c r="X515" s="2694"/>
      <c r="Y515" s="2695"/>
      <c r="Z515" s="577"/>
    </row>
    <row r="516" spans="1:26" ht="51.75" customHeight="1">
      <c r="A516" s="577"/>
      <c r="B516" s="343">
        <v>0.5</v>
      </c>
      <c r="C516" s="326"/>
      <c r="D516" s="637">
        <v>9</v>
      </c>
      <c r="E516" s="360">
        <v>3429</v>
      </c>
      <c r="F516" s="374"/>
      <c r="G516" s="375"/>
      <c r="H516" s="363"/>
      <c r="I516" s="375"/>
      <c r="J516" s="365">
        <f t="shared" si="38"/>
        <v>3429</v>
      </c>
      <c r="K516" s="366">
        <f t="shared" si="39"/>
        <v>7.62</v>
      </c>
      <c r="L516" s="365">
        <v>1</v>
      </c>
      <c r="M516" s="1098" t="s">
        <v>7</v>
      </c>
      <c r="N516" s="1099">
        <v>10</v>
      </c>
      <c r="O516" s="3166" t="s">
        <v>48</v>
      </c>
      <c r="P516" s="3167"/>
      <c r="Q516" s="1101">
        <v>1</v>
      </c>
      <c r="R516" s="1101">
        <v>1</v>
      </c>
      <c r="S516" s="1194" t="s">
        <v>240</v>
      </c>
      <c r="T516" s="1101">
        <v>353</v>
      </c>
      <c r="U516" s="590"/>
      <c r="V516" s="2630">
        <f>VLOOKUP(M516,'[1]TABELA FRETE'!$A$6:$B$12,2,0)</f>
        <v>466.4</v>
      </c>
      <c r="W516" s="2631"/>
      <c r="X516" s="2694"/>
      <c r="Y516" s="2695"/>
      <c r="Z516" s="577"/>
    </row>
    <row r="517" spans="1:26" ht="51.75" customHeight="1">
      <c r="A517" s="577"/>
      <c r="B517" s="343">
        <v>0.5</v>
      </c>
      <c r="C517" s="326"/>
      <c r="D517" s="637">
        <v>38</v>
      </c>
      <c r="E517" s="360">
        <v>4978</v>
      </c>
      <c r="F517" s="374"/>
      <c r="G517" s="375"/>
      <c r="H517" s="363"/>
      <c r="I517" s="375"/>
      <c r="J517" s="365">
        <f t="shared" si="38"/>
        <v>4978</v>
      </c>
      <c r="K517" s="366">
        <f t="shared" si="39"/>
        <v>11.062222222222223</v>
      </c>
      <c r="L517" s="365">
        <v>1</v>
      </c>
      <c r="M517" s="901" t="s">
        <v>7</v>
      </c>
      <c r="N517" s="902">
        <v>12</v>
      </c>
      <c r="O517" s="2829" t="s">
        <v>146</v>
      </c>
      <c r="P517" s="3172"/>
      <c r="Q517" s="1013">
        <v>1</v>
      </c>
      <c r="R517" s="1013">
        <v>1</v>
      </c>
      <c r="S517" s="913" t="s">
        <v>147</v>
      </c>
      <c r="T517" s="967">
        <v>91</v>
      </c>
      <c r="U517" s="590"/>
      <c r="V517" s="2630">
        <f>VLOOKUP(M517,'[1]TABELA FRETE'!$A$6:$B$12,2,0)</f>
        <v>466.4</v>
      </c>
      <c r="W517" s="2631"/>
      <c r="X517" s="2694"/>
      <c r="Y517" s="2695"/>
      <c r="Z517" s="577"/>
    </row>
    <row r="518" spans="1:26" ht="51.75" customHeight="1">
      <c r="A518" s="577"/>
      <c r="B518" s="343">
        <v>0.5</v>
      </c>
      <c r="C518" s="326"/>
      <c r="D518" s="637">
        <v>12</v>
      </c>
      <c r="E518" s="360">
        <v>3270</v>
      </c>
      <c r="F518" s="401"/>
      <c r="G518" s="375"/>
      <c r="H518" s="363"/>
      <c r="I518" s="375"/>
      <c r="J518" s="365">
        <f t="shared" si="38"/>
        <v>3270</v>
      </c>
      <c r="K518" s="366">
        <f t="shared" si="39"/>
        <v>7.2666666666666666</v>
      </c>
      <c r="L518" s="365">
        <v>1</v>
      </c>
      <c r="M518" s="1098" t="s">
        <v>7</v>
      </c>
      <c r="N518" s="1099">
        <v>10</v>
      </c>
      <c r="O518" s="3166" t="s">
        <v>241</v>
      </c>
      <c r="P518" s="3167"/>
      <c r="Q518" s="1101">
        <v>1</v>
      </c>
      <c r="R518" s="1101">
        <v>1</v>
      </c>
      <c r="S518" s="1194" t="s">
        <v>242</v>
      </c>
      <c r="T518" s="1101">
        <v>353</v>
      </c>
      <c r="U518" s="590"/>
      <c r="V518" s="2630">
        <f>VLOOKUP(M518,'[1]TABELA FRETE'!$A$6:$B$12,2,0)</f>
        <v>466.4</v>
      </c>
      <c r="W518" s="2631"/>
      <c r="X518" s="2694"/>
      <c r="Y518" s="2695"/>
      <c r="Z518" s="577"/>
    </row>
    <row r="519" spans="1:26" ht="51.75" customHeight="1">
      <c r="A519" s="577"/>
      <c r="B519" s="343">
        <v>0.5</v>
      </c>
      <c r="C519" s="326"/>
      <c r="D519" s="637">
        <v>34</v>
      </c>
      <c r="E519" s="360">
        <v>5652</v>
      </c>
      <c r="F519" s="374"/>
      <c r="G519" s="375"/>
      <c r="H519" s="363"/>
      <c r="I519" s="375"/>
      <c r="J519" s="365">
        <f t="shared" si="38"/>
        <v>5652</v>
      </c>
      <c r="K519" s="366">
        <f>J519/460</f>
        <v>12.28695652173913</v>
      </c>
      <c r="L519" s="365">
        <v>1</v>
      </c>
      <c r="M519" s="1060" t="s">
        <v>7</v>
      </c>
      <c r="N519" s="1079">
        <v>12</v>
      </c>
      <c r="O519" s="2825" t="s">
        <v>68</v>
      </c>
      <c r="P519" s="3173"/>
      <c r="Q519" s="1144">
        <v>1</v>
      </c>
      <c r="R519" s="1080">
        <v>1</v>
      </c>
      <c r="S519" s="1145" t="s">
        <v>243</v>
      </c>
      <c r="T519" s="1065">
        <v>808</v>
      </c>
      <c r="U519" s="590"/>
      <c r="V519" s="2630">
        <f>VLOOKUP(M519,'[1]TABELA FRETE'!$A$6:$B$12,2,0)</f>
        <v>466.4</v>
      </c>
      <c r="W519" s="2631"/>
      <c r="X519" s="2694"/>
      <c r="Y519" s="2695"/>
      <c r="Z519" s="577"/>
    </row>
    <row r="520" spans="1:26" ht="51.75" customHeight="1">
      <c r="A520" s="577"/>
      <c r="B520" s="343">
        <v>0.5</v>
      </c>
      <c r="C520" s="326"/>
      <c r="D520" s="640">
        <v>34</v>
      </c>
      <c r="E520" s="360">
        <v>5651</v>
      </c>
      <c r="F520" s="374"/>
      <c r="G520" s="375"/>
      <c r="H520" s="363"/>
      <c r="I520" s="375"/>
      <c r="J520" s="365">
        <f t="shared" si="38"/>
        <v>5651</v>
      </c>
      <c r="K520" s="366">
        <f>J520/460</f>
        <v>12.284782608695652</v>
      </c>
      <c r="L520" s="365">
        <v>1</v>
      </c>
      <c r="M520" s="901" t="s">
        <v>7</v>
      </c>
      <c r="N520" s="902">
        <v>12</v>
      </c>
      <c r="O520" s="2910" t="s">
        <v>62</v>
      </c>
      <c r="P520" s="2911"/>
      <c r="Q520" s="1013">
        <v>2</v>
      </c>
      <c r="R520" s="1013">
        <v>2</v>
      </c>
      <c r="S520" s="905" t="s">
        <v>244</v>
      </c>
      <c r="T520" s="917">
        <v>740</v>
      </c>
      <c r="U520" s="590"/>
      <c r="V520" s="2630">
        <f>VLOOKUP(M520,'[1]TABELA FRETE'!$A$6:$B$12,2,0)</f>
        <v>466.4</v>
      </c>
      <c r="W520" s="2631"/>
      <c r="X520" s="2694"/>
      <c r="Y520" s="2695"/>
      <c r="Z520" s="577"/>
    </row>
    <row r="521" spans="1:26" ht="51.75" customHeight="1">
      <c r="A521" s="577"/>
      <c r="B521" s="343">
        <v>0.5</v>
      </c>
      <c r="C521" s="326"/>
      <c r="D521" s="637">
        <v>43</v>
      </c>
      <c r="E521" s="360">
        <v>6074</v>
      </c>
      <c r="F521" s="374"/>
      <c r="G521" s="375"/>
      <c r="H521" s="363"/>
      <c r="I521" s="375"/>
      <c r="J521" s="365">
        <f t="shared" si="38"/>
        <v>6074</v>
      </c>
      <c r="K521" s="366">
        <f t="shared" si="39"/>
        <v>13.497777777777777</v>
      </c>
      <c r="L521" s="365">
        <v>1</v>
      </c>
      <c r="M521" s="901" t="s">
        <v>6</v>
      </c>
      <c r="N521" s="902">
        <v>14</v>
      </c>
      <c r="O521" s="2829" t="s">
        <v>64</v>
      </c>
      <c r="P521" s="3172"/>
      <c r="Q521" s="1013">
        <v>1</v>
      </c>
      <c r="R521" s="917">
        <v>1</v>
      </c>
      <c r="S521" s="905" t="s">
        <v>65</v>
      </c>
      <c r="T521" s="906">
        <v>598</v>
      </c>
      <c r="U521" s="590"/>
      <c r="V521" s="2630">
        <f>VLOOKUP(M521,'[1]TABELA FRETE'!$A$6:$B$12,2,0)</f>
        <v>489.5</v>
      </c>
      <c r="W521" s="2631"/>
      <c r="X521" s="2694"/>
      <c r="Y521" s="2695"/>
      <c r="Z521" s="577"/>
    </row>
    <row r="522" spans="1:26" ht="51.75" customHeight="1">
      <c r="A522" s="577"/>
      <c r="B522" s="343">
        <v>0.5</v>
      </c>
      <c r="C522" s="326"/>
      <c r="D522" s="637">
        <v>35</v>
      </c>
      <c r="E522" s="360">
        <v>3440</v>
      </c>
      <c r="F522" s="401"/>
      <c r="G522" s="375"/>
      <c r="H522" s="363"/>
      <c r="I522" s="375"/>
      <c r="J522" s="365">
        <f t="shared" si="38"/>
        <v>3440</v>
      </c>
      <c r="K522" s="366">
        <f t="shared" si="39"/>
        <v>7.6444444444444448</v>
      </c>
      <c r="L522" s="365">
        <v>1</v>
      </c>
      <c r="M522" s="909">
        <v>1016</v>
      </c>
      <c r="N522" s="910">
        <v>8</v>
      </c>
      <c r="O522" s="2827" t="s">
        <v>106</v>
      </c>
      <c r="P522" s="3163"/>
      <c r="Q522" s="1013">
        <v>2</v>
      </c>
      <c r="R522" s="906">
        <v>2</v>
      </c>
      <c r="S522" s="913" t="s">
        <v>107</v>
      </c>
      <c r="T522" s="906">
        <v>606</v>
      </c>
      <c r="U522" s="590"/>
      <c r="V522" s="2630">
        <f>VLOOKUP(M522,'[1]TABELA FRETE'!$A$6:$B$12,2,0)</f>
        <v>425.7</v>
      </c>
      <c r="W522" s="2631"/>
      <c r="X522" s="2694"/>
      <c r="Y522" s="2695"/>
      <c r="Z522" s="577"/>
    </row>
    <row r="523" spans="1:26" ht="58.5" customHeight="1">
      <c r="A523" s="577"/>
      <c r="B523" s="343">
        <v>0.58333333333333304</v>
      </c>
      <c r="C523" s="326"/>
      <c r="D523" s="444">
        <v>40</v>
      </c>
      <c r="E523" s="360">
        <v>6500</v>
      </c>
      <c r="F523" s="641"/>
      <c r="G523" s="375"/>
      <c r="H523" s="363"/>
      <c r="I523" s="375"/>
      <c r="J523" s="467">
        <f t="shared" si="38"/>
        <v>6500</v>
      </c>
      <c r="K523" s="506">
        <f t="shared" si="39"/>
        <v>14.444444444444445</v>
      </c>
      <c r="L523" s="467">
        <v>1</v>
      </c>
      <c r="M523" s="1066" t="s">
        <v>6</v>
      </c>
      <c r="N523" s="1113">
        <v>14</v>
      </c>
      <c r="O523" s="3164" t="s">
        <v>54</v>
      </c>
      <c r="P523" s="3165"/>
      <c r="Q523" s="1114">
        <v>1</v>
      </c>
      <c r="R523" s="1114">
        <v>1</v>
      </c>
      <c r="S523" s="1115" t="s">
        <v>245</v>
      </c>
      <c r="T523" s="1070">
        <v>590</v>
      </c>
      <c r="U523" s="636"/>
      <c r="V523" s="2630">
        <f>VLOOKUP(M523,'[1]TABELA FRETE'!$A$6:$B$12,2,0)</f>
        <v>489.5</v>
      </c>
      <c r="W523" s="2631"/>
      <c r="X523" s="2694"/>
      <c r="Y523" s="2695"/>
      <c r="Z523" s="577"/>
    </row>
    <row r="524" spans="1:26" ht="58.5" customHeight="1">
      <c r="A524" s="577"/>
      <c r="B524" s="343">
        <v>0.58333333333333304</v>
      </c>
      <c r="C524" s="326"/>
      <c r="D524" s="444">
        <v>40</v>
      </c>
      <c r="E524" s="360">
        <v>2950</v>
      </c>
      <c r="F524" s="641"/>
      <c r="G524" s="375"/>
      <c r="H524" s="363"/>
      <c r="I524" s="375"/>
      <c r="J524" s="467">
        <f t="shared" si="38"/>
        <v>2950</v>
      </c>
      <c r="K524" s="506">
        <f t="shared" si="39"/>
        <v>6.5555555555555554</v>
      </c>
      <c r="L524" s="467">
        <v>1</v>
      </c>
      <c r="M524" s="1098" t="s">
        <v>7</v>
      </c>
      <c r="N524" s="1099">
        <v>10</v>
      </c>
      <c r="O524" s="3166" t="s">
        <v>246</v>
      </c>
      <c r="P524" s="3167"/>
      <c r="Q524" s="1101">
        <v>1</v>
      </c>
      <c r="R524" s="1195">
        <v>1</v>
      </c>
      <c r="S524" s="1194" t="s">
        <v>247</v>
      </c>
      <c r="T524" s="1101">
        <v>353</v>
      </c>
      <c r="U524" s="636"/>
      <c r="V524" s="339"/>
      <c r="W524" s="340"/>
      <c r="X524" s="501"/>
      <c r="Y524" s="502"/>
      <c r="Z524" s="577"/>
    </row>
    <row r="525" spans="1:26" ht="51.75" customHeight="1">
      <c r="A525" s="577"/>
      <c r="B525" s="343">
        <v>0.5</v>
      </c>
      <c r="C525" s="326"/>
      <c r="D525" s="637">
        <v>45</v>
      </c>
      <c r="E525" s="360">
        <v>5500</v>
      </c>
      <c r="F525" s="374"/>
      <c r="G525" s="375"/>
      <c r="H525" s="363"/>
      <c r="I525" s="375"/>
      <c r="J525" s="365">
        <f t="shared" si="38"/>
        <v>5500</v>
      </c>
      <c r="K525" s="366">
        <f t="shared" si="39"/>
        <v>12.222222222222221</v>
      </c>
      <c r="L525" s="365">
        <v>1</v>
      </c>
      <c r="M525" s="909" t="s">
        <v>7</v>
      </c>
      <c r="N525" s="910">
        <v>12</v>
      </c>
      <c r="O525" s="2827" t="s">
        <v>94</v>
      </c>
      <c r="P525" s="3163"/>
      <c r="Q525" s="906">
        <v>1</v>
      </c>
      <c r="R525" s="906">
        <v>1</v>
      </c>
      <c r="S525" s="913" t="s">
        <v>248</v>
      </c>
      <c r="T525" s="906">
        <v>184422</v>
      </c>
      <c r="U525" s="577"/>
      <c r="V525" s="2630" t="e">
        <f>VLOOKUP(#REF!,'[1]TABELA FRETE'!$A$6:$B$12,2,0)</f>
        <v>#REF!</v>
      </c>
      <c r="W525" s="2631"/>
      <c r="X525" s="2694"/>
      <c r="Y525" s="2695"/>
      <c r="Z525" s="577"/>
    </row>
    <row r="526" spans="1:26" ht="51.75" customHeight="1">
      <c r="A526" s="577"/>
      <c r="B526" s="343">
        <v>0.5</v>
      </c>
      <c r="C526" s="326"/>
      <c r="D526" s="1196">
        <v>45</v>
      </c>
      <c r="E526" s="410">
        <v>4009</v>
      </c>
      <c r="F526" s="666"/>
      <c r="G526" s="544"/>
      <c r="H526" s="545"/>
      <c r="I526" s="544"/>
      <c r="J526" s="413">
        <f t="shared" si="38"/>
        <v>4009</v>
      </c>
      <c r="K526" s="414">
        <f t="shared" si="39"/>
        <v>8.9088888888888889</v>
      </c>
      <c r="L526" s="413">
        <v>1</v>
      </c>
      <c r="M526" s="1197" t="s">
        <v>7</v>
      </c>
      <c r="N526" s="1198">
        <v>10</v>
      </c>
      <c r="O526" s="3168" t="s">
        <v>249</v>
      </c>
      <c r="P526" s="3169"/>
      <c r="Q526" s="1199">
        <v>1</v>
      </c>
      <c r="R526" s="1199">
        <v>1</v>
      </c>
      <c r="S526" s="1200" t="s">
        <v>250</v>
      </c>
      <c r="T526" s="1199">
        <v>353</v>
      </c>
      <c r="U526" s="577"/>
      <c r="V526" s="2630">
        <f>VLOOKUP(M526,'[1]TABELA FRETE'!$A$6:$B$12,2,0)</f>
        <v>466.4</v>
      </c>
      <c r="W526" s="2631"/>
      <c r="X526" s="2694"/>
      <c r="Y526" s="2695"/>
      <c r="Z526" s="577"/>
    </row>
    <row r="527" spans="1:26" ht="6" customHeight="1">
      <c r="A527" s="577"/>
      <c r="B527" s="609"/>
      <c r="C527" s="609"/>
      <c r="D527" s="612"/>
      <c r="E527" s="746"/>
      <c r="F527" s="612"/>
      <c r="G527" s="613"/>
      <c r="H527" s="1201"/>
      <c r="I527" s="613"/>
      <c r="J527" s="613"/>
      <c r="K527" s="614"/>
      <c r="L527" s="613"/>
      <c r="M527" s="1202"/>
      <c r="N527" s="1203"/>
      <c r="O527" s="1204"/>
      <c r="P527" s="1204"/>
      <c r="Q527" s="1205"/>
      <c r="R527" s="1204"/>
      <c r="S527" s="1206"/>
      <c r="T527" s="1207"/>
      <c r="U527" s="725"/>
      <c r="V527" s="3010"/>
      <c r="W527" s="3010"/>
      <c r="X527" s="3011"/>
      <c r="Y527" s="3011"/>
      <c r="Z527" s="577"/>
    </row>
    <row r="528" spans="1:26" ht="58.5" customHeight="1">
      <c r="A528" s="577"/>
      <c r="B528" s="325">
        <v>0.58333333333333304</v>
      </c>
      <c r="C528" s="326"/>
      <c r="D528" s="435">
        <v>26</v>
      </c>
      <c r="E528" s="328">
        <v>4251</v>
      </c>
      <c r="F528" s="1208"/>
      <c r="G528" s="492"/>
      <c r="H528" s="438"/>
      <c r="I528" s="492"/>
      <c r="J528" s="493">
        <f>E528+G528+I528</f>
        <v>4251</v>
      </c>
      <c r="K528" s="494">
        <f>J528/450</f>
        <v>9.4466666666666672</v>
      </c>
      <c r="L528" s="493">
        <v>1</v>
      </c>
      <c r="M528" s="850" t="s">
        <v>7</v>
      </c>
      <c r="N528" s="851">
        <v>11</v>
      </c>
      <c r="O528" s="3170" t="s">
        <v>52</v>
      </c>
      <c r="P528" s="3171"/>
      <c r="Q528" s="853">
        <v>1</v>
      </c>
      <c r="R528" s="854">
        <v>1</v>
      </c>
      <c r="S528" s="1147" t="s">
        <v>53</v>
      </c>
      <c r="T528" s="852">
        <v>633</v>
      </c>
      <c r="U528" s="636"/>
      <c r="V528" s="2630">
        <f>VLOOKUP(M528,'[1]TABELA FRETE'!$A$6:$B$12,2,0)</f>
        <v>466.4</v>
      </c>
      <c r="W528" s="2631"/>
      <c r="X528" s="2694"/>
      <c r="Y528" s="2695"/>
      <c r="Z528" s="577"/>
    </row>
    <row r="529" spans="1:26" ht="51.75" customHeight="1">
      <c r="A529" s="577"/>
      <c r="B529" s="343">
        <v>0.5</v>
      </c>
      <c r="C529" s="326"/>
      <c r="D529" s="1209">
        <v>19</v>
      </c>
      <c r="E529" s="460">
        <v>6500</v>
      </c>
      <c r="F529" s="1210"/>
      <c r="G529" s="1211"/>
      <c r="H529" s="951"/>
      <c r="I529" s="1211"/>
      <c r="J529" s="350">
        <f>E529+G529+I529</f>
        <v>6500</v>
      </c>
      <c r="K529" s="351">
        <f>J529/450</f>
        <v>14.444444444444445</v>
      </c>
      <c r="L529" s="350">
        <v>1</v>
      </c>
      <c r="M529" s="1125" t="s">
        <v>6</v>
      </c>
      <c r="N529" s="1126">
        <v>14</v>
      </c>
      <c r="O529" s="2829" t="s">
        <v>220</v>
      </c>
      <c r="P529" s="2830"/>
      <c r="Q529" s="1131">
        <v>1</v>
      </c>
      <c r="R529" s="972">
        <v>1</v>
      </c>
      <c r="S529" s="975" t="s">
        <v>251</v>
      </c>
      <c r="T529" s="1105">
        <v>184422</v>
      </c>
      <c r="U529" s="577"/>
      <c r="V529" s="339"/>
      <c r="W529" s="340"/>
      <c r="X529" s="501"/>
      <c r="Y529" s="502"/>
      <c r="Z529" s="577"/>
    </row>
    <row r="530" spans="1:26" ht="67.5" customHeight="1">
      <c r="A530" s="577"/>
      <c r="B530" s="358">
        <v>0.5</v>
      </c>
      <c r="C530" s="326"/>
      <c r="D530" s="646">
        <v>19</v>
      </c>
      <c r="E530" s="360">
        <v>2763</v>
      </c>
      <c r="F530" s="445"/>
      <c r="G530" s="375"/>
      <c r="H530" s="363"/>
      <c r="I530" s="375"/>
      <c r="J530" s="467">
        <f>E530+G530+I530</f>
        <v>2763</v>
      </c>
      <c r="K530" s="475">
        <f>J530/450</f>
        <v>6.14</v>
      </c>
      <c r="L530" s="467">
        <v>1</v>
      </c>
      <c r="M530" s="909">
        <v>1016</v>
      </c>
      <c r="N530" s="910">
        <v>8</v>
      </c>
      <c r="O530" s="2827" t="s">
        <v>90</v>
      </c>
      <c r="P530" s="2828"/>
      <c r="Q530" s="947">
        <v>2</v>
      </c>
      <c r="R530" s="906">
        <v>2</v>
      </c>
      <c r="S530" s="913" t="s">
        <v>252</v>
      </c>
      <c r="T530" s="906">
        <v>674</v>
      </c>
      <c r="U530" s="636"/>
      <c r="V530" s="2630">
        <f>VLOOKUP(M530,'[1]TABELA FRETE'!$A$6:$B$12,2,0)</f>
        <v>425.7</v>
      </c>
      <c r="W530" s="2631"/>
      <c r="X530" s="2694"/>
      <c r="Y530" s="2695"/>
      <c r="Z530" s="577"/>
    </row>
    <row r="531" spans="1:26" ht="58.5" customHeight="1">
      <c r="A531" s="577"/>
      <c r="B531" s="343">
        <v>0.58333333333333304</v>
      </c>
      <c r="C531" s="326"/>
      <c r="D531" s="695">
        <v>5</v>
      </c>
      <c r="E531" s="360">
        <v>2863</v>
      </c>
      <c r="F531" s="444"/>
      <c r="G531" s="360"/>
      <c r="H531" s="363"/>
      <c r="I531" s="375"/>
      <c r="J531" s="467">
        <f>E531+G531+I531</f>
        <v>2863</v>
      </c>
      <c r="K531" s="475">
        <f>J531/450</f>
        <v>6.362222222222222</v>
      </c>
      <c r="L531" s="467">
        <v>1</v>
      </c>
      <c r="M531" s="909">
        <v>1016</v>
      </c>
      <c r="N531" s="910">
        <v>8</v>
      </c>
      <c r="O531" s="2827" t="s">
        <v>150</v>
      </c>
      <c r="P531" s="2828"/>
      <c r="Q531" s="947">
        <v>1</v>
      </c>
      <c r="R531" s="906">
        <v>1</v>
      </c>
      <c r="S531" s="913" t="s">
        <v>151</v>
      </c>
      <c r="T531" s="906">
        <v>642</v>
      </c>
      <c r="U531" s="636"/>
      <c r="V531" s="2630">
        <f>VLOOKUP(M531,'[1]TABELA FRETE'!$A$6:$B$12,2,0)</f>
        <v>425.7</v>
      </c>
      <c r="W531" s="2631"/>
      <c r="X531" s="2694"/>
      <c r="Y531" s="2695"/>
      <c r="Z531" s="577"/>
    </row>
    <row r="532" spans="1:26" ht="58.5" customHeight="1">
      <c r="A532" s="577"/>
      <c r="B532" s="343">
        <v>0.58333333333333304</v>
      </c>
      <c r="C532" s="326"/>
      <c r="D532" s="695">
        <v>3</v>
      </c>
      <c r="E532" s="360">
        <v>1752</v>
      </c>
      <c r="F532" s="1212"/>
      <c r="G532" s="360"/>
      <c r="H532" s="363"/>
      <c r="I532" s="375"/>
      <c r="J532" s="467">
        <f>E532+G532+I532</f>
        <v>1752</v>
      </c>
      <c r="K532" s="475">
        <f>J532/450</f>
        <v>3.8933333333333335</v>
      </c>
      <c r="L532" s="467">
        <v>1</v>
      </c>
      <c r="M532" s="909">
        <v>1016</v>
      </c>
      <c r="N532" s="910">
        <v>6</v>
      </c>
      <c r="O532" s="2829" t="s">
        <v>83</v>
      </c>
      <c r="P532" s="2830"/>
      <c r="Q532" s="947">
        <v>2</v>
      </c>
      <c r="R532" s="1013">
        <v>2</v>
      </c>
      <c r="S532" s="905" t="s">
        <v>84</v>
      </c>
      <c r="T532" s="917">
        <v>655</v>
      </c>
      <c r="U532" s="636"/>
      <c r="V532" s="339"/>
      <c r="W532" s="340"/>
      <c r="X532" s="501"/>
      <c r="Y532" s="502"/>
      <c r="Z532" s="577"/>
    </row>
    <row r="533" spans="1:26" ht="51.75" customHeight="1">
      <c r="A533" s="577"/>
      <c r="B533" s="343">
        <v>0.58333333333333304</v>
      </c>
      <c r="C533" s="326"/>
      <c r="D533" s="695">
        <v>20</v>
      </c>
      <c r="E533" s="360">
        <v>5580</v>
      </c>
      <c r="F533" s="374"/>
      <c r="G533" s="375"/>
      <c r="H533" s="363"/>
      <c r="I533" s="375"/>
      <c r="J533" s="365">
        <f t="shared" si="38"/>
        <v>5580</v>
      </c>
      <c r="K533" s="366">
        <f t="shared" si="39"/>
        <v>12.4</v>
      </c>
      <c r="L533" s="365">
        <v>1</v>
      </c>
      <c r="M533" s="909" t="s">
        <v>7</v>
      </c>
      <c r="N533" s="909">
        <v>12</v>
      </c>
      <c r="O533" s="2910" t="s">
        <v>66</v>
      </c>
      <c r="P533" s="3162"/>
      <c r="Q533" s="829">
        <v>2</v>
      </c>
      <c r="R533" s="906">
        <v>2</v>
      </c>
      <c r="S533" s="922" t="s">
        <v>67</v>
      </c>
      <c r="T533" s="832">
        <v>184461</v>
      </c>
      <c r="U533" s="577"/>
      <c r="V533" s="2630">
        <f>VLOOKUP(M533,'[1]TABELA FRETE'!$A$6:$B$12,2,0)</f>
        <v>466.4</v>
      </c>
      <c r="W533" s="2631"/>
      <c r="X533" s="2694"/>
      <c r="Y533" s="2695"/>
      <c r="Z533" s="577"/>
    </row>
    <row r="534" spans="1:26" ht="51.75" customHeight="1">
      <c r="A534" s="577"/>
      <c r="B534" s="358">
        <v>0.58333333333333304</v>
      </c>
      <c r="C534" s="326"/>
      <c r="D534" s="686">
        <v>25</v>
      </c>
      <c r="E534" s="395">
        <v>4375</v>
      </c>
      <c r="F534" s="687"/>
      <c r="G534" s="395"/>
      <c r="H534" s="394"/>
      <c r="I534" s="395"/>
      <c r="J534" s="396">
        <f t="shared" si="38"/>
        <v>4375</v>
      </c>
      <c r="K534" s="461">
        <f t="shared" si="39"/>
        <v>9.7222222222222214</v>
      </c>
      <c r="L534" s="396">
        <v>1</v>
      </c>
      <c r="M534" s="901" t="s">
        <v>7</v>
      </c>
      <c r="N534" s="902">
        <v>12</v>
      </c>
      <c r="O534" s="2829" t="s">
        <v>58</v>
      </c>
      <c r="P534" s="2830"/>
      <c r="Q534" s="947">
        <v>2</v>
      </c>
      <c r="R534" s="917">
        <v>2</v>
      </c>
      <c r="S534" s="905" t="s">
        <v>59</v>
      </c>
      <c r="T534" s="906">
        <v>674</v>
      </c>
      <c r="U534" s="694"/>
      <c r="V534" s="2630">
        <f>VLOOKUP(M534,'[1]TABELA FRETE'!$A$6:$B$12,2,0)</f>
        <v>466.4</v>
      </c>
      <c r="W534" s="2631"/>
      <c r="X534" s="2694"/>
      <c r="Y534" s="2695"/>
      <c r="Z534" s="577"/>
    </row>
    <row r="535" spans="1:26" ht="51.75" customHeight="1">
      <c r="A535" s="577"/>
      <c r="B535" s="358">
        <v>0.58333333333333304</v>
      </c>
      <c r="C535" s="326"/>
      <c r="D535" s="686">
        <v>22</v>
      </c>
      <c r="E535" s="395">
        <v>3761</v>
      </c>
      <c r="F535" s="687"/>
      <c r="G535" s="395"/>
      <c r="H535" s="394"/>
      <c r="I535" s="395"/>
      <c r="J535" s="396">
        <f t="shared" si="38"/>
        <v>3761</v>
      </c>
      <c r="K535" s="461">
        <f t="shared" si="39"/>
        <v>8.3577777777777786</v>
      </c>
      <c r="L535" s="396">
        <v>1</v>
      </c>
      <c r="M535" s="901" t="s">
        <v>7</v>
      </c>
      <c r="N535" s="902">
        <v>10</v>
      </c>
      <c r="O535" s="3004" t="s">
        <v>253</v>
      </c>
      <c r="P535" s="3005"/>
      <c r="Q535" s="1213">
        <v>1</v>
      </c>
      <c r="R535" s="1013">
        <v>1</v>
      </c>
      <c r="S535" s="905" t="s">
        <v>254</v>
      </c>
      <c r="T535" s="917">
        <v>612</v>
      </c>
      <c r="U535" s="694"/>
      <c r="V535" s="2630">
        <f>VLOOKUP(M535,'[1]TABELA FRETE'!$A$6:$B$12,2,0)</f>
        <v>466.4</v>
      </c>
      <c r="W535" s="2631"/>
      <c r="X535" s="2694"/>
      <c r="Y535" s="2695"/>
      <c r="Z535" s="577"/>
    </row>
    <row r="536" spans="1:26" ht="51.75" customHeight="1">
      <c r="A536" s="577"/>
      <c r="B536" s="358">
        <v>0.58333333333333304</v>
      </c>
      <c r="C536" s="326"/>
      <c r="D536" s="695">
        <v>31</v>
      </c>
      <c r="E536" s="360">
        <v>4471</v>
      </c>
      <c r="F536" s="374"/>
      <c r="G536" s="375"/>
      <c r="H536" s="363"/>
      <c r="I536" s="375"/>
      <c r="J536" s="365">
        <f t="shared" si="38"/>
        <v>4471</v>
      </c>
      <c r="K536" s="366">
        <f t="shared" si="39"/>
        <v>9.9355555555555561</v>
      </c>
      <c r="L536" s="365">
        <v>1</v>
      </c>
      <c r="M536" s="901" t="s">
        <v>7</v>
      </c>
      <c r="N536" s="902">
        <v>11</v>
      </c>
      <c r="O536" s="2829" t="s">
        <v>42</v>
      </c>
      <c r="P536" s="2830"/>
      <c r="Q536" s="947">
        <v>3</v>
      </c>
      <c r="R536" s="1013">
        <v>3</v>
      </c>
      <c r="S536" s="913" t="s">
        <v>43</v>
      </c>
      <c r="T536" s="967">
        <v>479</v>
      </c>
      <c r="U536" s="694"/>
      <c r="V536" s="2630">
        <f>VLOOKUP(M536,'[1]TABELA FRETE'!$A$6:$B$12,2,0)</f>
        <v>466.4</v>
      </c>
      <c r="W536" s="2631"/>
      <c r="X536" s="2694"/>
      <c r="Y536" s="2695"/>
      <c r="Z536" s="577"/>
    </row>
    <row r="537" spans="1:26" ht="57" customHeight="1">
      <c r="A537" s="577"/>
      <c r="B537" s="343">
        <v>0.58333333333333304</v>
      </c>
      <c r="C537" s="326"/>
      <c r="D537" s="453">
        <v>17</v>
      </c>
      <c r="E537" s="345">
        <v>5311</v>
      </c>
      <c r="F537" s="700"/>
      <c r="G537" s="455"/>
      <c r="H537" s="348"/>
      <c r="I537" s="455"/>
      <c r="J537" s="505">
        <f t="shared" si="38"/>
        <v>5311</v>
      </c>
      <c r="K537" s="506">
        <f t="shared" si="39"/>
        <v>11.802222222222222</v>
      </c>
      <c r="L537" s="505">
        <v>1</v>
      </c>
      <c r="M537" s="901" t="s">
        <v>7</v>
      </c>
      <c r="N537" s="902">
        <v>11</v>
      </c>
      <c r="O537" s="2829" t="s">
        <v>255</v>
      </c>
      <c r="P537" s="2830"/>
      <c r="Q537" s="947">
        <v>3</v>
      </c>
      <c r="R537" s="1013">
        <v>3</v>
      </c>
      <c r="S537" s="913" t="s">
        <v>43</v>
      </c>
      <c r="T537" s="967">
        <v>479</v>
      </c>
      <c r="U537" s="636"/>
      <c r="V537" s="2630">
        <f>VLOOKUP(M537,'[1]TABELA FRETE'!$A$6:$B$12,2,0)</f>
        <v>466.4</v>
      </c>
      <c r="W537" s="2631"/>
      <c r="X537" s="2694"/>
      <c r="Y537" s="2695"/>
      <c r="Z537" s="577"/>
    </row>
    <row r="538" spans="1:26" ht="57" customHeight="1">
      <c r="A538" s="577"/>
      <c r="B538" s="343">
        <v>0.58333333333333304</v>
      </c>
      <c r="C538" s="326"/>
      <c r="D538" s="472">
        <v>23</v>
      </c>
      <c r="E538" s="360">
        <v>6484</v>
      </c>
      <c r="F538" s="445"/>
      <c r="G538" s="375"/>
      <c r="H538" s="363"/>
      <c r="I538" s="375"/>
      <c r="J538" s="467">
        <f t="shared" si="38"/>
        <v>6484</v>
      </c>
      <c r="K538" s="475">
        <f t="shared" si="39"/>
        <v>14.408888888888889</v>
      </c>
      <c r="L538" s="467">
        <v>1</v>
      </c>
      <c r="M538" s="1125" t="s">
        <v>6</v>
      </c>
      <c r="N538" s="1126">
        <v>14</v>
      </c>
      <c r="O538" s="2829" t="s">
        <v>192</v>
      </c>
      <c r="P538" s="2830"/>
      <c r="Q538" s="1131">
        <v>1</v>
      </c>
      <c r="R538" s="972">
        <v>1</v>
      </c>
      <c r="S538" s="975" t="s">
        <v>193</v>
      </c>
      <c r="T538" s="1105">
        <v>808</v>
      </c>
      <c r="U538" s="636"/>
      <c r="V538" s="2630">
        <f>VLOOKUP(M538,'[1]TABELA FRETE'!$A$6:$B$12,2,0)</f>
        <v>489.5</v>
      </c>
      <c r="W538" s="2631"/>
      <c r="X538" s="2694"/>
      <c r="Y538" s="2695"/>
      <c r="Z538" s="577"/>
    </row>
    <row r="539" spans="1:26" ht="57" customHeight="1">
      <c r="A539" s="577"/>
      <c r="B539" s="343">
        <v>0.58333333333333304</v>
      </c>
      <c r="C539" s="326"/>
      <c r="D539" s="472">
        <v>44</v>
      </c>
      <c r="E539" s="360">
        <v>2003</v>
      </c>
      <c r="F539" s="445"/>
      <c r="G539" s="375"/>
      <c r="H539" s="363"/>
      <c r="I539" s="375"/>
      <c r="J539" s="467">
        <f t="shared" si="38"/>
        <v>2003</v>
      </c>
      <c r="K539" s="475">
        <f t="shared" si="39"/>
        <v>4.4511111111111115</v>
      </c>
      <c r="L539" s="467">
        <v>1</v>
      </c>
      <c r="M539" s="919">
        <v>1016</v>
      </c>
      <c r="N539" s="920">
        <v>6</v>
      </c>
      <c r="O539" s="2827" t="s">
        <v>139</v>
      </c>
      <c r="P539" s="2828"/>
      <c r="Q539" s="963">
        <v>1</v>
      </c>
      <c r="R539" s="906">
        <v>1</v>
      </c>
      <c r="S539" s="913" t="s">
        <v>140</v>
      </c>
      <c r="T539" s="906">
        <v>809</v>
      </c>
      <c r="U539" s="636"/>
      <c r="V539" s="339"/>
      <c r="W539" s="340"/>
      <c r="X539" s="501"/>
      <c r="Y539" s="502"/>
      <c r="Z539" s="577"/>
    </row>
    <row r="540" spans="1:26" ht="57" customHeight="1">
      <c r="A540" s="577"/>
      <c r="B540" s="343">
        <v>0.58333333333333304</v>
      </c>
      <c r="C540" s="326"/>
      <c r="D540" s="472">
        <v>10</v>
      </c>
      <c r="E540" s="360">
        <v>5600</v>
      </c>
      <c r="F540" s="445"/>
      <c r="G540" s="375"/>
      <c r="H540" s="363"/>
      <c r="I540" s="375"/>
      <c r="J540" s="467">
        <f t="shared" si="38"/>
        <v>5600</v>
      </c>
      <c r="K540" s="475">
        <f t="shared" si="39"/>
        <v>12.444444444444445</v>
      </c>
      <c r="L540" s="467">
        <v>1</v>
      </c>
      <c r="M540" s="901" t="s">
        <v>7</v>
      </c>
      <c r="N540" s="902">
        <v>12</v>
      </c>
      <c r="O540" s="2827" t="s">
        <v>153</v>
      </c>
      <c r="P540" s="2828"/>
      <c r="Q540" s="947">
        <v>1</v>
      </c>
      <c r="R540" s="1013">
        <v>1</v>
      </c>
      <c r="S540" s="905" t="s">
        <v>256</v>
      </c>
      <c r="T540" s="917">
        <v>664</v>
      </c>
      <c r="U540" s="636"/>
      <c r="V540" s="2630">
        <f>VLOOKUP(M540,'[1]TABELA FRETE'!$A$6:$B$12,2,0)</f>
        <v>466.4</v>
      </c>
      <c r="W540" s="2631"/>
      <c r="X540" s="2694"/>
      <c r="Y540" s="2695"/>
      <c r="Z540" s="577"/>
    </row>
    <row r="541" spans="1:26" ht="58.5" customHeight="1">
      <c r="A541" s="577"/>
      <c r="B541" s="343">
        <v>0.58333333333333304</v>
      </c>
      <c r="C541" s="326"/>
      <c r="D541" s="462" t="s">
        <v>152</v>
      </c>
      <c r="E541" s="360">
        <v>5600</v>
      </c>
      <c r="F541" s="445"/>
      <c r="G541" s="375"/>
      <c r="H541" s="363"/>
      <c r="I541" s="375"/>
      <c r="J541" s="467">
        <f t="shared" si="38"/>
        <v>5600</v>
      </c>
      <c r="K541" s="475">
        <f t="shared" si="39"/>
        <v>12.444444444444445</v>
      </c>
      <c r="L541" s="467">
        <v>1</v>
      </c>
      <c r="M541" s="909" t="s">
        <v>7</v>
      </c>
      <c r="N541" s="910">
        <v>12</v>
      </c>
      <c r="O541" s="2827" t="s">
        <v>155</v>
      </c>
      <c r="P541" s="2828"/>
      <c r="Q541" s="963">
        <v>2</v>
      </c>
      <c r="R541" s="906">
        <v>2</v>
      </c>
      <c r="S541" s="913" t="s">
        <v>257</v>
      </c>
      <c r="T541" s="906">
        <v>184446</v>
      </c>
      <c r="U541" s="636"/>
      <c r="V541" s="2630">
        <f>VLOOKUP(M541,'[1]TABELA FRETE'!$A$6:$B$12,2,0)</f>
        <v>466.4</v>
      </c>
      <c r="W541" s="2631"/>
      <c r="X541" s="2694"/>
      <c r="Y541" s="2695"/>
      <c r="Z541" s="577"/>
    </row>
    <row r="542" spans="1:26" ht="57" customHeight="1">
      <c r="A542" s="577"/>
      <c r="B542" s="343">
        <v>0.58333333333333304</v>
      </c>
      <c r="C542" s="326"/>
      <c r="D542" s="462">
        <v>10</v>
      </c>
      <c r="E542" s="360">
        <v>1814</v>
      </c>
      <c r="F542" s="445" t="s">
        <v>78</v>
      </c>
      <c r="G542" s="375">
        <v>1597</v>
      </c>
      <c r="H542" s="363"/>
      <c r="I542" s="375"/>
      <c r="J542" s="467">
        <f t="shared" si="38"/>
        <v>3411</v>
      </c>
      <c r="K542" s="475">
        <f t="shared" si="39"/>
        <v>7.58</v>
      </c>
      <c r="L542" s="467">
        <v>1</v>
      </c>
      <c r="M542" s="901">
        <v>1016</v>
      </c>
      <c r="N542" s="902">
        <v>9</v>
      </c>
      <c r="O542" s="2829" t="s">
        <v>79</v>
      </c>
      <c r="P542" s="2830"/>
      <c r="Q542" s="947">
        <v>1</v>
      </c>
      <c r="R542" s="1013">
        <v>1</v>
      </c>
      <c r="S542" s="905" t="s">
        <v>258</v>
      </c>
      <c r="T542" s="917">
        <v>184725</v>
      </c>
      <c r="U542" s="636"/>
      <c r="V542" s="339"/>
      <c r="W542" s="340"/>
      <c r="X542" s="501"/>
      <c r="Y542" s="502"/>
      <c r="Z542" s="577"/>
    </row>
    <row r="543" spans="1:26" ht="51.75" customHeight="1">
      <c r="A543" s="577"/>
      <c r="B543" s="343">
        <v>0.5</v>
      </c>
      <c r="C543" s="326"/>
      <c r="D543" s="637">
        <v>47</v>
      </c>
      <c r="E543" s="360">
        <v>3321</v>
      </c>
      <c r="F543" s="374"/>
      <c r="G543" s="375"/>
      <c r="H543" s="363"/>
      <c r="I543" s="375"/>
      <c r="J543" s="365">
        <f t="shared" si="38"/>
        <v>3321</v>
      </c>
      <c r="K543" s="366">
        <f t="shared" si="39"/>
        <v>7.38</v>
      </c>
      <c r="L543" s="365">
        <v>1</v>
      </c>
      <c r="M543" s="1060">
        <v>1016</v>
      </c>
      <c r="N543" s="1079">
        <v>8</v>
      </c>
      <c r="O543" s="2825" t="s">
        <v>46</v>
      </c>
      <c r="P543" s="2826"/>
      <c r="Q543" s="1062">
        <v>2</v>
      </c>
      <c r="R543" s="1080">
        <v>2</v>
      </c>
      <c r="S543" s="1145" t="s">
        <v>47</v>
      </c>
      <c r="T543" s="1065">
        <v>48</v>
      </c>
      <c r="U543" s="590"/>
      <c r="V543" s="339"/>
      <c r="W543" s="340"/>
      <c r="X543" s="501"/>
      <c r="Y543" s="502"/>
      <c r="Z543" s="577"/>
    </row>
    <row r="544" spans="1:26" ht="60.75" customHeight="1">
      <c r="A544" s="577"/>
      <c r="B544" s="343">
        <v>0.58333333333333304</v>
      </c>
      <c r="C544" s="326"/>
      <c r="D544" s="695">
        <v>32</v>
      </c>
      <c r="E544" s="360">
        <v>3071</v>
      </c>
      <c r="F544" s="374"/>
      <c r="G544" s="375"/>
      <c r="H544" s="363"/>
      <c r="I544" s="375"/>
      <c r="J544" s="365">
        <f t="shared" si="38"/>
        <v>3071</v>
      </c>
      <c r="K544" s="366">
        <f t="shared" si="39"/>
        <v>6.8244444444444445</v>
      </c>
      <c r="L544" s="365">
        <v>1</v>
      </c>
      <c r="M544" s="909">
        <v>1016</v>
      </c>
      <c r="N544" s="910">
        <v>8</v>
      </c>
      <c r="O544" s="2827" t="s">
        <v>157</v>
      </c>
      <c r="P544" s="2828"/>
      <c r="Q544" s="947">
        <v>1</v>
      </c>
      <c r="R544" s="906">
        <v>1</v>
      </c>
      <c r="S544" s="913" t="s">
        <v>158</v>
      </c>
      <c r="T544" s="906">
        <v>642</v>
      </c>
      <c r="U544" s="577"/>
      <c r="V544" s="2630">
        <f>VLOOKUP(M544,'[1]TABELA FRETE'!$A$6:$B$12,2,0)</f>
        <v>425.7</v>
      </c>
      <c r="W544" s="2631"/>
      <c r="X544" s="2694"/>
      <c r="Y544" s="2695"/>
      <c r="Z544" s="577"/>
    </row>
    <row r="545" spans="1:26" ht="51.75" customHeight="1">
      <c r="A545" s="577"/>
      <c r="B545" s="343">
        <v>0.58333333333333304</v>
      </c>
      <c r="C545" s="326"/>
      <c r="D545" s="695">
        <v>42</v>
      </c>
      <c r="E545" s="360">
        <v>2523</v>
      </c>
      <c r="F545" s="401"/>
      <c r="G545" s="375"/>
      <c r="H545" s="363"/>
      <c r="I545" s="375"/>
      <c r="J545" s="365">
        <f t="shared" si="38"/>
        <v>2523</v>
      </c>
      <c r="K545" s="366">
        <f t="shared" si="39"/>
        <v>5.6066666666666665</v>
      </c>
      <c r="L545" s="365">
        <v>1</v>
      </c>
      <c r="M545" s="1094">
        <v>1016</v>
      </c>
      <c r="N545" s="1095">
        <v>8</v>
      </c>
      <c r="O545" s="3156" t="s">
        <v>159</v>
      </c>
      <c r="P545" s="3157"/>
      <c r="Q545" s="974">
        <v>1</v>
      </c>
      <c r="R545" s="1096">
        <v>1</v>
      </c>
      <c r="S545" s="975" t="s">
        <v>160</v>
      </c>
      <c r="T545" s="972">
        <v>456</v>
      </c>
      <c r="U545" s="577"/>
      <c r="V545" s="2630">
        <f>VLOOKUP(M545,'[1]TABELA FRETE'!$A$6:$B$12,2,0)</f>
        <v>425.7</v>
      </c>
      <c r="W545" s="2631"/>
      <c r="X545" s="2694"/>
      <c r="Y545" s="2695"/>
      <c r="Z545" s="577"/>
    </row>
    <row r="546" spans="1:26" ht="58.5" customHeight="1">
      <c r="A546" s="577"/>
      <c r="B546" s="664">
        <v>0.58333333333333304</v>
      </c>
      <c r="C546" s="326"/>
      <c r="D546" s="1214">
        <v>6</v>
      </c>
      <c r="E546" s="410">
        <v>1959</v>
      </c>
      <c r="F546" s="1215"/>
      <c r="G546" s="544"/>
      <c r="H546" s="545"/>
      <c r="I546" s="544"/>
      <c r="J546" s="546">
        <f t="shared" si="38"/>
        <v>1959</v>
      </c>
      <c r="K546" s="547">
        <f t="shared" si="39"/>
        <v>4.3533333333333335</v>
      </c>
      <c r="L546" s="546">
        <v>1</v>
      </c>
      <c r="M546" s="878">
        <v>1016</v>
      </c>
      <c r="N546" s="879">
        <v>6</v>
      </c>
      <c r="O546" s="2831" t="s">
        <v>70</v>
      </c>
      <c r="P546" s="3158"/>
      <c r="Q546" s="882">
        <v>1</v>
      </c>
      <c r="R546" s="881">
        <v>1</v>
      </c>
      <c r="S546" s="883" t="s">
        <v>71</v>
      </c>
      <c r="T546" s="881">
        <v>333</v>
      </c>
      <c r="U546" s="636"/>
      <c r="V546" s="2630">
        <f>VLOOKUP(M546,'[1]TABELA FRETE'!$A$6:$B$12,2,0)</f>
        <v>425.7</v>
      </c>
      <c r="W546" s="2631"/>
      <c r="X546" s="2694"/>
      <c r="Y546" s="2695"/>
      <c r="Z546" s="577"/>
    </row>
    <row r="547" spans="1:26" ht="6" customHeight="1">
      <c r="A547" s="577"/>
      <c r="B547" s="674"/>
      <c r="C547" s="674"/>
      <c r="D547" s="675"/>
      <c r="E547" s="620"/>
      <c r="F547" s="676"/>
      <c r="G547" s="615"/>
      <c r="H547" s="615"/>
      <c r="I547" s="615"/>
      <c r="J547" s="615"/>
      <c r="K547" s="677"/>
      <c r="L547" s="615"/>
      <c r="M547" s="615"/>
      <c r="N547" s="616"/>
      <c r="O547" s="615"/>
      <c r="P547" s="615"/>
      <c r="Q547" s="615"/>
      <c r="R547" s="615"/>
      <c r="S547" s="619"/>
      <c r="T547" s="678"/>
      <c r="U547" s="636"/>
      <c r="V547" s="679"/>
      <c r="W547" s="679"/>
      <c r="X547" s="434"/>
      <c r="Y547" s="434"/>
      <c r="Z547" s="577"/>
    </row>
    <row r="548" spans="1:26" ht="67.5" customHeight="1">
      <c r="A548" s="577"/>
      <c r="B548" s="325">
        <v>0.625</v>
      </c>
      <c r="C548" s="326"/>
      <c r="D548" s="1216" t="s">
        <v>87</v>
      </c>
      <c r="E548" s="328">
        <v>3900</v>
      </c>
      <c r="F548" s="936"/>
      <c r="G548" s="492"/>
      <c r="H548" s="438"/>
      <c r="I548" s="492"/>
      <c r="J548" s="623">
        <f t="shared" si="38"/>
        <v>3900</v>
      </c>
      <c r="K548" s="494">
        <f t="shared" si="39"/>
        <v>8.6666666666666661</v>
      </c>
      <c r="L548" s="716">
        <v>1</v>
      </c>
      <c r="M548" s="1217" t="s">
        <v>7</v>
      </c>
      <c r="N548" s="1218">
        <v>10</v>
      </c>
      <c r="O548" s="3159" t="s">
        <v>241</v>
      </c>
      <c r="P548" s="3160"/>
      <c r="Q548" s="1219">
        <v>1</v>
      </c>
      <c r="R548" s="1219">
        <v>1</v>
      </c>
      <c r="S548" s="1220" t="s">
        <v>49</v>
      </c>
      <c r="T548" s="1221">
        <v>353</v>
      </c>
      <c r="U548" s="636"/>
      <c r="V548" s="2630">
        <f>VLOOKUP(M548,'[1]TABELA FRETE'!$D$25:$E$29,2,0)</f>
        <v>286</v>
      </c>
      <c r="W548" s="2631"/>
      <c r="X548" s="2694"/>
      <c r="Y548" s="2695"/>
      <c r="Z548" s="577"/>
    </row>
    <row r="549" spans="1:26" ht="67.5" customHeight="1">
      <c r="A549" s="577"/>
      <c r="B549" s="343">
        <v>0.625</v>
      </c>
      <c r="C549" s="326"/>
      <c r="D549" s="654" t="s">
        <v>87</v>
      </c>
      <c r="E549" s="345">
        <v>3700</v>
      </c>
      <c r="F549" s="724"/>
      <c r="G549" s="455"/>
      <c r="H549" s="348"/>
      <c r="I549" s="455"/>
      <c r="J549" s="505">
        <f t="shared" ref="J549:J550" si="40">E549+G549+I549</f>
        <v>3700</v>
      </c>
      <c r="K549" s="506">
        <f t="shared" ref="K549" si="41">J549/450</f>
        <v>8.2222222222222214</v>
      </c>
      <c r="L549" s="540">
        <v>1</v>
      </c>
      <c r="M549" s="869">
        <v>1016</v>
      </c>
      <c r="N549" s="870">
        <v>8</v>
      </c>
      <c r="O549" s="3161" t="s">
        <v>44</v>
      </c>
      <c r="P549" s="2926"/>
      <c r="Q549" s="388">
        <v>2</v>
      </c>
      <c r="R549" s="407">
        <v>2</v>
      </c>
      <c r="S549" s="871" t="s">
        <v>103</v>
      </c>
      <c r="T549" s="451">
        <v>674</v>
      </c>
      <c r="U549" s="636"/>
      <c r="V549" s="339"/>
      <c r="W549" s="340"/>
      <c r="X549" s="501"/>
      <c r="Y549" s="502"/>
      <c r="Z549" s="577"/>
    </row>
    <row r="550" spans="1:26" ht="67.5" customHeight="1">
      <c r="A550" s="577"/>
      <c r="B550" s="343">
        <v>0.625</v>
      </c>
      <c r="C550" s="326"/>
      <c r="D550" s="472">
        <v>1129</v>
      </c>
      <c r="E550" s="360">
        <v>3300</v>
      </c>
      <c r="F550" s="660"/>
      <c r="G550" s="345"/>
      <c r="H550" s="702"/>
      <c r="I550" s="364"/>
      <c r="J550" s="365">
        <f t="shared" si="40"/>
        <v>3300</v>
      </c>
      <c r="K550" s="475">
        <f t="shared" si="39"/>
        <v>7.333333333333333</v>
      </c>
      <c r="L550" s="350">
        <v>1</v>
      </c>
      <c r="M550" s="901">
        <v>1016</v>
      </c>
      <c r="N550" s="902">
        <v>8</v>
      </c>
      <c r="O550" s="2829" t="s">
        <v>92</v>
      </c>
      <c r="P550" s="2830"/>
      <c r="Q550" s="947">
        <v>2</v>
      </c>
      <c r="R550" s="947">
        <v>2</v>
      </c>
      <c r="S550" s="905" t="s">
        <v>93</v>
      </c>
      <c r="T550" s="917">
        <v>576</v>
      </c>
      <c r="U550" s="725"/>
      <c r="V550" s="2630">
        <f>VLOOKUP(M550,'[1]TABELA FRETE'!$A$6:$B$12,2,0)</f>
        <v>425.7</v>
      </c>
      <c r="W550" s="2631"/>
      <c r="X550" s="2694"/>
      <c r="Y550" s="2695"/>
      <c r="Z550" s="577"/>
    </row>
    <row r="551" spans="1:26" ht="55.5" customHeight="1">
      <c r="A551" s="577"/>
      <c r="B551" s="408">
        <v>0.625</v>
      </c>
      <c r="C551" s="326"/>
      <c r="D551" s="703">
        <v>46</v>
      </c>
      <c r="E551" s="410">
        <v>4622</v>
      </c>
      <c r="F551" s="704"/>
      <c r="G551" s="705"/>
      <c r="H551" s="706"/>
      <c r="I551" s="705"/>
      <c r="J551" s="413">
        <f t="shared" si="38"/>
        <v>4622</v>
      </c>
      <c r="K551" s="414">
        <f t="shared" si="39"/>
        <v>10.271111111111111</v>
      </c>
      <c r="L551" s="413">
        <v>1</v>
      </c>
      <c r="M551" s="1081" t="s">
        <v>7</v>
      </c>
      <c r="N551" s="1222">
        <v>12</v>
      </c>
      <c r="O551" s="2823" t="s">
        <v>199</v>
      </c>
      <c r="P551" s="2824"/>
      <c r="Q551" s="1223">
        <v>2</v>
      </c>
      <c r="R551" s="1223">
        <v>2</v>
      </c>
      <c r="S551" s="1224" t="s">
        <v>200</v>
      </c>
      <c r="T551" s="1225">
        <v>804</v>
      </c>
      <c r="U551" s="636"/>
      <c r="V551" s="2630">
        <f>VLOOKUP(M551,'[1]TABELA FRETE'!$A$6:$B$12,2,0)</f>
        <v>466.4</v>
      </c>
      <c r="W551" s="2631"/>
      <c r="X551" s="2694"/>
      <c r="Y551" s="2695"/>
      <c r="Z551" s="577"/>
    </row>
    <row r="552" spans="1:26" ht="6" customHeight="1">
      <c r="A552" s="577"/>
      <c r="B552" s="674"/>
      <c r="C552" s="674"/>
      <c r="D552" s="675"/>
      <c r="E552" s="620"/>
      <c r="F552" s="676"/>
      <c r="G552" s="615"/>
      <c r="H552" s="615"/>
      <c r="I552" s="615"/>
      <c r="J552" s="615"/>
      <c r="K552" s="677"/>
      <c r="L552" s="615"/>
      <c r="M552" s="615"/>
      <c r="N552" s="616"/>
      <c r="O552" s="615"/>
      <c r="P552" s="615"/>
      <c r="Q552" s="615"/>
      <c r="R552" s="615"/>
      <c r="S552" s="619"/>
      <c r="T552" s="678"/>
      <c r="U552" s="636"/>
      <c r="V552" s="679"/>
      <c r="W552" s="679"/>
      <c r="X552" s="434"/>
      <c r="Y552" s="434"/>
      <c r="Z552" s="577"/>
    </row>
    <row r="553" spans="1:26" ht="42" customHeight="1">
      <c r="A553" s="711"/>
      <c r="B553" s="2891">
        <v>0.70833333333333304</v>
      </c>
      <c r="C553" s="326"/>
      <c r="D553" s="2869">
        <v>18</v>
      </c>
      <c r="E553" s="2867">
        <v>2872</v>
      </c>
      <c r="F553" s="2842"/>
      <c r="G553" s="2837"/>
      <c r="H553" s="2815"/>
      <c r="I553" s="2741"/>
      <c r="J553" s="2769">
        <f>E553+G553+I553</f>
        <v>2872</v>
      </c>
      <c r="K553" s="2757">
        <f>J553/450</f>
        <v>6.3822222222222225</v>
      </c>
      <c r="L553" s="2741">
        <v>1</v>
      </c>
      <c r="M553" s="1226">
        <v>1016</v>
      </c>
      <c r="N553" s="1227">
        <v>7</v>
      </c>
      <c r="O553" s="3153" t="s">
        <v>56</v>
      </c>
      <c r="P553" s="3154"/>
      <c r="Q553" s="740">
        <v>1</v>
      </c>
      <c r="R553" s="1228">
        <v>1</v>
      </c>
      <c r="S553" s="1229" t="s">
        <v>57</v>
      </c>
      <c r="T553" s="1228">
        <v>663</v>
      </c>
      <c r="U553" s="636"/>
      <c r="V553" s="2529">
        <f>VLOOKUP(M553,'[1]TABELA FRETE'!$A$6:$B$12,2,0)</f>
        <v>425.7</v>
      </c>
      <c r="W553" s="2530"/>
      <c r="X553" s="2533"/>
      <c r="Y553" s="2534"/>
      <c r="Z553" s="577"/>
    </row>
    <row r="554" spans="1:26" ht="30" customHeight="1">
      <c r="A554" s="577"/>
      <c r="B554" s="2892"/>
      <c r="C554" s="326"/>
      <c r="D554" s="2657"/>
      <c r="E554" s="2864"/>
      <c r="F554" s="2843"/>
      <c r="G554" s="2744"/>
      <c r="H554" s="2816"/>
      <c r="I554" s="2742"/>
      <c r="J554" s="2770"/>
      <c r="K554" s="2758"/>
      <c r="L554" s="2742"/>
      <c r="M554" s="2984" t="s">
        <v>259</v>
      </c>
      <c r="N554" s="2985"/>
      <c r="O554" s="2986"/>
      <c r="P554" s="2985"/>
      <c r="Q554" s="2984"/>
      <c r="R554" s="2985"/>
      <c r="S554" s="2985"/>
      <c r="T554" s="2986"/>
      <c r="U554" s="725"/>
      <c r="V554" s="2531"/>
      <c r="W554" s="2532"/>
      <c r="X554" s="2535"/>
      <c r="Y554" s="2536"/>
      <c r="Z554" s="577"/>
    </row>
    <row r="555" spans="1:26" ht="40.5" customHeight="1">
      <c r="A555" s="577"/>
      <c r="B555" s="2893">
        <v>0.70833333333333304</v>
      </c>
      <c r="C555" s="326"/>
      <c r="D555" s="2866">
        <v>4</v>
      </c>
      <c r="E555" s="2820">
        <v>3037</v>
      </c>
      <c r="F555" s="2844"/>
      <c r="G555" s="2795"/>
      <c r="H555" s="2805"/>
      <c r="I555" s="2795"/>
      <c r="J555" s="2771">
        <f>E555+G555+I555</f>
        <v>3037</v>
      </c>
      <c r="K555" s="2759">
        <f>J555/450</f>
        <v>6.7488888888888887</v>
      </c>
      <c r="L555" s="2743">
        <v>1</v>
      </c>
      <c r="M555" s="734">
        <v>1016</v>
      </c>
      <c r="N555" s="735">
        <v>8</v>
      </c>
      <c r="O555" s="3147" t="s">
        <v>85</v>
      </c>
      <c r="P555" s="3148"/>
      <c r="Q555" s="736">
        <v>2</v>
      </c>
      <c r="R555" s="736">
        <v>2</v>
      </c>
      <c r="S555" s="737" t="s">
        <v>86</v>
      </c>
      <c r="T555" s="736">
        <v>714</v>
      </c>
      <c r="U555" s="725"/>
      <c r="V555" s="2529">
        <f>VLOOKUP(M555,'[1]TABELA FRETE'!$A$6:$B$12,2,0)</f>
        <v>425.7</v>
      </c>
      <c r="W555" s="2530"/>
      <c r="X555" s="2533"/>
      <c r="Y555" s="2534"/>
      <c r="Z555" s="733"/>
    </row>
    <row r="556" spans="1:26" ht="30" customHeight="1">
      <c r="A556" s="577"/>
      <c r="B556" s="2892"/>
      <c r="C556" s="326"/>
      <c r="D556" s="2657"/>
      <c r="E556" s="2821"/>
      <c r="F556" s="2839"/>
      <c r="G556" s="2796"/>
      <c r="H556" s="2806"/>
      <c r="I556" s="2796"/>
      <c r="J556" s="2770"/>
      <c r="K556" s="2760"/>
      <c r="L556" s="2744"/>
      <c r="M556" s="2972" t="s">
        <v>260</v>
      </c>
      <c r="N556" s="2984"/>
      <c r="O556" s="2986"/>
      <c r="P556" s="2985"/>
      <c r="Q556" s="2984"/>
      <c r="R556" s="2985"/>
      <c r="S556" s="2985"/>
      <c r="T556" s="2986"/>
      <c r="U556" s="725"/>
      <c r="V556" s="2531"/>
      <c r="W556" s="2532"/>
      <c r="X556" s="2535"/>
      <c r="Y556" s="2536"/>
      <c r="Z556" s="733"/>
    </row>
    <row r="557" spans="1:26" ht="37.5" customHeight="1">
      <c r="A557" s="577"/>
      <c r="B557" s="2893">
        <v>0.70833333333333304</v>
      </c>
      <c r="C557" s="326"/>
      <c r="D557" s="2866">
        <v>30</v>
      </c>
      <c r="E557" s="2820">
        <v>2505</v>
      </c>
      <c r="F557" s="2844"/>
      <c r="G557" s="2795"/>
      <c r="H557" s="2805"/>
      <c r="I557" s="2795"/>
      <c r="J557" s="2771">
        <f>E557+G557+I557</f>
        <v>2505</v>
      </c>
      <c r="K557" s="2759">
        <f>J557/450</f>
        <v>5.5666666666666664</v>
      </c>
      <c r="L557" s="2743">
        <v>1</v>
      </c>
      <c r="M557" s="738">
        <v>1016</v>
      </c>
      <c r="N557" s="739">
        <v>8</v>
      </c>
      <c r="O557" s="3155" t="s">
        <v>44</v>
      </c>
      <c r="P557" s="2928"/>
      <c r="Q557" s="742">
        <v>2</v>
      </c>
      <c r="R557" s="740">
        <v>2</v>
      </c>
      <c r="S557" s="743" t="s">
        <v>103</v>
      </c>
      <c r="T557" s="740">
        <v>674</v>
      </c>
      <c r="U557" s="725"/>
      <c r="V557" s="2529">
        <f>VLOOKUP(M557,'[1]TABELA FRETE'!$A$6:$B$12,2,0)</f>
        <v>425.7</v>
      </c>
      <c r="W557" s="2530"/>
      <c r="X557" s="2533"/>
      <c r="Y557" s="2534"/>
      <c r="Z557" s="733"/>
    </row>
    <row r="558" spans="1:26" ht="30" customHeight="1">
      <c r="A558" s="577"/>
      <c r="B558" s="2892"/>
      <c r="C558" s="326"/>
      <c r="D558" s="2657"/>
      <c r="E558" s="2821"/>
      <c r="F558" s="2839"/>
      <c r="G558" s="2796"/>
      <c r="H558" s="2806"/>
      <c r="I558" s="2796"/>
      <c r="J558" s="2770"/>
      <c r="K558" s="2760"/>
      <c r="L558" s="2744"/>
      <c r="M558" s="2972" t="s">
        <v>169</v>
      </c>
      <c r="N558" s="2984"/>
      <c r="O558" s="2986"/>
      <c r="P558" s="2985"/>
      <c r="Q558" s="2984"/>
      <c r="R558" s="2985"/>
      <c r="S558" s="2985"/>
      <c r="T558" s="2986"/>
      <c r="U558" s="725"/>
      <c r="V558" s="2531"/>
      <c r="W558" s="2532"/>
      <c r="X558" s="2535"/>
      <c r="Y558" s="2536"/>
      <c r="Z558" s="733"/>
    </row>
    <row r="559" spans="1:26" ht="38.25" customHeight="1">
      <c r="A559" s="577"/>
      <c r="B559" s="2894">
        <v>0.70833333333333304</v>
      </c>
      <c r="C559" s="326"/>
      <c r="D559" s="2866">
        <v>21</v>
      </c>
      <c r="E559" s="2820">
        <v>3880</v>
      </c>
      <c r="F559" s="2845"/>
      <c r="G559" s="2795"/>
      <c r="H559" s="2807"/>
      <c r="I559" s="2795"/>
      <c r="J559" s="2771">
        <f t="shared" ref="J559:J565" si="42">E559+G559+I559</f>
        <v>3880</v>
      </c>
      <c r="K559" s="2759">
        <f>J559/450</f>
        <v>8.6222222222222218</v>
      </c>
      <c r="L559" s="2743">
        <v>1</v>
      </c>
      <c r="M559" s="734">
        <v>1016</v>
      </c>
      <c r="N559" s="735">
        <v>8</v>
      </c>
      <c r="O559" s="3143" t="s">
        <v>81</v>
      </c>
      <c r="P559" s="3144"/>
      <c r="Q559" s="736">
        <v>2</v>
      </c>
      <c r="R559" s="736">
        <v>2</v>
      </c>
      <c r="S559" s="737" t="s">
        <v>163</v>
      </c>
      <c r="T559" s="736">
        <v>606</v>
      </c>
      <c r="U559" s="636"/>
      <c r="V559" s="2529">
        <f>VLOOKUP(M559,'[1]TABELA FRETE'!$A$6:$B$12,2,0)</f>
        <v>425.7</v>
      </c>
      <c r="W559" s="2530"/>
      <c r="X559" s="2533"/>
      <c r="Y559" s="2534"/>
      <c r="Z559" s="733"/>
    </row>
    <row r="560" spans="1:26" ht="30" customHeight="1">
      <c r="A560" s="577"/>
      <c r="B560" s="2892"/>
      <c r="C560" s="326"/>
      <c r="D560" s="2657"/>
      <c r="E560" s="2821"/>
      <c r="F560" s="2846"/>
      <c r="G560" s="2819"/>
      <c r="H560" s="2808"/>
      <c r="I560" s="2796"/>
      <c r="J560" s="2770"/>
      <c r="K560" s="2760"/>
      <c r="L560" s="2744"/>
      <c r="M560" s="2984" t="s">
        <v>171</v>
      </c>
      <c r="N560" s="2985"/>
      <c r="O560" s="2986"/>
      <c r="P560" s="2985"/>
      <c r="Q560" s="2984"/>
      <c r="R560" s="2985"/>
      <c r="S560" s="2985"/>
      <c r="T560" s="2986"/>
      <c r="U560" s="636"/>
      <c r="V560" s="2531"/>
      <c r="W560" s="2532"/>
      <c r="X560" s="2535"/>
      <c r="Y560" s="2536"/>
      <c r="Z560" s="733"/>
    </row>
    <row r="561" spans="1:26" ht="38.25" customHeight="1">
      <c r="A561" s="577"/>
      <c r="B561" s="2894">
        <v>0.70833333333333304</v>
      </c>
      <c r="C561" s="326"/>
      <c r="D561" s="2866">
        <v>33</v>
      </c>
      <c r="E561" s="2820">
        <v>2852</v>
      </c>
      <c r="F561" s="2845"/>
      <c r="G561" s="2795"/>
      <c r="H561" s="2807"/>
      <c r="I561" s="2795"/>
      <c r="J561" s="2771">
        <f>E561+G561+I561</f>
        <v>2852</v>
      </c>
      <c r="K561" s="2759">
        <f>J561/450</f>
        <v>6.3377777777777782</v>
      </c>
      <c r="L561" s="2743">
        <v>1</v>
      </c>
      <c r="M561" s="1230">
        <v>1016</v>
      </c>
      <c r="N561" s="1231">
        <v>8</v>
      </c>
      <c r="O561" s="3149" t="s">
        <v>106</v>
      </c>
      <c r="P561" s="3150"/>
      <c r="Q561" s="1233">
        <v>2</v>
      </c>
      <c r="R561" s="1232">
        <v>2</v>
      </c>
      <c r="S561" s="1234" t="s">
        <v>261</v>
      </c>
      <c r="T561" s="1232">
        <v>606</v>
      </c>
      <c r="U561" s="636"/>
      <c r="V561" s="2529">
        <f>VLOOKUP(M561,'[1]TABELA FRETE'!$A$6:$B$12,2,0)</f>
        <v>425.7</v>
      </c>
      <c r="W561" s="2530"/>
      <c r="X561" s="2533"/>
      <c r="Y561" s="2534"/>
      <c r="Z561" s="733"/>
    </row>
    <row r="562" spans="1:26" ht="30" customHeight="1">
      <c r="A562" s="577"/>
      <c r="B562" s="2892"/>
      <c r="C562" s="326"/>
      <c r="D562" s="2657"/>
      <c r="E562" s="2821"/>
      <c r="F562" s="2846"/>
      <c r="G562" s="2819"/>
      <c r="H562" s="2808"/>
      <c r="I562" s="2796"/>
      <c r="J562" s="2770"/>
      <c r="K562" s="2760"/>
      <c r="L562" s="2744"/>
      <c r="M562" s="2984" t="s">
        <v>171</v>
      </c>
      <c r="N562" s="2985"/>
      <c r="O562" s="2986"/>
      <c r="P562" s="2985"/>
      <c r="Q562" s="2984"/>
      <c r="R562" s="2985"/>
      <c r="S562" s="2985"/>
      <c r="T562" s="2986"/>
      <c r="U562" s="636"/>
      <c r="V562" s="2531"/>
      <c r="W562" s="2532"/>
      <c r="X562" s="2535"/>
      <c r="Y562" s="2536"/>
      <c r="Z562" s="733"/>
    </row>
    <row r="563" spans="1:26" ht="38.25" customHeight="1">
      <c r="A563" s="577"/>
      <c r="B563" s="2894">
        <v>0.70833333333333304</v>
      </c>
      <c r="C563" s="326"/>
      <c r="D563" s="2656">
        <v>36</v>
      </c>
      <c r="E563" s="2822">
        <v>4094</v>
      </c>
      <c r="F563" s="2838"/>
      <c r="G563" s="2797"/>
      <c r="H563" s="2809"/>
      <c r="I563" s="2797"/>
      <c r="J563" s="2755">
        <f t="shared" si="42"/>
        <v>4094</v>
      </c>
      <c r="K563" s="2739">
        <f>J563/450</f>
        <v>9.0977777777777771</v>
      </c>
      <c r="L563" s="2745">
        <v>1</v>
      </c>
      <c r="M563" s="738" t="s">
        <v>7</v>
      </c>
      <c r="N563" s="735">
        <v>12</v>
      </c>
      <c r="O563" s="3147" t="s">
        <v>50</v>
      </c>
      <c r="P563" s="3148"/>
      <c r="Q563" s="736">
        <v>2</v>
      </c>
      <c r="R563" s="736">
        <v>2</v>
      </c>
      <c r="S563" s="737" t="s">
        <v>177</v>
      </c>
      <c r="T563" s="736">
        <v>612</v>
      </c>
      <c r="U563" s="636"/>
      <c r="V563" s="2529">
        <f>VLOOKUP(M563,'[1]TABELA FRETE'!$A$6:$B$12,2,0)</f>
        <v>466.4</v>
      </c>
      <c r="W563" s="2530"/>
      <c r="X563" s="2533"/>
      <c r="Y563" s="2534"/>
      <c r="Z563" s="733"/>
    </row>
    <row r="564" spans="1:26" ht="30" customHeight="1">
      <c r="A564" s="577"/>
      <c r="B564" s="2900"/>
      <c r="C564" s="326"/>
      <c r="D564" s="2657"/>
      <c r="E564" s="2821"/>
      <c r="F564" s="2839"/>
      <c r="G564" s="2796"/>
      <c r="H564" s="2808"/>
      <c r="I564" s="2796"/>
      <c r="J564" s="2770"/>
      <c r="K564" s="2760"/>
      <c r="L564" s="2744"/>
      <c r="M564" s="2972" t="s">
        <v>262</v>
      </c>
      <c r="N564" s="2972"/>
      <c r="O564" s="2973"/>
      <c r="P564" s="2972"/>
      <c r="Q564" s="2974"/>
      <c r="R564" s="2972"/>
      <c r="S564" s="2972"/>
      <c r="T564" s="2973"/>
      <c r="U564" s="636"/>
      <c r="V564" s="2531"/>
      <c r="W564" s="2532"/>
      <c r="X564" s="2535"/>
      <c r="Y564" s="2536"/>
      <c r="Z564" s="733"/>
    </row>
    <row r="565" spans="1:26" ht="36.75" customHeight="1">
      <c r="A565" s="577"/>
      <c r="B565" s="2901">
        <v>0.70833333333333304</v>
      </c>
      <c r="C565" s="326"/>
      <c r="D565" s="2656">
        <v>48</v>
      </c>
      <c r="E565" s="2822">
        <v>2072</v>
      </c>
      <c r="F565" s="2838"/>
      <c r="G565" s="2797"/>
      <c r="H565" s="2809"/>
      <c r="I565" s="2797"/>
      <c r="J565" s="2755">
        <f t="shared" si="42"/>
        <v>2072</v>
      </c>
      <c r="K565" s="2739">
        <f>J565/450</f>
        <v>4.6044444444444448</v>
      </c>
      <c r="L565" s="2745">
        <v>1</v>
      </c>
      <c r="M565" s="734">
        <v>1016</v>
      </c>
      <c r="N565" s="735">
        <v>8</v>
      </c>
      <c r="O565" s="3143" t="s">
        <v>88</v>
      </c>
      <c r="P565" s="3144"/>
      <c r="Q565" s="720">
        <v>1</v>
      </c>
      <c r="R565" s="736">
        <v>1</v>
      </c>
      <c r="S565" s="737" t="s">
        <v>184</v>
      </c>
      <c r="T565" s="736">
        <v>799</v>
      </c>
      <c r="U565" s="636"/>
      <c r="V565" s="2529">
        <f>VLOOKUP(M565,'[1]TABELA FRETE'!$A$6:$B$12,2,0)</f>
        <v>425.7</v>
      </c>
      <c r="W565" s="2530"/>
      <c r="X565" s="2533"/>
      <c r="Y565" s="2534"/>
      <c r="Z565" s="733"/>
    </row>
    <row r="566" spans="1:26" ht="30" customHeight="1">
      <c r="A566" s="577"/>
      <c r="B566" s="2892"/>
      <c r="C566" s="326"/>
      <c r="D566" s="2657"/>
      <c r="E566" s="2821"/>
      <c r="F566" s="2839"/>
      <c r="G566" s="2796"/>
      <c r="H566" s="2808"/>
      <c r="I566" s="2796"/>
      <c r="J566" s="2770"/>
      <c r="K566" s="2760"/>
      <c r="L566" s="2744"/>
      <c r="M566" s="2972" t="s">
        <v>173</v>
      </c>
      <c r="N566" s="2972"/>
      <c r="O566" s="2973"/>
      <c r="P566" s="2972"/>
      <c r="Q566" s="2974"/>
      <c r="R566" s="2972"/>
      <c r="S566" s="2972"/>
      <c r="T566" s="2973"/>
      <c r="U566" s="636"/>
      <c r="V566" s="2531"/>
      <c r="W566" s="2532"/>
      <c r="X566" s="2535"/>
      <c r="Y566" s="2536"/>
      <c r="Z566" s="733"/>
    </row>
    <row r="567" spans="1:26" ht="38.25" customHeight="1">
      <c r="A567" s="577"/>
      <c r="B567" s="2892">
        <v>0.70833333333333304</v>
      </c>
      <c r="C567" s="326"/>
      <c r="D567" s="2657">
        <v>13</v>
      </c>
      <c r="E567" s="2821">
        <v>2007</v>
      </c>
      <c r="F567" s="2839"/>
      <c r="G567" s="2796"/>
      <c r="H567" s="2808"/>
      <c r="I567" s="2796"/>
      <c r="J567" s="2770">
        <f>E567+G567+I567</f>
        <v>2007</v>
      </c>
      <c r="K567" s="2760">
        <f>J567/450</f>
        <v>4.46</v>
      </c>
      <c r="L567" s="2744">
        <v>1</v>
      </c>
      <c r="M567" s="734" t="s">
        <v>7</v>
      </c>
      <c r="N567" s="735">
        <v>12</v>
      </c>
      <c r="O567" s="3143" t="s">
        <v>68</v>
      </c>
      <c r="P567" s="3144"/>
      <c r="Q567" s="720">
        <v>1</v>
      </c>
      <c r="R567" s="736">
        <v>1</v>
      </c>
      <c r="S567" s="737" t="s">
        <v>174</v>
      </c>
      <c r="T567" s="736">
        <v>808</v>
      </c>
      <c r="U567" s="636"/>
      <c r="V567" s="2529">
        <f>VLOOKUP(M567,'[1]TABELA FRETE'!$D$7:$E$12,2,0)</f>
        <v>1161.5999999999999</v>
      </c>
      <c r="W567" s="2530"/>
      <c r="X567" s="2533"/>
      <c r="Y567" s="2534"/>
      <c r="Z567" s="733"/>
    </row>
    <row r="568" spans="1:26" ht="30" customHeight="1">
      <c r="A568" s="577"/>
      <c r="B568" s="2902"/>
      <c r="C568" s="326"/>
      <c r="D568" s="2658"/>
      <c r="E568" s="2863"/>
      <c r="F568" s="2840"/>
      <c r="G568" s="2798"/>
      <c r="H568" s="2814"/>
      <c r="I568" s="2798"/>
      <c r="J568" s="2756"/>
      <c r="K568" s="2740"/>
      <c r="L568" s="2746"/>
      <c r="M568" s="2981" t="s">
        <v>175</v>
      </c>
      <c r="N568" s="2981"/>
      <c r="O568" s="2982"/>
      <c r="P568" s="2981"/>
      <c r="Q568" s="2983"/>
      <c r="R568" s="2981"/>
      <c r="S568" s="2981"/>
      <c r="T568" s="2982"/>
      <c r="U568" s="636"/>
      <c r="V568" s="2634"/>
      <c r="W568" s="2635"/>
      <c r="X568" s="2636"/>
      <c r="Y568" s="2637"/>
      <c r="Z568" s="733"/>
    </row>
    <row r="569" spans="1:26" ht="6" customHeight="1">
      <c r="A569" s="577"/>
      <c r="B569" s="609"/>
      <c r="C569" s="609"/>
      <c r="D569" s="745"/>
      <c r="E569" s="746"/>
      <c r="F569" s="745"/>
      <c r="G569" s="746"/>
      <c r="H569" s="747"/>
      <c r="I569" s="746"/>
      <c r="J569" s="613"/>
      <c r="K569" s="614"/>
      <c r="L569" s="613"/>
      <c r="M569" s="748"/>
      <c r="N569" s="748"/>
      <c r="O569" s="748"/>
      <c r="P569" s="748"/>
      <c r="Q569" s="748"/>
      <c r="R569" s="748"/>
      <c r="S569" s="748"/>
      <c r="T569" s="748"/>
      <c r="U569" s="636"/>
      <c r="V569" s="679"/>
      <c r="W569" s="679"/>
      <c r="X569" s="434"/>
      <c r="Y569" s="434"/>
      <c r="Z569" s="733"/>
    </row>
    <row r="570" spans="1:26" ht="38.25" customHeight="1">
      <c r="A570" s="577"/>
      <c r="B570" s="2903">
        <v>0.91666666666666696</v>
      </c>
      <c r="C570" s="326"/>
      <c r="D570" s="2659">
        <v>15</v>
      </c>
      <c r="E570" s="2864">
        <v>2934</v>
      </c>
      <c r="F570" s="2652"/>
      <c r="G570" s="2833"/>
      <c r="H570" s="2817"/>
      <c r="I570" s="2836"/>
      <c r="J570" s="2772">
        <f>E570+G570+I570</f>
        <v>2934</v>
      </c>
      <c r="K570" s="2761">
        <f>J570/450</f>
        <v>6.52</v>
      </c>
      <c r="L570" s="2747">
        <v>1</v>
      </c>
      <c r="M570" s="1235">
        <v>1016</v>
      </c>
      <c r="N570" s="1236">
        <v>8</v>
      </c>
      <c r="O570" s="3145" t="s">
        <v>85</v>
      </c>
      <c r="P570" s="3146"/>
      <c r="Q570" s="1237">
        <v>2</v>
      </c>
      <c r="R570" s="1238">
        <v>2</v>
      </c>
      <c r="S570" s="1239" t="s">
        <v>86</v>
      </c>
      <c r="T570" s="1240">
        <v>714</v>
      </c>
      <c r="U570" s="636"/>
      <c r="V570" s="2529">
        <f>VLOOKUP(M570,'[1]TABELA FRETE'!$A$6:$B$12,2,0)</f>
        <v>425.7</v>
      </c>
      <c r="W570" s="2638"/>
      <c r="X570" s="2533"/>
      <c r="Y570" s="2534"/>
      <c r="Z570" s="733"/>
    </row>
    <row r="571" spans="1:26" ht="30" customHeight="1">
      <c r="A571" s="577"/>
      <c r="B571" s="2900"/>
      <c r="C571" s="326"/>
      <c r="D571" s="2660"/>
      <c r="E571" s="2865"/>
      <c r="F571" s="2653"/>
      <c r="G571" s="2834"/>
      <c r="H571" s="2818"/>
      <c r="I571" s="2819"/>
      <c r="J571" s="2773"/>
      <c r="K571" s="2762"/>
      <c r="L571" s="2748"/>
      <c r="M571" s="2984" t="s">
        <v>263</v>
      </c>
      <c r="N571" s="2985"/>
      <c r="O571" s="2986"/>
      <c r="P571" s="2985"/>
      <c r="Q571" s="2984"/>
      <c r="R571" s="2985"/>
      <c r="S571" s="2985"/>
      <c r="T571" s="2986"/>
      <c r="U571" s="636"/>
      <c r="V571" s="2531"/>
      <c r="W571" s="2639"/>
      <c r="X571" s="2535"/>
      <c r="Y571" s="2536"/>
      <c r="Z571" s="733"/>
    </row>
    <row r="572" spans="1:26" ht="35.25" customHeight="1">
      <c r="A572" s="577"/>
      <c r="B572" s="2894">
        <v>0.91666666666666696</v>
      </c>
      <c r="C572" s="326"/>
      <c r="D572" s="2661">
        <v>7</v>
      </c>
      <c r="E572" s="2822">
        <v>5500</v>
      </c>
      <c r="F572" s="2654"/>
      <c r="G572" s="2835"/>
      <c r="H572" s="2809"/>
      <c r="I572" s="2797"/>
      <c r="J572" s="2755">
        <f>E572+G572+I572</f>
        <v>5500</v>
      </c>
      <c r="K572" s="2739">
        <f>J572/450</f>
        <v>12.222222222222221</v>
      </c>
      <c r="L572" s="2749">
        <v>1</v>
      </c>
      <c r="M572" s="738" t="s">
        <v>7</v>
      </c>
      <c r="N572" s="735">
        <v>12</v>
      </c>
      <c r="O572" s="3147" t="s">
        <v>50</v>
      </c>
      <c r="P572" s="3148"/>
      <c r="Q572" s="736">
        <v>2</v>
      </c>
      <c r="R572" s="736">
        <v>2</v>
      </c>
      <c r="S572" s="737" t="s">
        <v>264</v>
      </c>
      <c r="T572" s="736">
        <v>612</v>
      </c>
      <c r="U572" s="636"/>
      <c r="V572" s="2529">
        <f>VLOOKUP(M572,'[1]TABELA FRETE'!$A$6:$B$12,2,0)</f>
        <v>466.4</v>
      </c>
      <c r="W572" s="2638"/>
      <c r="X572" s="2533"/>
      <c r="Y572" s="2534"/>
      <c r="Z572" s="733"/>
    </row>
    <row r="573" spans="1:26" ht="30" customHeight="1">
      <c r="A573" s="577"/>
      <c r="B573" s="2892"/>
      <c r="C573" s="326"/>
      <c r="D573" s="2868"/>
      <c r="E573" s="2821"/>
      <c r="F573" s="2841"/>
      <c r="G573" s="2836"/>
      <c r="H573" s="2808"/>
      <c r="I573" s="2796"/>
      <c r="J573" s="2770"/>
      <c r="K573" s="2760"/>
      <c r="L573" s="2750"/>
      <c r="M573" s="2984" t="s">
        <v>178</v>
      </c>
      <c r="N573" s="2985"/>
      <c r="O573" s="2986"/>
      <c r="P573" s="2985"/>
      <c r="Q573" s="2984"/>
      <c r="R573" s="2985"/>
      <c r="S573" s="2985"/>
      <c r="T573" s="2986"/>
      <c r="U573" s="636"/>
      <c r="V573" s="2531"/>
      <c r="W573" s="2639"/>
      <c r="X573" s="2535"/>
      <c r="Y573" s="2536"/>
      <c r="Z573" s="733"/>
    </row>
    <row r="574" spans="1:26" ht="38.25" customHeight="1">
      <c r="A574" s="577"/>
      <c r="B574" s="2894">
        <v>0.91666666666666696</v>
      </c>
      <c r="C574" s="326"/>
      <c r="D574" s="2661">
        <v>27</v>
      </c>
      <c r="E574" s="2822">
        <v>1385</v>
      </c>
      <c r="F574" s="2654">
        <v>7</v>
      </c>
      <c r="G574" s="2797">
        <v>645</v>
      </c>
      <c r="H574" s="2809"/>
      <c r="I574" s="2797"/>
      <c r="J574" s="2755">
        <f>E574+G574+I574</f>
        <v>2030</v>
      </c>
      <c r="K574" s="2739">
        <f>J574/450</f>
        <v>4.5111111111111111</v>
      </c>
      <c r="L574" s="2737">
        <v>1</v>
      </c>
      <c r="M574" s="1230">
        <v>1016</v>
      </c>
      <c r="N574" s="1231">
        <v>8</v>
      </c>
      <c r="O574" s="3149" t="s">
        <v>106</v>
      </c>
      <c r="P574" s="3150"/>
      <c r="Q574" s="1233">
        <v>2</v>
      </c>
      <c r="R574" s="1232">
        <v>3</v>
      </c>
      <c r="S574" s="1234" t="s">
        <v>265</v>
      </c>
      <c r="T574" s="1232">
        <v>606</v>
      </c>
      <c r="U574" s="636"/>
      <c r="V574" s="2529">
        <f>VLOOKUP(M574,'[1]TABELA FRETE'!$A$6:$B$12,2,0)</f>
        <v>425.7</v>
      </c>
      <c r="W574" s="2638"/>
      <c r="X574" s="2533"/>
      <c r="Y574" s="2534"/>
      <c r="Z574" s="733"/>
    </row>
    <row r="575" spans="1:26" ht="30" customHeight="1">
      <c r="A575" s="577"/>
      <c r="B575" s="2902"/>
      <c r="C575" s="326"/>
      <c r="D575" s="2662"/>
      <c r="E575" s="2863"/>
      <c r="F575" s="2655"/>
      <c r="G575" s="2798"/>
      <c r="H575" s="2814"/>
      <c r="I575" s="2798"/>
      <c r="J575" s="2756"/>
      <c r="K575" s="2740"/>
      <c r="L575" s="2738"/>
      <c r="M575" s="2984" t="s">
        <v>266</v>
      </c>
      <c r="N575" s="2985"/>
      <c r="O575" s="2986"/>
      <c r="P575" s="2985"/>
      <c r="Q575" s="2984"/>
      <c r="R575" s="2985"/>
      <c r="S575" s="2985"/>
      <c r="T575" s="2986"/>
      <c r="U575" s="636"/>
      <c r="V575" s="2531"/>
      <c r="W575" s="2639"/>
      <c r="X575" s="2535"/>
      <c r="Y575" s="2536"/>
      <c r="Z575" s="733"/>
    </row>
    <row r="576" spans="1:26" s="303" customFormat="1" ht="6" customHeight="1">
      <c r="A576" s="711"/>
      <c r="B576" s="609"/>
      <c r="C576" s="609"/>
      <c r="D576" s="757"/>
      <c r="E576" s="746"/>
      <c r="F576" s="757"/>
      <c r="G576" s="746"/>
      <c r="H576" s="747"/>
      <c r="I576" s="746"/>
      <c r="J576" s="613"/>
      <c r="K576" s="614"/>
      <c r="L576" s="613"/>
      <c r="M576" s="758"/>
      <c r="N576" s="759"/>
      <c r="O576" s="758"/>
      <c r="P576" s="758"/>
      <c r="Q576" s="758"/>
      <c r="R576" s="758"/>
      <c r="S576" s="758"/>
      <c r="T576" s="758"/>
      <c r="U576" s="725"/>
      <c r="V576" s="433"/>
      <c r="W576" s="433"/>
      <c r="X576" s="760"/>
      <c r="Y576" s="760"/>
      <c r="Z576" s="761"/>
    </row>
    <row r="577" spans="1:26" ht="48" customHeight="1">
      <c r="A577" s="577"/>
      <c r="B577" s="2987" t="s">
        <v>108</v>
      </c>
      <c r="C577" s="2988"/>
      <c r="D577" s="2989"/>
      <c r="E577" s="318">
        <f>SUM(E507:E575)</f>
        <v>200246</v>
      </c>
      <c r="F577" s="557" t="s">
        <v>109</v>
      </c>
      <c r="G577" s="557">
        <f>SUM(G507:G575)</f>
        <v>2242</v>
      </c>
      <c r="H577" s="557" t="s">
        <v>109</v>
      </c>
      <c r="I577" s="319">
        <f>SUM(I507:I575)</f>
        <v>0</v>
      </c>
      <c r="J577" s="319">
        <f>E577+G577+I577</f>
        <v>202488</v>
      </c>
      <c r="K577" s="558">
        <f>SUM(K507:K575)</f>
        <v>449.42729468599032</v>
      </c>
      <c r="L577" s="559">
        <f>SUM(L507:L575)</f>
        <v>53</v>
      </c>
      <c r="M577" s="560" t="s">
        <v>110</v>
      </c>
      <c r="N577" s="554">
        <f>SUM(N507:N564)</f>
        <v>463</v>
      </c>
      <c r="O577" s="2896" t="s">
        <v>32</v>
      </c>
      <c r="P577" s="2896"/>
      <c r="Q577" s="2965"/>
      <c r="R577" s="762">
        <f>K577</f>
        <v>449.42729468599032</v>
      </c>
      <c r="S577" s="763" t="s">
        <v>111</v>
      </c>
      <c r="T577" s="764"/>
      <c r="U577" s="636"/>
      <c r="V577" s="2558" t="e">
        <f>SUM(V507:W575)</f>
        <v>#REF!</v>
      </c>
      <c r="W577" s="2559"/>
      <c r="X577" s="2564">
        <f>COUNT(X507:Y575)</f>
        <v>0</v>
      </c>
      <c r="Y577" s="2565"/>
      <c r="Z577" s="733"/>
    </row>
    <row r="578" spans="1:26" ht="40.5" customHeight="1">
      <c r="A578" s="577"/>
      <c r="B578" s="2853" t="s">
        <v>112</v>
      </c>
      <c r="C578" s="2899"/>
      <c r="D578" s="2899"/>
      <c r="E578" s="2899"/>
      <c r="F578" s="2899"/>
      <c r="G578" s="2899"/>
      <c r="H578" s="2899"/>
      <c r="I578" s="2899"/>
      <c r="J578" s="2854"/>
      <c r="K578" s="564">
        <v>44</v>
      </c>
      <c r="L578" s="2899" t="s">
        <v>113</v>
      </c>
      <c r="M578" s="2854"/>
      <c r="N578" s="2915" t="s">
        <v>114</v>
      </c>
      <c r="O578" s="2916"/>
      <c r="P578" s="2916"/>
      <c r="Q578" s="2916"/>
      <c r="R578" s="2917"/>
      <c r="S578" s="2915" t="s">
        <v>115</v>
      </c>
      <c r="T578" s="2917"/>
      <c r="U578" s="636"/>
      <c r="V578" s="2560"/>
      <c r="W578" s="2561"/>
      <c r="X578" s="2566"/>
      <c r="Y578" s="2567"/>
      <c r="Z578" s="733"/>
    </row>
    <row r="579" spans="1:26" ht="3.95" customHeight="1">
      <c r="A579" s="577"/>
      <c r="B579" s="2570" t="s">
        <v>116</v>
      </c>
      <c r="C579" s="2571"/>
      <c r="D579" s="2571"/>
      <c r="E579" s="2575">
        <f>L577</f>
        <v>53</v>
      </c>
      <c r="F579" s="2570" t="s">
        <v>30</v>
      </c>
      <c r="G579" s="2571"/>
      <c r="H579" s="2574">
        <f>J577</f>
        <v>202488</v>
      </c>
      <c r="I579" s="2575"/>
      <c r="J579" s="2570" t="s">
        <v>117</v>
      </c>
      <c r="K579" s="2575">
        <f>H579/E579</f>
        <v>3820.5283018867926</v>
      </c>
      <c r="L579" s="2640" t="s">
        <v>118</v>
      </c>
      <c r="M579" s="2574"/>
      <c r="N579" s="2574"/>
      <c r="O579" s="2575">
        <v>44</v>
      </c>
      <c r="P579" s="565"/>
      <c r="Q579" s="565"/>
      <c r="R579" s="565"/>
      <c r="S579" s="565"/>
      <c r="T579" s="765"/>
      <c r="U579" s="636"/>
      <c r="V579" s="2562"/>
      <c r="W579" s="2563"/>
      <c r="X579" s="2568"/>
      <c r="Y579" s="2569"/>
      <c r="Z579" s="733"/>
    </row>
    <row r="580" spans="1:26" ht="48" customHeight="1">
      <c r="A580" s="577"/>
      <c r="B580" s="2572"/>
      <c r="C580" s="2573"/>
      <c r="D580" s="2573"/>
      <c r="E580" s="2577"/>
      <c r="F580" s="2572"/>
      <c r="G580" s="2573"/>
      <c r="H580" s="2576"/>
      <c r="I580" s="2577"/>
      <c r="J580" s="2572"/>
      <c r="K580" s="2577"/>
      <c r="L580" s="2641"/>
      <c r="M580" s="2576"/>
      <c r="N580" s="2576"/>
      <c r="O580" s="2577"/>
      <c r="P580" s="567"/>
      <c r="Q580" s="2663" t="s">
        <v>119</v>
      </c>
      <c r="R580" s="2664"/>
      <c r="S580" s="2664"/>
      <c r="T580" s="2665"/>
      <c r="U580" s="636"/>
      <c r="V580" s="2578" t="s">
        <v>120</v>
      </c>
      <c r="W580" s="2579"/>
      <c r="X580" s="2582" t="s">
        <v>121</v>
      </c>
      <c r="Y580" s="2583"/>
      <c r="Z580" s="733"/>
    </row>
    <row r="581" spans="1:26" ht="52.5" customHeight="1">
      <c r="A581" s="577"/>
      <c r="B581" s="2904" t="s">
        <v>122</v>
      </c>
      <c r="C581" s="2696" t="s">
        <v>33</v>
      </c>
      <c r="D581" s="2697"/>
      <c r="E581" s="2586" t="s">
        <v>123</v>
      </c>
      <c r="F581" s="2587"/>
      <c r="G581" s="2587"/>
      <c r="H581" s="2587"/>
      <c r="I581" s="2587"/>
      <c r="J581" s="2587"/>
      <c r="K581" s="2587"/>
      <c r="L581" s="2587"/>
      <c r="M581" s="2587"/>
      <c r="N581" s="2587"/>
      <c r="O581" s="2588"/>
      <c r="P581" s="568"/>
      <c r="Q581" s="2646" t="s">
        <v>179</v>
      </c>
      <c r="R581" s="2647"/>
      <c r="S581" s="2647"/>
      <c r="T581" s="2648"/>
      <c r="U581" s="636"/>
      <c r="V581" s="2578"/>
      <c r="W581" s="2579"/>
      <c r="X581" s="2582"/>
      <c r="Y581" s="2583"/>
      <c r="Z581" s="733"/>
    </row>
    <row r="582" spans="1:26" ht="52.5" customHeight="1">
      <c r="A582" s="577"/>
      <c r="B582" s="2905"/>
      <c r="C582" s="2698"/>
      <c r="D582" s="2699"/>
      <c r="E582" s="2589"/>
      <c r="F582" s="2590"/>
      <c r="G582" s="2590"/>
      <c r="H582" s="2590"/>
      <c r="I582" s="2590"/>
      <c r="J582" s="2590"/>
      <c r="K582" s="2590"/>
      <c r="L582" s="2590"/>
      <c r="M582" s="2590"/>
      <c r="N582" s="2590"/>
      <c r="O582" s="2591"/>
      <c r="P582" s="569"/>
      <c r="Q582" s="2649"/>
      <c r="R582" s="2650"/>
      <c r="S582" s="2650"/>
      <c r="T582" s="2651"/>
      <c r="U582" s="636"/>
      <c r="V582" s="2580"/>
      <c r="W582" s="2581"/>
      <c r="X582" s="2584"/>
      <c r="Y582" s="2585"/>
      <c r="Z582" s="733"/>
    </row>
    <row r="583" spans="1:26" ht="52.5" customHeight="1">
      <c r="A583" s="577"/>
      <c r="B583" s="766" t="s">
        <v>9</v>
      </c>
      <c r="C583" s="3151">
        <f>COUNTIF(M507:M575,"kia")</f>
        <v>0</v>
      </c>
      <c r="D583" s="3152"/>
      <c r="E583" s="2586" t="s">
        <v>127</v>
      </c>
      <c r="F583" s="2587"/>
      <c r="G583" s="2587"/>
      <c r="H583" s="2587"/>
      <c r="I583" s="2587"/>
      <c r="J583" s="2587"/>
      <c r="K583" s="2587"/>
      <c r="L583" s="2587"/>
      <c r="M583" s="2587"/>
      <c r="N583" s="2587"/>
      <c r="O583" s="2588"/>
      <c r="P583" s="569"/>
      <c r="Q583" s="2958" t="s">
        <v>126</v>
      </c>
      <c r="R583" s="2959"/>
      <c r="S583" s="2959"/>
      <c r="T583" s="2960"/>
      <c r="U583" s="636"/>
      <c r="V583" s="321"/>
      <c r="W583" s="321"/>
      <c r="X583" s="321"/>
      <c r="Y583" s="321"/>
      <c r="Z583" s="733"/>
    </row>
    <row r="584" spans="1:26" ht="52.5" customHeight="1">
      <c r="A584" s="577"/>
      <c r="B584" s="767" t="s">
        <v>8</v>
      </c>
      <c r="C584" s="3138">
        <f>COUNTIF(M507:M575,"IVECO")</f>
        <v>1</v>
      </c>
      <c r="D584" s="3139"/>
      <c r="E584" s="2589"/>
      <c r="F584" s="2590"/>
      <c r="G584" s="2590"/>
      <c r="H584" s="2590"/>
      <c r="I584" s="2590"/>
      <c r="J584" s="2590"/>
      <c r="K584" s="2590"/>
      <c r="L584" s="2590"/>
      <c r="M584" s="2590"/>
      <c r="N584" s="2590"/>
      <c r="O584" s="2591"/>
      <c r="P584" s="569"/>
      <c r="Q584" s="2783" t="s">
        <v>180</v>
      </c>
      <c r="R584" s="2784"/>
      <c r="S584" s="2784"/>
      <c r="T584" s="2785"/>
      <c r="U584" s="636"/>
      <c r="V584" s="2689" t="s">
        <v>129</v>
      </c>
      <c r="W584" s="2690"/>
      <c r="X584" s="2690"/>
      <c r="Y584" s="2691"/>
      <c r="Z584" s="733"/>
    </row>
    <row r="585" spans="1:26" ht="52.5" customHeight="1">
      <c r="A585" s="577"/>
      <c r="B585" s="767">
        <v>1016</v>
      </c>
      <c r="C585" s="3138">
        <f>COUNTIF(M507:M575,"1016")</f>
        <v>25</v>
      </c>
      <c r="D585" s="3139"/>
      <c r="E585" s="2607" t="s">
        <v>131</v>
      </c>
      <c r="F585" s="2608"/>
      <c r="G585" s="2608"/>
      <c r="H585" s="2608"/>
      <c r="I585" s="2608"/>
      <c r="J585" s="2608"/>
      <c r="K585" s="2608"/>
      <c r="L585" s="2608"/>
      <c r="M585" s="2608"/>
      <c r="N585" s="2608"/>
      <c r="O585" s="2609"/>
      <c r="P585" s="569"/>
      <c r="Q585" s="2786"/>
      <c r="R585" s="2787"/>
      <c r="S585" s="2787"/>
      <c r="T585" s="2788"/>
      <c r="U585" s="636"/>
      <c r="V585" s="2601" t="s">
        <v>130</v>
      </c>
      <c r="W585" s="2602"/>
      <c r="X585" s="2602"/>
      <c r="Y585" s="2603"/>
      <c r="Z585" s="733"/>
    </row>
    <row r="586" spans="1:26" ht="52.5" customHeight="1">
      <c r="A586" s="577"/>
      <c r="B586" s="767" t="s">
        <v>7</v>
      </c>
      <c r="C586" s="3138">
        <f>COUNTIF(M507:M575,"TOCO")</f>
        <v>23</v>
      </c>
      <c r="D586" s="3139"/>
      <c r="E586" s="2552" t="s">
        <v>181</v>
      </c>
      <c r="F586" s="2553"/>
      <c r="G586" s="2553"/>
      <c r="H586" s="2553"/>
      <c r="I586" s="2553"/>
      <c r="J586" s="2553"/>
      <c r="K586" s="2553"/>
      <c r="L586" s="2553"/>
      <c r="M586" s="2553"/>
      <c r="N586" s="2553"/>
      <c r="O586" s="2554"/>
      <c r="P586" s="568"/>
      <c r="Q586" s="2774" t="s">
        <v>132</v>
      </c>
      <c r="R586" s="2775"/>
      <c r="S586" s="2775"/>
      <c r="T586" s="2776"/>
      <c r="U586" s="636"/>
      <c r="V586" s="2604"/>
      <c r="W586" s="2605"/>
      <c r="X586" s="2605"/>
      <c r="Y586" s="2606"/>
      <c r="Z586" s="733"/>
    </row>
    <row r="587" spans="1:26" ht="52.5" customHeight="1">
      <c r="A587" s="577"/>
      <c r="B587" s="768" t="s">
        <v>6</v>
      </c>
      <c r="C587" s="3140">
        <f>COUNTIF(M507:M575,"TRUCK")</f>
        <v>4</v>
      </c>
      <c r="D587" s="3141"/>
      <c r="E587" s="2555"/>
      <c r="F587" s="2556"/>
      <c r="G587" s="2556"/>
      <c r="H587" s="2556"/>
      <c r="I587" s="2556"/>
      <c r="J587" s="2556"/>
      <c r="K587" s="2556"/>
      <c r="L587" s="2556"/>
      <c r="M587" s="2556"/>
      <c r="N587" s="2556"/>
      <c r="O587" s="2557"/>
      <c r="P587" s="568"/>
      <c r="Q587" s="2777"/>
      <c r="R587" s="2778"/>
      <c r="S587" s="2778"/>
      <c r="T587" s="2779"/>
      <c r="U587" s="725"/>
      <c r="V587" s="2616" t="s">
        <v>133</v>
      </c>
      <c r="W587" s="2617"/>
      <c r="X587" s="2622">
        <f>SUM(E507:E575,G507:G575,I507:I575)</f>
        <v>202488</v>
      </c>
      <c r="Y587" s="2623"/>
      <c r="Z587" s="733"/>
    </row>
    <row r="588" spans="1:26" ht="52.5" customHeight="1">
      <c r="A588" s="577"/>
      <c r="B588" s="2696" t="s">
        <v>134</v>
      </c>
      <c r="C588" s="2751">
        <f>C583+C584+C585+C586+C587</f>
        <v>53</v>
      </c>
      <c r="D588" s="2697"/>
      <c r="E588" s="2552" t="s">
        <v>182</v>
      </c>
      <c r="F588" s="2553"/>
      <c r="G588" s="2553"/>
      <c r="H588" s="2553"/>
      <c r="I588" s="2553"/>
      <c r="J588" s="2553"/>
      <c r="K588" s="2553"/>
      <c r="L588" s="2553"/>
      <c r="M588" s="2553"/>
      <c r="N588" s="2553"/>
      <c r="O588" s="2554"/>
      <c r="P588" s="573"/>
      <c r="Q588" s="2780"/>
      <c r="R588" s="2781"/>
      <c r="S588" s="2781"/>
      <c r="T588" s="2782"/>
      <c r="U588" s="636"/>
      <c r="V588" s="2618"/>
      <c r="W588" s="2619"/>
      <c r="X588" s="2624"/>
      <c r="Y588" s="2625"/>
      <c r="Z588" s="733"/>
    </row>
    <row r="589" spans="1:26" ht="52.5" customHeight="1">
      <c r="A589" s="577"/>
      <c r="B589" s="2698"/>
      <c r="C589" s="2752"/>
      <c r="D589" s="2699"/>
      <c r="E589" s="2555"/>
      <c r="F589" s="2556"/>
      <c r="G589" s="2556"/>
      <c r="H589" s="2556"/>
      <c r="I589" s="2556"/>
      <c r="J589" s="2556"/>
      <c r="K589" s="2556"/>
      <c r="L589" s="2556"/>
      <c r="M589" s="2556"/>
      <c r="N589" s="2556"/>
      <c r="O589" s="2557"/>
      <c r="P589" s="769"/>
      <c r="Q589" s="2777" t="s">
        <v>183</v>
      </c>
      <c r="R589" s="2778"/>
      <c r="S589" s="2778"/>
      <c r="T589" s="2779"/>
      <c r="U589" s="636"/>
      <c r="V589" s="2618"/>
      <c r="W589" s="2619"/>
      <c r="X589" s="2624"/>
      <c r="Y589" s="2625"/>
      <c r="Z589" s="733"/>
    </row>
    <row r="590" spans="1:26" ht="52.5" customHeight="1">
      <c r="A590" s="577"/>
      <c r="B590" s="770" t="s">
        <v>136</v>
      </c>
      <c r="C590" s="2847" t="s">
        <v>137</v>
      </c>
      <c r="D590" s="2848"/>
      <c r="E590" s="2848"/>
      <c r="F590" s="2848"/>
      <c r="G590" s="2848"/>
      <c r="H590" s="2848"/>
      <c r="I590" s="2848"/>
      <c r="J590" s="2848"/>
      <c r="K590" s="2848"/>
      <c r="L590" s="2848"/>
      <c r="M590" s="2848"/>
      <c r="N590" s="2848"/>
      <c r="O590" s="2849"/>
      <c r="P590" s="771"/>
      <c r="Q590" s="2780"/>
      <c r="R590" s="2781"/>
      <c r="S590" s="2781"/>
      <c r="T590" s="2782"/>
      <c r="U590" s="636"/>
      <c r="V590" s="2620"/>
      <c r="W590" s="2621"/>
      <c r="X590" s="2626"/>
      <c r="Y590" s="2627"/>
      <c r="Z590" s="733"/>
    </row>
    <row r="593" spans="1:26" s="306" customFormat="1"/>
    <row r="594" spans="1:26" s="306" customFormat="1"/>
    <row r="595" spans="1:26" s="299" customFormat="1" ht="42.75" customHeight="1">
      <c r="A595" s="299" t="s">
        <v>17</v>
      </c>
      <c r="B595" s="2712"/>
      <c r="C595" s="2713"/>
      <c r="D595" s="2713"/>
      <c r="E595" s="2713"/>
      <c r="F595" s="2713"/>
      <c r="G595" s="2713"/>
      <c r="H595" s="2713"/>
      <c r="I595" s="2714"/>
      <c r="J595" s="2850" t="s">
        <v>18</v>
      </c>
      <c r="K595" s="2851"/>
      <c r="L595" s="2851"/>
      <c r="M595" s="2851"/>
      <c r="N595" s="2851"/>
      <c r="O595" s="2851"/>
      <c r="P595" s="2851"/>
      <c r="Q595" s="2852"/>
      <c r="R595" s="2789">
        <v>46153</v>
      </c>
      <c r="S595" s="2790"/>
      <c r="T595" s="2791"/>
      <c r="U595" s="307"/>
      <c r="V595" s="2700" t="s">
        <v>19</v>
      </c>
      <c r="W595" s="2701"/>
      <c r="X595" s="2700" t="s">
        <v>19</v>
      </c>
      <c r="Y595" s="2701"/>
    </row>
    <row r="596" spans="1:26" s="299" customFormat="1" ht="42.75" customHeight="1">
      <c r="B596" s="2715"/>
      <c r="C596" s="2716"/>
      <c r="D596" s="2716"/>
      <c r="E596" s="2716"/>
      <c r="F596" s="2716"/>
      <c r="G596" s="2716"/>
      <c r="H596" s="2716"/>
      <c r="I596" s="2717"/>
      <c r="J596" s="2724" t="s">
        <v>20</v>
      </c>
      <c r="K596" s="2725"/>
      <c r="L596" s="2725"/>
      <c r="M596" s="2725"/>
      <c r="N596" s="2725"/>
      <c r="O596" s="2725"/>
      <c r="P596" s="2725"/>
      <c r="Q596" s="2726"/>
      <c r="R596" s="2792"/>
      <c r="S596" s="2793"/>
      <c r="T596" s="2794"/>
      <c r="U596" s="307"/>
      <c r="V596" s="2702"/>
      <c r="W596" s="2703"/>
      <c r="X596" s="2702"/>
      <c r="Y596" s="2703"/>
    </row>
    <row r="597" spans="1:26" s="299" customFormat="1" ht="6" customHeight="1">
      <c r="B597" s="311"/>
      <c r="C597" s="312"/>
      <c r="D597" s="308"/>
      <c r="E597" s="308"/>
      <c r="F597" s="308"/>
      <c r="G597" s="308"/>
      <c r="H597" s="308"/>
      <c r="I597" s="308"/>
      <c r="J597" s="2727"/>
      <c r="K597" s="2728"/>
      <c r="L597" s="2728"/>
      <c r="M597" s="2728"/>
      <c r="N597" s="2728"/>
      <c r="O597" s="2728"/>
      <c r="P597" s="2728"/>
      <c r="Q597" s="2729"/>
      <c r="R597" s="313" t="s">
        <v>21</v>
      </c>
      <c r="S597" s="313"/>
      <c r="T597" s="314"/>
      <c r="U597" s="307"/>
      <c r="V597" s="309"/>
      <c r="W597" s="310"/>
      <c r="X597" s="309"/>
      <c r="Y597" s="310"/>
    </row>
    <row r="598" spans="1:26" s="299" customFormat="1" ht="48.95" customHeight="1">
      <c r="B598" s="2881" t="s">
        <v>22</v>
      </c>
      <c r="C598" s="315"/>
      <c r="D598" s="2853" t="s">
        <v>23</v>
      </c>
      <c r="E598" s="2854"/>
      <c r="F598" s="2853" t="s">
        <v>24</v>
      </c>
      <c r="G598" s="2854"/>
      <c r="H598" s="2853" t="s">
        <v>25</v>
      </c>
      <c r="I598" s="2854"/>
      <c r="J598" s="2730"/>
      <c r="K598" s="2731"/>
      <c r="L598" s="2731"/>
      <c r="M598" s="2731"/>
      <c r="N598" s="2731"/>
      <c r="O598" s="2731"/>
      <c r="P598" s="2731"/>
      <c r="Q598" s="2732"/>
      <c r="R598" s="2895" t="s">
        <v>26</v>
      </c>
      <c r="S598" s="2965"/>
      <c r="T598" s="320">
        <f>L662</f>
        <v>58</v>
      </c>
      <c r="U598" s="321"/>
      <c r="V598" s="2525" t="s">
        <v>27</v>
      </c>
      <c r="W598" s="2526"/>
      <c r="X598" s="2525" t="s">
        <v>28</v>
      </c>
      <c r="Y598" s="2526"/>
      <c r="Z598" s="322"/>
    </row>
    <row r="599" spans="1:26" s="299" customFormat="1" ht="45.95" customHeight="1">
      <c r="B599" s="2882"/>
      <c r="C599" s="315"/>
      <c r="D599" s="772" t="s">
        <v>29</v>
      </c>
      <c r="E599" s="772" t="s">
        <v>30</v>
      </c>
      <c r="F599" s="772" t="s">
        <v>29</v>
      </c>
      <c r="G599" s="772" t="s">
        <v>30</v>
      </c>
      <c r="H599" s="772" t="s">
        <v>29</v>
      </c>
      <c r="I599" s="772" t="s">
        <v>30</v>
      </c>
      <c r="J599" s="773" t="s">
        <v>31</v>
      </c>
      <c r="K599" s="772" t="s">
        <v>32</v>
      </c>
      <c r="L599" s="323" t="s">
        <v>33</v>
      </c>
      <c r="M599" s="323" t="s">
        <v>34</v>
      </c>
      <c r="N599" s="323" t="s">
        <v>32</v>
      </c>
      <c r="O599" s="316" t="s">
        <v>35</v>
      </c>
      <c r="P599" s="317"/>
      <c r="Q599" s="323" t="s">
        <v>36</v>
      </c>
      <c r="R599" s="323" t="s">
        <v>37</v>
      </c>
      <c r="S599" s="323" t="s">
        <v>38</v>
      </c>
      <c r="T599" s="324" t="s">
        <v>39</v>
      </c>
      <c r="U599" s="321"/>
      <c r="V599" s="2527"/>
      <c r="W599" s="2528"/>
      <c r="X599" s="2527"/>
      <c r="Y599" s="2528"/>
      <c r="Z599" s="322"/>
    </row>
    <row r="600" spans="1:26" s="304" customFormat="1" ht="45" customHeight="1">
      <c r="B600" s="774">
        <v>0.333333333343035</v>
      </c>
      <c r="C600" s="775"/>
      <c r="D600" s="776">
        <v>15</v>
      </c>
      <c r="E600" s="777">
        <v>1000</v>
      </c>
      <c r="F600" s="776">
        <v>25</v>
      </c>
      <c r="G600" s="778">
        <v>2000</v>
      </c>
      <c r="H600" s="779"/>
      <c r="I600" s="780"/>
      <c r="J600" s="778">
        <f t="shared" ref="J600:J609" si="43">E600+G600+I600</f>
        <v>3000</v>
      </c>
      <c r="K600" s="781">
        <f t="shared" ref="K600:K609" si="44">J600/500</f>
        <v>6</v>
      </c>
      <c r="L600" s="780">
        <v>1</v>
      </c>
      <c r="M600" s="1241">
        <v>1016</v>
      </c>
      <c r="N600" s="1242">
        <v>7</v>
      </c>
      <c r="O600" s="2966" t="s">
        <v>141</v>
      </c>
      <c r="P600" s="3142"/>
      <c r="Q600" s="1244">
        <v>2</v>
      </c>
      <c r="R600" s="1245">
        <v>3</v>
      </c>
      <c r="S600" s="1246" t="s">
        <v>142</v>
      </c>
      <c r="T600" s="1245">
        <v>605</v>
      </c>
      <c r="V600" s="2630">
        <f>VLOOKUP(M600,'[1]TABELA FRETE'!$A$6:$B$12,2,0)</f>
        <v>425.7</v>
      </c>
      <c r="W600" s="2631"/>
      <c r="X600" s="2632"/>
      <c r="Y600" s="2633"/>
    </row>
    <row r="601" spans="1:26" s="304" customFormat="1" ht="45" customHeight="1">
      <c r="B601" s="788">
        <v>0.333333333343035</v>
      </c>
      <c r="C601" s="775"/>
      <c r="D601" s="789">
        <v>4</v>
      </c>
      <c r="E601" s="803">
        <v>1000</v>
      </c>
      <c r="F601" s="789">
        <v>18</v>
      </c>
      <c r="G601" s="804">
        <v>1500</v>
      </c>
      <c r="H601" s="793"/>
      <c r="I601" s="794"/>
      <c r="J601" s="792">
        <f t="shared" si="43"/>
        <v>2500</v>
      </c>
      <c r="K601" s="795">
        <f t="shared" si="44"/>
        <v>5</v>
      </c>
      <c r="L601" s="794">
        <v>1</v>
      </c>
      <c r="M601" s="810">
        <v>1016</v>
      </c>
      <c r="N601" s="1247">
        <v>7</v>
      </c>
      <c r="O601" s="1248" t="s">
        <v>56</v>
      </c>
      <c r="P601" s="1249"/>
      <c r="Q601" s="1249">
        <v>1</v>
      </c>
      <c r="R601" s="813">
        <v>2</v>
      </c>
      <c r="S601" s="1250" t="s">
        <v>57</v>
      </c>
      <c r="T601" s="1249">
        <v>663</v>
      </c>
      <c r="V601" s="2630">
        <f>VLOOKUP(M601,'[1]TABELA FRETE'!$A$6:$B$12,2,0)</f>
        <v>425.7</v>
      </c>
      <c r="W601" s="2631"/>
      <c r="X601" s="2632"/>
      <c r="Y601" s="2633"/>
    </row>
    <row r="602" spans="1:26" s="305" customFormat="1" ht="42.95" customHeight="1">
      <c r="B602" s="802">
        <v>0.333333333343035</v>
      </c>
      <c r="C602" s="775"/>
      <c r="D602" s="791">
        <v>10</v>
      </c>
      <c r="E602" s="816">
        <v>3000</v>
      </c>
      <c r="F602" s="791">
        <v>17</v>
      </c>
      <c r="G602" s="794">
        <v>2000</v>
      </c>
      <c r="H602" s="789"/>
      <c r="I602" s="805"/>
      <c r="J602" s="806">
        <f t="shared" si="43"/>
        <v>5000</v>
      </c>
      <c r="K602" s="795">
        <f t="shared" si="44"/>
        <v>10</v>
      </c>
      <c r="L602" s="805">
        <v>1</v>
      </c>
      <c r="M602" s="810">
        <v>1016</v>
      </c>
      <c r="N602" s="1247">
        <v>8</v>
      </c>
      <c r="O602" s="2946" t="s">
        <v>81</v>
      </c>
      <c r="P602" s="3136"/>
      <c r="Q602" s="1249">
        <v>2</v>
      </c>
      <c r="R602" s="813">
        <v>3</v>
      </c>
      <c r="S602" s="1250" t="s">
        <v>185</v>
      </c>
      <c r="T602" s="1249">
        <v>606</v>
      </c>
      <c r="U602" s="304"/>
      <c r="V602" s="2630">
        <f>VLOOKUP(M602,'[1]TABELA FRETE'!$A$6:$B$12,2,0)</f>
        <v>425.7</v>
      </c>
      <c r="W602" s="2631"/>
      <c r="X602" s="2944"/>
      <c r="Y602" s="2945"/>
    </row>
    <row r="603" spans="1:26" s="305" customFormat="1" ht="45" customHeight="1">
      <c r="B603" s="788">
        <v>0.333333333343035</v>
      </c>
      <c r="C603" s="775"/>
      <c r="D603" s="824">
        <v>46</v>
      </c>
      <c r="E603" s="803">
        <v>2000</v>
      </c>
      <c r="F603" s="789">
        <v>36</v>
      </c>
      <c r="G603" s="804">
        <v>2000</v>
      </c>
      <c r="H603" s="789"/>
      <c r="I603" s="805"/>
      <c r="J603" s="806">
        <f t="shared" si="43"/>
        <v>4000</v>
      </c>
      <c r="K603" s="795">
        <f t="shared" si="44"/>
        <v>8</v>
      </c>
      <c r="L603" s="805">
        <v>1</v>
      </c>
      <c r="M603" s="796">
        <v>1016</v>
      </c>
      <c r="N603" s="1251">
        <v>8</v>
      </c>
      <c r="O603" s="2942" t="s">
        <v>46</v>
      </c>
      <c r="P603" s="3137"/>
      <c r="Q603" s="815">
        <v>2</v>
      </c>
      <c r="R603" s="799">
        <v>3</v>
      </c>
      <c r="S603" s="1253" t="s">
        <v>47</v>
      </c>
      <c r="T603" s="801">
        <v>48</v>
      </c>
      <c r="U603" s="304"/>
      <c r="V603" s="2630">
        <f>VLOOKUP(M603,'[1]TABELA FRETE'!$A$6:$B$12,2,0)</f>
        <v>425.7</v>
      </c>
      <c r="W603" s="2631"/>
      <c r="X603" s="2944"/>
      <c r="Y603" s="2945"/>
    </row>
    <row r="604" spans="1:26" s="305" customFormat="1" ht="59.25" customHeight="1">
      <c r="B604" s="802">
        <v>0.333333333343035</v>
      </c>
      <c r="C604" s="775"/>
      <c r="D604" s="824">
        <v>1129</v>
      </c>
      <c r="E604" s="803">
        <v>2000</v>
      </c>
      <c r="F604" s="824" t="s">
        <v>198</v>
      </c>
      <c r="G604" s="804">
        <v>4000</v>
      </c>
      <c r="H604" s="791"/>
      <c r="I604" s="794"/>
      <c r="J604" s="792">
        <f t="shared" si="43"/>
        <v>6000</v>
      </c>
      <c r="K604" s="817">
        <f t="shared" si="44"/>
        <v>12</v>
      </c>
      <c r="L604" s="805">
        <v>1</v>
      </c>
      <c r="M604" s="796" t="s">
        <v>6</v>
      </c>
      <c r="N604" s="1251">
        <v>14</v>
      </c>
      <c r="O604" s="1252" t="s">
        <v>64</v>
      </c>
      <c r="P604" s="815"/>
      <c r="Q604" s="815">
        <v>1</v>
      </c>
      <c r="R604" s="799">
        <v>2</v>
      </c>
      <c r="S604" s="1253" t="s">
        <v>65</v>
      </c>
      <c r="T604" s="801">
        <v>598</v>
      </c>
      <c r="U604" s="304"/>
      <c r="V604" s="2630">
        <f>VLOOKUP(M604,'[1]TABELA FRETE'!$A$6:$B$12,2,0)</f>
        <v>489.5</v>
      </c>
      <c r="W604" s="2631"/>
      <c r="X604" s="2944"/>
      <c r="Y604" s="2945"/>
    </row>
    <row r="605" spans="1:26" s="305" customFormat="1" ht="45.95" customHeight="1">
      <c r="B605" s="802">
        <v>0.33333333333333298</v>
      </c>
      <c r="C605" s="775"/>
      <c r="D605" s="824">
        <v>47</v>
      </c>
      <c r="E605" s="803">
        <v>2000</v>
      </c>
      <c r="F605" s="789">
        <v>31</v>
      </c>
      <c r="G605" s="804">
        <v>2000</v>
      </c>
      <c r="H605" s="789"/>
      <c r="I605" s="805"/>
      <c r="J605" s="792">
        <f t="shared" si="43"/>
        <v>4000</v>
      </c>
      <c r="K605" s="817">
        <f t="shared" si="44"/>
        <v>8</v>
      </c>
      <c r="L605" s="805">
        <v>1</v>
      </c>
      <c r="M605" s="796">
        <v>1016</v>
      </c>
      <c r="N605" s="1251">
        <v>8</v>
      </c>
      <c r="O605" s="2942" t="s">
        <v>44</v>
      </c>
      <c r="P605" s="3137"/>
      <c r="Q605" s="815">
        <v>2</v>
      </c>
      <c r="R605" s="799">
        <v>3</v>
      </c>
      <c r="S605" s="1253" t="s">
        <v>197</v>
      </c>
      <c r="T605" s="815">
        <v>674</v>
      </c>
      <c r="U605" s="304"/>
      <c r="V605" s="2630">
        <f>VLOOKUP(M605,'[1]TABELA FRETE'!$A$6:$B$12,2,0)</f>
        <v>425.7</v>
      </c>
      <c r="W605" s="2631"/>
      <c r="X605" s="2944"/>
      <c r="Y605" s="2945"/>
    </row>
    <row r="606" spans="1:26" s="305" customFormat="1" ht="45.95" customHeight="1">
      <c r="B606" s="802">
        <v>0.333333333343035</v>
      </c>
      <c r="C606" s="775"/>
      <c r="D606" s="824">
        <v>8</v>
      </c>
      <c r="E606" s="803">
        <v>5500</v>
      </c>
      <c r="F606" s="789"/>
      <c r="G606" s="804"/>
      <c r="H606" s="789"/>
      <c r="I606" s="826"/>
      <c r="J606" s="792">
        <f t="shared" si="43"/>
        <v>5500</v>
      </c>
      <c r="K606" s="817">
        <f t="shared" si="44"/>
        <v>11</v>
      </c>
      <c r="L606" s="794">
        <v>1</v>
      </c>
      <c r="M606" s="810" t="s">
        <v>7</v>
      </c>
      <c r="N606" s="1247">
        <v>12</v>
      </c>
      <c r="O606" s="2946" t="s">
        <v>224</v>
      </c>
      <c r="P606" s="3136"/>
      <c r="Q606" s="1249">
        <v>1</v>
      </c>
      <c r="R606" s="813">
        <v>1</v>
      </c>
      <c r="S606" s="1250" t="s">
        <v>225</v>
      </c>
      <c r="T606" s="1254">
        <v>782</v>
      </c>
      <c r="U606" s="304"/>
      <c r="V606" s="2630">
        <f>VLOOKUP(M606,'[1]TABELA FRETE'!$A$6:$B$12,2,0)</f>
        <v>466.4</v>
      </c>
      <c r="W606" s="2631"/>
      <c r="X606" s="2944"/>
      <c r="Y606" s="2945"/>
    </row>
    <row r="607" spans="1:26" s="305" customFormat="1" ht="45.95" customHeight="1">
      <c r="B607" s="802">
        <v>0.333333333343035</v>
      </c>
      <c r="C607" s="775"/>
      <c r="D607" s="789">
        <v>19</v>
      </c>
      <c r="E607" s="803">
        <v>5500</v>
      </c>
      <c r="F607" s="789"/>
      <c r="G607" s="804"/>
      <c r="H607" s="789"/>
      <c r="I607" s="826"/>
      <c r="J607" s="792">
        <f t="shared" si="43"/>
        <v>5500</v>
      </c>
      <c r="K607" s="817">
        <f t="shared" si="44"/>
        <v>11</v>
      </c>
      <c r="L607" s="794">
        <v>1</v>
      </c>
      <c r="M607" s="796" t="s">
        <v>7</v>
      </c>
      <c r="N607" s="1251">
        <v>12</v>
      </c>
      <c r="O607" s="2942" t="s">
        <v>146</v>
      </c>
      <c r="P607" s="3137"/>
      <c r="Q607" s="815">
        <v>1</v>
      </c>
      <c r="R607" s="799">
        <v>1</v>
      </c>
      <c r="S607" s="1253" t="s">
        <v>147</v>
      </c>
      <c r="T607" s="815">
        <v>91</v>
      </c>
      <c r="U607" s="304"/>
      <c r="V607" s="2630">
        <f>VLOOKUP(M607,'[1]TABELA FRETE'!$A$6:$B$12,2,0)</f>
        <v>466.4</v>
      </c>
      <c r="W607" s="2631"/>
      <c r="X607" s="2944"/>
      <c r="Y607" s="2945"/>
    </row>
    <row r="608" spans="1:26" s="305" customFormat="1" ht="62.25" customHeight="1">
      <c r="B608" s="802">
        <v>0.333333333343035</v>
      </c>
      <c r="C608" s="775"/>
      <c r="D608" s="825" t="s">
        <v>152</v>
      </c>
      <c r="E608" s="803">
        <v>5500</v>
      </c>
      <c r="F608" s="789"/>
      <c r="G608" s="804"/>
      <c r="H608" s="789"/>
      <c r="I608" s="826"/>
      <c r="J608" s="792">
        <f t="shared" si="43"/>
        <v>5500</v>
      </c>
      <c r="K608" s="817">
        <f t="shared" si="44"/>
        <v>11</v>
      </c>
      <c r="L608" s="794">
        <v>1</v>
      </c>
      <c r="M608" s="1255" t="s">
        <v>6</v>
      </c>
      <c r="N608" s="1256">
        <v>14</v>
      </c>
      <c r="O608" s="3022" t="s">
        <v>220</v>
      </c>
      <c r="P608" s="3129"/>
      <c r="Q608" s="1257">
        <v>1</v>
      </c>
      <c r="R608" s="1258">
        <v>0</v>
      </c>
      <c r="S608" s="1259" t="s">
        <v>221</v>
      </c>
      <c r="T608" s="1260">
        <v>184422</v>
      </c>
      <c r="U608" s="304"/>
      <c r="V608" s="2630">
        <f>VLOOKUP(M608,'[1]TABELA FRETE'!$A$6:$B$12,2,0)</f>
        <v>489.5</v>
      </c>
      <c r="W608" s="2631"/>
      <c r="X608" s="2944"/>
      <c r="Y608" s="2945"/>
    </row>
    <row r="609" spans="2:25" s="305" customFormat="1" ht="45.95" customHeight="1">
      <c r="B609" s="833">
        <v>0.333333333343035</v>
      </c>
      <c r="C609" s="775"/>
      <c r="D609" s="834">
        <v>34</v>
      </c>
      <c r="E609" s="835">
        <v>4000</v>
      </c>
      <c r="F609" s="834"/>
      <c r="G609" s="1261"/>
      <c r="H609" s="834"/>
      <c r="I609" s="1262"/>
      <c r="J609" s="838">
        <f t="shared" si="43"/>
        <v>4000</v>
      </c>
      <c r="K609" s="839">
        <f t="shared" si="44"/>
        <v>8</v>
      </c>
      <c r="L609" s="837">
        <v>1</v>
      </c>
      <c r="M609" s="1263">
        <v>1016</v>
      </c>
      <c r="N609" s="1264">
        <v>8</v>
      </c>
      <c r="O609" s="3130" t="s">
        <v>88</v>
      </c>
      <c r="P609" s="3131"/>
      <c r="Q609" s="1265">
        <v>1</v>
      </c>
      <c r="R609" s="1266">
        <v>1</v>
      </c>
      <c r="S609" s="1267" t="s">
        <v>184</v>
      </c>
      <c r="T609" s="1265">
        <v>799</v>
      </c>
      <c r="U609" s="304"/>
      <c r="V609" s="2630">
        <f>VLOOKUP(M609,'[1]TABELA FRETE'!$A$6:$B$12,2,0)</f>
        <v>425.7</v>
      </c>
      <c r="W609" s="2631"/>
      <c r="X609" s="3132"/>
      <c r="Y609" s="3133"/>
    </row>
    <row r="610" spans="2:25" s="301" customFormat="1" ht="6" customHeight="1">
      <c r="B610" s="326"/>
      <c r="C610" s="326"/>
      <c r="D610" s="844"/>
      <c r="E610" s="422"/>
      <c r="F610" s="845"/>
      <c r="G610" s="423"/>
      <c r="H610" s="845"/>
      <c r="I610" s="423"/>
      <c r="J610" s="423"/>
      <c r="K610" s="425"/>
      <c r="L610" s="423"/>
      <c r="M610" s="846"/>
      <c r="N610" s="847"/>
      <c r="O610" s="428"/>
      <c r="P610" s="428"/>
      <c r="Q610" s="429"/>
      <c r="R610" s="429"/>
      <c r="S610" s="430"/>
      <c r="T610" s="428"/>
      <c r="U610" s="432"/>
      <c r="V610" s="679"/>
      <c r="W610" s="679"/>
      <c r="X610" s="434"/>
      <c r="Y610" s="434"/>
    </row>
    <row r="611" spans="2:25" s="300" customFormat="1" ht="48" customHeight="1">
      <c r="B611" s="325">
        <v>0.41666666666666702</v>
      </c>
      <c r="C611" s="326"/>
      <c r="D611" s="327">
        <v>28</v>
      </c>
      <c r="E611" s="849">
        <v>1724</v>
      </c>
      <c r="F611" s="327"/>
      <c r="G611" s="330"/>
      <c r="H611" s="587"/>
      <c r="I611" s="330"/>
      <c r="J611" s="332">
        <f t="shared" ref="J611:J615" si="45">E611+G611+I611</f>
        <v>1724</v>
      </c>
      <c r="K611" s="333">
        <f>J611/450</f>
        <v>3.8311111111111109</v>
      </c>
      <c r="L611" s="332">
        <v>1</v>
      </c>
      <c r="M611" s="1268" t="s">
        <v>8</v>
      </c>
      <c r="N611" s="1269">
        <v>4</v>
      </c>
      <c r="O611" s="3134" t="s">
        <v>267</v>
      </c>
      <c r="P611" s="3135"/>
      <c r="Q611" s="1270">
        <v>1</v>
      </c>
      <c r="R611" s="1271">
        <v>0</v>
      </c>
      <c r="S611" s="1272" t="s">
        <v>268</v>
      </c>
      <c r="T611" s="1273">
        <v>353</v>
      </c>
      <c r="U611" s="307"/>
      <c r="V611" s="2630">
        <f>VLOOKUP(M611,'[1]TABELA FRETE'!$A$6:$B$12,2,0)</f>
        <v>286</v>
      </c>
      <c r="W611" s="2631"/>
      <c r="X611" s="2632"/>
      <c r="Y611" s="2633"/>
    </row>
    <row r="612" spans="2:25" s="300" customFormat="1" ht="48" customHeight="1">
      <c r="B612" s="463">
        <v>0.41666666666666702</v>
      </c>
      <c r="C612" s="326"/>
      <c r="D612" s="344">
        <v>29</v>
      </c>
      <c r="E612" s="897">
        <v>2618</v>
      </c>
      <c r="F612" s="517">
        <v>28</v>
      </c>
      <c r="G612" s="1274" t="s">
        <v>269</v>
      </c>
      <c r="H612" s="593"/>
      <c r="I612" s="349"/>
      <c r="J612" s="365">
        <f>E612</f>
        <v>2618</v>
      </c>
      <c r="K612" s="366">
        <f>J612/450</f>
        <v>5.8177777777777777</v>
      </c>
      <c r="L612" s="365">
        <v>1</v>
      </c>
      <c r="M612" s="1275">
        <v>1016</v>
      </c>
      <c r="N612" s="1276">
        <v>6</v>
      </c>
      <c r="O612" s="2692" t="s">
        <v>139</v>
      </c>
      <c r="P612" s="2693"/>
      <c r="Q612" s="862">
        <v>1</v>
      </c>
      <c r="R612" s="863">
        <v>0</v>
      </c>
      <c r="S612" s="864" t="s">
        <v>140</v>
      </c>
      <c r="T612" s="861">
        <v>809</v>
      </c>
      <c r="U612" s="307"/>
      <c r="V612" s="2630">
        <f>VLOOKUP(M612,'[1]TABELA FRETE'!$A$6:$B$12,2,0)</f>
        <v>425.7</v>
      </c>
      <c r="W612" s="2631"/>
      <c r="X612" s="2632"/>
      <c r="Y612" s="2633"/>
    </row>
    <row r="613" spans="2:25" s="299" customFormat="1" ht="48" customHeight="1">
      <c r="B613" s="463">
        <v>0.41666666666666702</v>
      </c>
      <c r="C613" s="326"/>
      <c r="D613" s="359">
        <v>7</v>
      </c>
      <c r="E613" s="858">
        <v>1000</v>
      </c>
      <c r="F613" s="359"/>
      <c r="G613" s="375"/>
      <c r="H613" s="363"/>
      <c r="I613" s="364"/>
      <c r="J613" s="365">
        <f t="shared" si="45"/>
        <v>1000</v>
      </c>
      <c r="K613" s="366">
        <f>J613/450</f>
        <v>2.2222222222222223</v>
      </c>
      <c r="L613" s="365">
        <v>1</v>
      </c>
      <c r="M613" s="1275" t="s">
        <v>9</v>
      </c>
      <c r="N613" s="1276">
        <v>3</v>
      </c>
      <c r="O613" s="2692" t="s">
        <v>189</v>
      </c>
      <c r="P613" s="2693"/>
      <c r="Q613" s="862">
        <v>1</v>
      </c>
      <c r="R613" s="863">
        <v>1</v>
      </c>
      <c r="S613" s="864" t="s">
        <v>190</v>
      </c>
      <c r="T613" s="861">
        <v>738</v>
      </c>
      <c r="U613" s="307"/>
      <c r="V613" s="2630">
        <f>VLOOKUP(M613,'[1]TABELA FRETE'!$A$6:$B$12,2,0)</f>
        <v>250.8</v>
      </c>
      <c r="W613" s="2631"/>
      <c r="X613" s="2632"/>
      <c r="Y613" s="2633"/>
    </row>
    <row r="614" spans="2:25" s="299" customFormat="1" ht="48" customHeight="1">
      <c r="B614" s="463">
        <v>0.41666666666666702</v>
      </c>
      <c r="C614" s="326"/>
      <c r="D614" s="359">
        <v>11</v>
      </c>
      <c r="E614" s="867">
        <v>2000</v>
      </c>
      <c r="F614" s="924"/>
      <c r="G614" s="395"/>
      <c r="H614" s="394"/>
      <c r="I614" s="727"/>
      <c r="J614" s="365">
        <f t="shared" si="45"/>
        <v>2000</v>
      </c>
      <c r="K614" s="366">
        <f>J614/450</f>
        <v>4.4444444444444446</v>
      </c>
      <c r="L614" s="365">
        <v>1</v>
      </c>
      <c r="M614" s="594" t="s">
        <v>8</v>
      </c>
      <c r="N614" s="595">
        <v>4</v>
      </c>
      <c r="O614" s="2628" t="s">
        <v>96</v>
      </c>
      <c r="P614" s="2629"/>
      <c r="Q614" s="596">
        <v>2</v>
      </c>
      <c r="R614" s="597">
        <v>0</v>
      </c>
      <c r="S614" s="598" t="s">
        <v>97</v>
      </c>
      <c r="T614" s="597">
        <v>456</v>
      </c>
      <c r="U614" s="307"/>
      <c r="V614" s="2630">
        <f>VLOOKUP(M614,'[1]TABELA FRETE'!$A$6:$B$12,2,0)</f>
        <v>286</v>
      </c>
      <c r="W614" s="2631"/>
      <c r="X614" s="2632"/>
      <c r="Y614" s="2633"/>
    </row>
    <row r="615" spans="2:25" s="299" customFormat="1" ht="48" customHeight="1">
      <c r="B615" s="463">
        <v>0.41666666666666702</v>
      </c>
      <c r="C615" s="326"/>
      <c r="D615" s="359">
        <v>11</v>
      </c>
      <c r="E615" s="867">
        <v>1500</v>
      </c>
      <c r="F615" s="924"/>
      <c r="G615" s="395"/>
      <c r="H615" s="394"/>
      <c r="I615" s="727"/>
      <c r="J615" s="365">
        <f t="shared" si="45"/>
        <v>1500</v>
      </c>
      <c r="K615" s="366">
        <f t="shared" ref="K615:K649" si="46">J615/450</f>
        <v>3.3333333333333335</v>
      </c>
      <c r="L615" s="365">
        <v>1</v>
      </c>
      <c r="M615" s="367" t="s">
        <v>9</v>
      </c>
      <c r="N615" s="368">
        <v>3</v>
      </c>
      <c r="O615" s="2692" t="s">
        <v>98</v>
      </c>
      <c r="P615" s="2693"/>
      <c r="Q615" s="387">
        <v>1</v>
      </c>
      <c r="R615" s="388">
        <v>0</v>
      </c>
      <c r="S615" s="1277" t="s">
        <v>99</v>
      </c>
      <c r="T615" s="390">
        <v>496</v>
      </c>
      <c r="U615" s="307"/>
      <c r="V615" s="2630">
        <f>VLOOKUP(M615,'[1]TABELA FRETE'!$A$6:$B$12,2,0)</f>
        <v>250.8</v>
      </c>
      <c r="W615" s="2631"/>
      <c r="X615" s="2632"/>
      <c r="Y615" s="2633"/>
    </row>
    <row r="616" spans="2:25" s="299" customFormat="1" ht="48" customHeight="1">
      <c r="B616" s="408">
        <v>0.41666666666666702</v>
      </c>
      <c r="C616" s="326"/>
      <c r="D616" s="665">
        <v>11</v>
      </c>
      <c r="E616" s="877">
        <v>1851</v>
      </c>
      <c r="F616" s="665"/>
      <c r="G616" s="544"/>
      <c r="H616" s="545"/>
      <c r="I616" s="705"/>
      <c r="J616" s="413">
        <f t="shared" ref="J616" si="47">E616+G616+I616</f>
        <v>1851</v>
      </c>
      <c r="K616" s="414">
        <f t="shared" ref="K616" si="48">J616/450</f>
        <v>4.1133333333333333</v>
      </c>
      <c r="L616" s="413">
        <v>1</v>
      </c>
      <c r="M616" s="1278" t="s">
        <v>8</v>
      </c>
      <c r="N616" s="1279">
        <v>4</v>
      </c>
      <c r="O616" s="3125" t="s">
        <v>270</v>
      </c>
      <c r="P616" s="3126"/>
      <c r="Q616" s="1281">
        <v>1</v>
      </c>
      <c r="R616" s="1282">
        <v>0</v>
      </c>
      <c r="S616" s="1283" t="s">
        <v>271</v>
      </c>
      <c r="T616" s="1280">
        <v>353</v>
      </c>
      <c r="U616" s="307"/>
      <c r="V616" s="2630">
        <f>VLOOKUP(M616,'[1]TABELA FRETE'!$A$6:$B$12,2,0)</f>
        <v>286</v>
      </c>
      <c r="W616" s="2631"/>
      <c r="X616" s="2694"/>
      <c r="Y616" s="2695"/>
    </row>
    <row r="617" spans="2:25" s="301" customFormat="1" ht="6" customHeight="1">
      <c r="B617" s="326"/>
      <c r="C617" s="326"/>
      <c r="D617" s="421"/>
      <c r="E617" s="422"/>
      <c r="F617" s="421"/>
      <c r="G617" s="423"/>
      <c r="H617" s="424"/>
      <c r="I617" s="423"/>
      <c r="J617" s="423"/>
      <c r="K617" s="425"/>
      <c r="L617" s="423"/>
      <c r="M617" s="885"/>
      <c r="N617" s="886"/>
      <c r="O617" s="428"/>
      <c r="P617" s="428"/>
      <c r="Q617" s="429"/>
      <c r="R617" s="429"/>
      <c r="S617" s="430"/>
      <c r="T617" s="428"/>
      <c r="U617" s="432"/>
      <c r="V617" s="679"/>
      <c r="W617" s="679"/>
      <c r="X617" s="434"/>
      <c r="Y617" s="434"/>
    </row>
    <row r="618" spans="2:25" s="299" customFormat="1" ht="48" customHeight="1">
      <c r="B618" s="325">
        <v>0.5</v>
      </c>
      <c r="C618" s="326"/>
      <c r="D618" s="327">
        <v>8</v>
      </c>
      <c r="E618" s="849">
        <v>5744</v>
      </c>
      <c r="F618" s="887"/>
      <c r="G618" s="437"/>
      <c r="H618" s="438"/>
      <c r="I618" s="330"/>
      <c r="J618" s="888">
        <f>E618+G618+I618</f>
        <v>5744</v>
      </c>
      <c r="K618" s="889">
        <f t="shared" si="46"/>
        <v>12.764444444444445</v>
      </c>
      <c r="L618" s="713">
        <v>1</v>
      </c>
      <c r="M618" s="1284" t="s">
        <v>6</v>
      </c>
      <c r="N618" s="1285">
        <v>14</v>
      </c>
      <c r="O618" s="2940" t="s">
        <v>54</v>
      </c>
      <c r="P618" s="2941"/>
      <c r="Q618" s="497">
        <v>1</v>
      </c>
      <c r="R618" s="442">
        <v>0</v>
      </c>
      <c r="S618" s="1134" t="s">
        <v>55</v>
      </c>
      <c r="T618" s="588">
        <v>590</v>
      </c>
      <c r="U618" s="307"/>
      <c r="V618" s="2630">
        <f>VLOOKUP(M618,'[1]TABELA FRETE'!$A$6:$B$12,2,0)</f>
        <v>489.5</v>
      </c>
      <c r="W618" s="2631"/>
      <c r="X618" s="2632"/>
      <c r="Y618" s="2633"/>
    </row>
    <row r="619" spans="2:25" s="299" customFormat="1" ht="48" customHeight="1">
      <c r="B619" s="343">
        <v>0.5</v>
      </c>
      <c r="C619" s="326"/>
      <c r="D619" s="344">
        <v>1</v>
      </c>
      <c r="E619" s="897">
        <v>5391</v>
      </c>
      <c r="F619" s="517"/>
      <c r="G619" s="455"/>
      <c r="H619" s="348"/>
      <c r="I619" s="349"/>
      <c r="J619" s="907">
        <f>E619+G619+I619</f>
        <v>5391</v>
      </c>
      <c r="K619" s="899">
        <f t="shared" si="46"/>
        <v>11.98</v>
      </c>
      <c r="L619" s="727">
        <v>1</v>
      </c>
      <c r="M619" s="1286" t="s">
        <v>7</v>
      </c>
      <c r="N619" s="1287">
        <v>12</v>
      </c>
      <c r="O619" s="2628" t="s">
        <v>50</v>
      </c>
      <c r="P619" s="2629"/>
      <c r="Q619" s="450">
        <v>2</v>
      </c>
      <c r="R619" s="407">
        <v>0</v>
      </c>
      <c r="S619" s="871" t="s">
        <v>51</v>
      </c>
      <c r="T619" s="451">
        <v>612</v>
      </c>
      <c r="U619" s="307"/>
      <c r="V619" s="2630">
        <f>VLOOKUP(M619,'[1]TABELA FRETE'!$A$6:$B$12,2,0)</f>
        <v>466.4</v>
      </c>
      <c r="W619" s="2631"/>
      <c r="X619" s="2632"/>
      <c r="Y619" s="2633"/>
    </row>
    <row r="620" spans="2:25" s="299" customFormat="1" ht="48" customHeight="1">
      <c r="B620" s="343">
        <v>0.5</v>
      </c>
      <c r="C620" s="326"/>
      <c r="D620" s="344">
        <v>9</v>
      </c>
      <c r="E620" s="897">
        <v>4185</v>
      </c>
      <c r="F620" s="517"/>
      <c r="G620" s="455"/>
      <c r="H620" s="348"/>
      <c r="I620" s="364"/>
      <c r="J620" s="898">
        <f>E620+G620+I620</f>
        <v>4185</v>
      </c>
      <c r="K620" s="899">
        <f t="shared" si="46"/>
        <v>9.3000000000000007</v>
      </c>
      <c r="L620" s="364">
        <v>1</v>
      </c>
      <c r="M620" s="1288" t="s">
        <v>7</v>
      </c>
      <c r="N620" s="1289">
        <v>10</v>
      </c>
      <c r="O620" s="3127" t="s">
        <v>40</v>
      </c>
      <c r="P620" s="3128"/>
      <c r="Q620" s="631">
        <v>1</v>
      </c>
      <c r="R620" s="633">
        <v>0</v>
      </c>
      <c r="S620" s="1290" t="s">
        <v>272</v>
      </c>
      <c r="T620" s="632">
        <v>353</v>
      </c>
      <c r="U620" s="307"/>
      <c r="V620" s="2630">
        <f>VLOOKUP(M620,'[1]TABELA FRETE'!$A$6:$B$12,2,0)</f>
        <v>466.4</v>
      </c>
      <c r="W620" s="2631"/>
      <c r="X620" s="2632"/>
      <c r="Y620" s="2633"/>
    </row>
    <row r="621" spans="2:25" s="299" customFormat="1" ht="48" customHeight="1">
      <c r="B621" s="358">
        <v>0.5</v>
      </c>
      <c r="C621" s="326"/>
      <c r="D621" s="359">
        <v>38</v>
      </c>
      <c r="E621" s="900">
        <v>4385</v>
      </c>
      <c r="F621" s="359"/>
      <c r="G621" s="375"/>
      <c r="H621" s="348"/>
      <c r="I621" s="349"/>
      <c r="J621" s="898">
        <f>E621+G621+I621</f>
        <v>4385</v>
      </c>
      <c r="K621" s="914">
        <f t="shared" si="46"/>
        <v>9.7444444444444436</v>
      </c>
      <c r="L621" s="364">
        <v>1</v>
      </c>
      <c r="M621" s="1286" t="s">
        <v>7</v>
      </c>
      <c r="N621" s="1287">
        <v>11</v>
      </c>
      <c r="O621" s="2628" t="s">
        <v>42</v>
      </c>
      <c r="P621" s="2629"/>
      <c r="Q621" s="1291">
        <v>3</v>
      </c>
      <c r="R621" s="407">
        <v>0</v>
      </c>
      <c r="S621" s="871" t="s">
        <v>43</v>
      </c>
      <c r="T621" s="451">
        <v>479</v>
      </c>
      <c r="U621" s="307"/>
      <c r="V621" s="2630">
        <f>VLOOKUP(M621,'[1]TABELA FRETE'!$A$6:$B$12,2,0)</f>
        <v>466.4</v>
      </c>
      <c r="W621" s="2631"/>
      <c r="X621" s="2632"/>
      <c r="Y621" s="2633"/>
    </row>
    <row r="622" spans="2:25" s="299" customFormat="1" ht="48" customHeight="1">
      <c r="B622" s="358">
        <v>0.5</v>
      </c>
      <c r="C622" s="326"/>
      <c r="D622" s="359">
        <v>12</v>
      </c>
      <c r="E622" s="900">
        <v>3482</v>
      </c>
      <c r="F622" s="646"/>
      <c r="G622" s="375"/>
      <c r="H622" s="348"/>
      <c r="I622" s="349"/>
      <c r="J622" s="898">
        <f t="shared" ref="J622:J649" si="49">E622+G622+I622</f>
        <v>3482</v>
      </c>
      <c r="K622" s="914">
        <f t="shared" si="46"/>
        <v>7.7377777777777776</v>
      </c>
      <c r="L622" s="364">
        <v>1</v>
      </c>
      <c r="M622" s="1286">
        <v>1016</v>
      </c>
      <c r="N622" s="1287">
        <v>8</v>
      </c>
      <c r="O622" s="2628" t="s">
        <v>106</v>
      </c>
      <c r="P622" s="2629"/>
      <c r="Q622" s="1291">
        <v>2</v>
      </c>
      <c r="R622" s="407">
        <v>0</v>
      </c>
      <c r="S622" s="871" t="s">
        <v>107</v>
      </c>
      <c r="T622" s="451">
        <v>606</v>
      </c>
      <c r="U622" s="307"/>
      <c r="V622" s="2630">
        <f>VLOOKUP(M622,'[1]TABELA FRETE'!$A$6:$B$12,2,0)</f>
        <v>425.7</v>
      </c>
      <c r="W622" s="2631"/>
      <c r="X622" s="2632"/>
      <c r="Y622" s="2633"/>
    </row>
    <row r="623" spans="2:25" s="299" customFormat="1" ht="48" customHeight="1">
      <c r="B623" s="343">
        <v>0.5</v>
      </c>
      <c r="C623" s="326"/>
      <c r="D623" s="359">
        <v>14</v>
      </c>
      <c r="E623" s="540">
        <v>5441</v>
      </c>
      <c r="F623" s="359"/>
      <c r="G623" s="375"/>
      <c r="H623" s="363"/>
      <c r="I623" s="364"/>
      <c r="J623" s="898">
        <f t="shared" si="49"/>
        <v>5441</v>
      </c>
      <c r="K623" s="914">
        <v>12</v>
      </c>
      <c r="L623" s="364">
        <v>1</v>
      </c>
      <c r="M623" s="1286" t="s">
        <v>7</v>
      </c>
      <c r="N623" s="1287">
        <v>12</v>
      </c>
      <c r="O623" s="2628" t="s">
        <v>76</v>
      </c>
      <c r="P623" s="2629"/>
      <c r="Q623" s="450">
        <v>1</v>
      </c>
      <c r="R623" s="407">
        <v>1</v>
      </c>
      <c r="S623" s="871" t="s">
        <v>77</v>
      </c>
      <c r="T623" s="451">
        <v>184708</v>
      </c>
      <c r="U623" s="307"/>
      <c r="V623" s="2630">
        <f>VLOOKUP(M623,'[1]TABELA FRETE'!$A$6:$B$12,2,0)</f>
        <v>466.4</v>
      </c>
      <c r="W623" s="2631"/>
      <c r="X623" s="2632"/>
      <c r="Y623" s="2633"/>
    </row>
    <row r="624" spans="2:25" s="299" customFormat="1" ht="48" customHeight="1">
      <c r="B624" s="358">
        <v>0.5</v>
      </c>
      <c r="C624" s="326"/>
      <c r="D624" s="359">
        <v>34</v>
      </c>
      <c r="E624" s="858">
        <v>3002</v>
      </c>
      <c r="F624" s="359"/>
      <c r="G624" s="375"/>
      <c r="H624" s="363"/>
      <c r="I624" s="364"/>
      <c r="J624" s="898">
        <f t="shared" si="49"/>
        <v>3002</v>
      </c>
      <c r="K624" s="914">
        <f t="shared" si="46"/>
        <v>6.6711111111111112</v>
      </c>
      <c r="L624" s="364">
        <v>1</v>
      </c>
      <c r="M624" s="397">
        <v>1016</v>
      </c>
      <c r="N624" s="1177">
        <v>6</v>
      </c>
      <c r="O624" s="2629" t="s">
        <v>83</v>
      </c>
      <c r="P624" s="2926"/>
      <c r="Q624" s="450">
        <v>2</v>
      </c>
      <c r="R624" s="407">
        <v>0</v>
      </c>
      <c r="S624" s="871" t="s">
        <v>84</v>
      </c>
      <c r="T624" s="451">
        <v>655</v>
      </c>
      <c r="U624" s="307"/>
      <c r="V624" s="2630">
        <f>VLOOKUP(M624,'[1]TABELA FRETE'!$A$6:$B$12,2,0)</f>
        <v>425.7</v>
      </c>
      <c r="W624" s="2631"/>
      <c r="X624" s="2632"/>
      <c r="Y624" s="2633"/>
    </row>
    <row r="625" spans="2:25" s="299" customFormat="1" ht="48" customHeight="1">
      <c r="B625" s="358">
        <v>0.5</v>
      </c>
      <c r="C625" s="326"/>
      <c r="D625" s="359">
        <v>43</v>
      </c>
      <c r="E625" s="858">
        <v>6047</v>
      </c>
      <c r="F625" s="359"/>
      <c r="G625" s="375"/>
      <c r="H625" s="363"/>
      <c r="I625" s="364"/>
      <c r="J625" s="898">
        <f t="shared" si="49"/>
        <v>6047</v>
      </c>
      <c r="K625" s="914">
        <f t="shared" si="46"/>
        <v>13.437777777777777</v>
      </c>
      <c r="L625" s="364">
        <v>1</v>
      </c>
      <c r="M625" s="397" t="s">
        <v>6</v>
      </c>
      <c r="N625" s="1177">
        <v>14</v>
      </c>
      <c r="O625" s="2628" t="s">
        <v>192</v>
      </c>
      <c r="P625" s="2629"/>
      <c r="Q625" s="450">
        <v>1</v>
      </c>
      <c r="R625" s="407">
        <v>0</v>
      </c>
      <c r="S625" s="871" t="s">
        <v>193</v>
      </c>
      <c r="T625" s="451">
        <v>808</v>
      </c>
      <c r="U625" s="307"/>
      <c r="V625" s="2630">
        <f>VLOOKUP(M625,'[1]TABELA FRETE'!$A$6:$B$12,2,0)</f>
        <v>489.5</v>
      </c>
      <c r="W625" s="2631"/>
      <c r="X625" s="2632"/>
      <c r="Y625" s="2633"/>
    </row>
    <row r="626" spans="2:25" s="299" customFormat="1" ht="48" customHeight="1">
      <c r="B626" s="358">
        <v>0.5</v>
      </c>
      <c r="C626" s="326"/>
      <c r="D626" s="359">
        <v>35</v>
      </c>
      <c r="E626" s="858">
        <v>3645</v>
      </c>
      <c r="F626" s="646"/>
      <c r="G626" s="375"/>
      <c r="H626" s="363"/>
      <c r="I626" s="364"/>
      <c r="J626" s="898">
        <f t="shared" si="49"/>
        <v>3645</v>
      </c>
      <c r="K626" s="914">
        <f t="shared" si="46"/>
        <v>8.1</v>
      </c>
      <c r="L626" s="364">
        <v>1</v>
      </c>
      <c r="M626" s="1292" t="s">
        <v>7</v>
      </c>
      <c r="N626" s="1293">
        <v>10</v>
      </c>
      <c r="O626" s="3123" t="s">
        <v>144</v>
      </c>
      <c r="P626" s="3124"/>
      <c r="Q626" s="1294">
        <v>1</v>
      </c>
      <c r="R626" s="1295">
        <v>0</v>
      </c>
      <c r="S626" s="1296" t="s">
        <v>149</v>
      </c>
      <c r="T626" s="1297">
        <v>353</v>
      </c>
      <c r="U626" s="307"/>
      <c r="V626" s="2630">
        <f>VLOOKUP(M626,'[1]TABELA FRETE'!$A$6:$B$12,2,0)</f>
        <v>466.4</v>
      </c>
      <c r="W626" s="2631"/>
      <c r="X626" s="2632"/>
      <c r="Y626" s="2633"/>
    </row>
    <row r="627" spans="2:25" s="299" customFormat="1" ht="48" customHeight="1">
      <c r="B627" s="358">
        <v>0.5</v>
      </c>
      <c r="C627" s="326"/>
      <c r="D627" s="373">
        <v>40</v>
      </c>
      <c r="E627" s="360">
        <v>5000</v>
      </c>
      <c r="F627" s="393"/>
      <c r="G627" s="360"/>
      <c r="H627" s="445"/>
      <c r="I627" s="360"/>
      <c r="J627" s="898">
        <f t="shared" si="49"/>
        <v>5000</v>
      </c>
      <c r="K627" s="914">
        <f t="shared" si="46"/>
        <v>11.111111111111111</v>
      </c>
      <c r="L627" s="364">
        <v>1</v>
      </c>
      <c r="M627" s="1298" t="s">
        <v>7</v>
      </c>
      <c r="N627" s="1005">
        <v>11</v>
      </c>
      <c r="O627" s="2628" t="s">
        <v>52</v>
      </c>
      <c r="P627" s="2629"/>
      <c r="Q627" s="388">
        <v>1</v>
      </c>
      <c r="R627" s="387">
        <v>0</v>
      </c>
      <c r="S627" s="1299" t="s">
        <v>53</v>
      </c>
      <c r="T627" s="1009">
        <v>633</v>
      </c>
      <c r="U627" s="307"/>
      <c r="V627" s="2630">
        <f>VLOOKUP(M627,'[1]TABELA FRETE'!$A$6:$B$12,2,0)</f>
        <v>466.4</v>
      </c>
      <c r="W627" s="2631"/>
      <c r="X627" s="2632"/>
      <c r="Y627" s="2633"/>
    </row>
    <row r="628" spans="2:25" s="299" customFormat="1" ht="48" customHeight="1">
      <c r="B628" s="755">
        <v>0.58333333333333304</v>
      </c>
      <c r="C628" s="326"/>
      <c r="D628" s="1300">
        <v>40</v>
      </c>
      <c r="E628" s="460">
        <v>3336</v>
      </c>
      <c r="F628" s="454"/>
      <c r="G628" s="460"/>
      <c r="H628" s="969"/>
      <c r="I628" s="460"/>
      <c r="J628" s="898">
        <f t="shared" si="49"/>
        <v>3336</v>
      </c>
      <c r="K628" s="914">
        <f t="shared" si="46"/>
        <v>7.4133333333333331</v>
      </c>
      <c r="L628" s="364">
        <v>1</v>
      </c>
      <c r="M628" s="1298">
        <v>1016</v>
      </c>
      <c r="N628" s="1005">
        <v>8</v>
      </c>
      <c r="O628" s="2628" t="s">
        <v>159</v>
      </c>
      <c r="P628" s="2629"/>
      <c r="Q628" s="510">
        <v>1</v>
      </c>
      <c r="R628" s="354">
        <v>0</v>
      </c>
      <c r="S628" s="1301" t="s">
        <v>160</v>
      </c>
      <c r="T628" s="1302">
        <v>456</v>
      </c>
      <c r="U628" s="307"/>
      <c r="V628" s="2630">
        <f>VLOOKUP(M628,'[1]TABELA FRETE'!$A$6:$B$12,2,0)</f>
        <v>425.7</v>
      </c>
      <c r="W628" s="2631"/>
      <c r="X628" s="2632"/>
      <c r="Y628" s="2633"/>
    </row>
    <row r="629" spans="2:25" s="299" customFormat="1" ht="48" customHeight="1">
      <c r="B629" s="358">
        <v>0.5</v>
      </c>
      <c r="C629" s="326"/>
      <c r="D629" s="359">
        <v>45</v>
      </c>
      <c r="E629" s="858">
        <v>5500</v>
      </c>
      <c r="F629" s="359"/>
      <c r="G629" s="360"/>
      <c r="H629" s="363"/>
      <c r="I629" s="364"/>
      <c r="J629" s="898">
        <f t="shared" si="49"/>
        <v>5500</v>
      </c>
      <c r="K629" s="914">
        <f t="shared" si="46"/>
        <v>12.222222222222221</v>
      </c>
      <c r="L629" s="364">
        <v>1</v>
      </c>
      <c r="M629" s="1298" t="s">
        <v>7</v>
      </c>
      <c r="N629" s="1178">
        <v>12</v>
      </c>
      <c r="O629" s="2628" t="s">
        <v>62</v>
      </c>
      <c r="P629" s="2629"/>
      <c r="Q629" s="1303">
        <v>2</v>
      </c>
      <c r="R629" s="370">
        <v>0</v>
      </c>
      <c r="S629" s="1304" t="s">
        <v>63</v>
      </c>
      <c r="T629" s="1009">
        <v>740</v>
      </c>
      <c r="U629" s="307"/>
      <c r="V629" s="2630">
        <f>VLOOKUP(M629,'[1]TABELA FRETE'!$A$6:$B$12,2,0)</f>
        <v>466.4</v>
      </c>
      <c r="W629" s="2631"/>
      <c r="X629" s="2632"/>
      <c r="Y629" s="2633"/>
    </row>
    <row r="630" spans="2:25" s="299" customFormat="1" ht="48" customHeight="1">
      <c r="B630" s="408">
        <v>0.5</v>
      </c>
      <c r="C630" s="326"/>
      <c r="D630" s="1305">
        <v>45</v>
      </c>
      <c r="E630" s="877">
        <v>2624</v>
      </c>
      <c r="F630" s="665"/>
      <c r="G630" s="410"/>
      <c r="H630" s="545"/>
      <c r="I630" s="705"/>
      <c r="J630" s="926">
        <f t="shared" si="49"/>
        <v>2624</v>
      </c>
      <c r="K630" s="927">
        <f t="shared" si="46"/>
        <v>5.8311111111111114</v>
      </c>
      <c r="L630" s="705">
        <v>1</v>
      </c>
      <c r="M630" s="1306">
        <v>1016</v>
      </c>
      <c r="N630" s="1307">
        <v>6</v>
      </c>
      <c r="O630" s="2929" t="s">
        <v>70</v>
      </c>
      <c r="P630" s="2939"/>
      <c r="Q630" s="669">
        <v>1</v>
      </c>
      <c r="R630" s="710">
        <v>0</v>
      </c>
      <c r="S630" s="1029" t="s">
        <v>71</v>
      </c>
      <c r="T630" s="670">
        <v>333</v>
      </c>
      <c r="U630" s="307"/>
      <c r="V630" s="2630">
        <f>VLOOKUP(M630,'[1]TABELA FRETE'!$A$6:$B$12,2,0)</f>
        <v>425.7</v>
      </c>
      <c r="W630" s="2631"/>
      <c r="X630" s="2632"/>
      <c r="Y630" s="2633"/>
    </row>
    <row r="631" spans="2:25" s="301" customFormat="1" ht="6" customHeight="1">
      <c r="B631" s="326"/>
      <c r="C631" s="326"/>
      <c r="D631" s="421"/>
      <c r="E631" s="422"/>
      <c r="F631" s="421"/>
      <c r="G631" s="423"/>
      <c r="H631" s="424"/>
      <c r="I631" s="423"/>
      <c r="J631" s="423"/>
      <c r="K631" s="425"/>
      <c r="L631" s="423"/>
      <c r="M631" s="885"/>
      <c r="N631" s="886"/>
      <c r="O631" s="428"/>
      <c r="P631" s="428"/>
      <c r="Q631" s="429"/>
      <c r="R631" s="429"/>
      <c r="S631" s="430"/>
      <c r="T631" s="428"/>
      <c r="U631" s="432"/>
      <c r="V631" s="679"/>
      <c r="W631" s="679"/>
      <c r="X631" s="434"/>
      <c r="Y631" s="434"/>
    </row>
    <row r="632" spans="2:25" s="299" customFormat="1" ht="48" customHeight="1">
      <c r="B632" s="325">
        <v>0.58333333333333304</v>
      </c>
      <c r="C632" s="326"/>
      <c r="D632" s="435">
        <v>5</v>
      </c>
      <c r="E632" s="849">
        <v>2993</v>
      </c>
      <c r="F632" s="435"/>
      <c r="G632" s="330"/>
      <c r="H632" s="438"/>
      <c r="I632" s="330"/>
      <c r="J632" s="888">
        <f t="shared" si="49"/>
        <v>2993</v>
      </c>
      <c r="K632" s="889">
        <f t="shared" si="46"/>
        <v>6.6511111111111108</v>
      </c>
      <c r="L632" s="330">
        <v>1</v>
      </c>
      <c r="M632" s="1308">
        <v>1016</v>
      </c>
      <c r="N632" s="1309">
        <v>8</v>
      </c>
      <c r="O632" s="2940" t="s">
        <v>92</v>
      </c>
      <c r="P632" s="2941"/>
      <c r="Q632" s="497">
        <v>2</v>
      </c>
      <c r="R632" s="498">
        <v>0</v>
      </c>
      <c r="S632" s="997" t="s">
        <v>93</v>
      </c>
      <c r="T632" s="1310">
        <v>576</v>
      </c>
      <c r="U632" s="307"/>
      <c r="V632" s="2630">
        <f>VLOOKUP(M632,'[1]TABELA FRETE'!$A$6:$B$12,2,0)</f>
        <v>425.7</v>
      </c>
      <c r="W632" s="2631"/>
      <c r="X632" s="2632"/>
      <c r="Y632" s="2633"/>
    </row>
    <row r="633" spans="2:25" s="299" customFormat="1" ht="48" customHeight="1">
      <c r="B633" s="358">
        <v>0.58333333333333304</v>
      </c>
      <c r="C633" s="326"/>
      <c r="D633" s="1311">
        <v>20</v>
      </c>
      <c r="E633" s="1312">
        <v>6492</v>
      </c>
      <c r="F633" s="1311"/>
      <c r="G633" s="950"/>
      <c r="H633" s="951"/>
      <c r="I633" s="950"/>
      <c r="J633" s="959">
        <f t="shared" si="49"/>
        <v>6492</v>
      </c>
      <c r="K633" s="960">
        <f t="shared" si="46"/>
        <v>14.426666666666666</v>
      </c>
      <c r="L633" s="727">
        <v>1</v>
      </c>
      <c r="M633" s="1313" t="s">
        <v>6</v>
      </c>
      <c r="N633" s="1182">
        <v>14</v>
      </c>
      <c r="O633" s="2628" t="s">
        <v>64</v>
      </c>
      <c r="P633" s="2629"/>
      <c r="Q633" s="1314">
        <v>1</v>
      </c>
      <c r="R633" s="730">
        <v>0</v>
      </c>
      <c r="S633" s="1315" t="s">
        <v>65</v>
      </c>
      <c r="T633" s="1316">
        <v>598</v>
      </c>
      <c r="U633" s="307"/>
      <c r="V633" s="2630">
        <f>VLOOKUP(M633,'[1]TABELA FRETE'!$A$6:$B$12,2,0)</f>
        <v>489.5</v>
      </c>
      <c r="W633" s="2631"/>
      <c r="X633" s="2632"/>
      <c r="Y633" s="2633"/>
    </row>
    <row r="634" spans="2:25" s="299" customFormat="1" ht="48" customHeight="1">
      <c r="B634" s="358">
        <v>0.58333333333333304</v>
      </c>
      <c r="C634" s="326"/>
      <c r="D634" s="1317">
        <v>25</v>
      </c>
      <c r="E634" s="908">
        <v>2896</v>
      </c>
      <c r="F634" s="458"/>
      <c r="G634" s="392"/>
      <c r="H634" s="465"/>
      <c r="I634" s="392"/>
      <c r="J634" s="959">
        <f t="shared" si="49"/>
        <v>2896</v>
      </c>
      <c r="K634" s="960">
        <f t="shared" si="46"/>
        <v>6.4355555555555553</v>
      </c>
      <c r="L634" s="727">
        <v>1</v>
      </c>
      <c r="M634" s="1313">
        <v>1016</v>
      </c>
      <c r="N634" s="1182">
        <v>8</v>
      </c>
      <c r="O634" s="2628" t="s">
        <v>90</v>
      </c>
      <c r="P634" s="2629"/>
      <c r="Q634" s="1318">
        <v>2</v>
      </c>
      <c r="R634" s="1319">
        <v>0</v>
      </c>
      <c r="S634" s="1320" t="s">
        <v>91</v>
      </c>
      <c r="T634" s="1321">
        <v>674</v>
      </c>
      <c r="U634" s="307"/>
      <c r="V634" s="2630">
        <f>VLOOKUP(M634,'[1]TABELA FRETE'!$A$6:$B$12,2,0)</f>
        <v>425.7</v>
      </c>
      <c r="W634" s="2631"/>
      <c r="X634" s="2632"/>
      <c r="Y634" s="2633"/>
    </row>
    <row r="635" spans="2:25" s="299" customFormat="1" ht="48" customHeight="1">
      <c r="B635" s="358">
        <v>0.58333333333333304</v>
      </c>
      <c r="C635" s="326"/>
      <c r="D635" s="1317">
        <v>22</v>
      </c>
      <c r="E635" s="908">
        <v>3365</v>
      </c>
      <c r="F635" s="458"/>
      <c r="G635" s="392"/>
      <c r="H635" s="465"/>
      <c r="I635" s="392"/>
      <c r="J635" s="959">
        <f t="shared" si="49"/>
        <v>3365</v>
      </c>
      <c r="K635" s="960">
        <f t="shared" si="46"/>
        <v>7.4777777777777779</v>
      </c>
      <c r="L635" s="727">
        <v>1</v>
      </c>
      <c r="M635" s="1313">
        <v>1016</v>
      </c>
      <c r="N635" s="1182">
        <v>10</v>
      </c>
      <c r="O635" s="2628" t="s">
        <v>72</v>
      </c>
      <c r="P635" s="2629"/>
      <c r="Q635" s="1318">
        <v>2</v>
      </c>
      <c r="R635" s="1319">
        <v>0</v>
      </c>
      <c r="S635" s="1320" t="s">
        <v>73</v>
      </c>
      <c r="T635" s="1321">
        <v>184090</v>
      </c>
      <c r="U635" s="307"/>
      <c r="V635" s="2630">
        <f>VLOOKUP(M635,'[1]TABELA FRETE'!$A$6:$B$12,2,0)</f>
        <v>425.7</v>
      </c>
      <c r="W635" s="2631"/>
      <c r="X635" s="2632"/>
      <c r="Y635" s="2633"/>
    </row>
    <row r="636" spans="2:25" s="299" customFormat="1" ht="48" customHeight="1">
      <c r="B636" s="358">
        <v>0.58333333333333304</v>
      </c>
      <c r="C636" s="326"/>
      <c r="D636" s="444">
        <v>31</v>
      </c>
      <c r="E636" s="540">
        <v>2492</v>
      </c>
      <c r="F636" s="373"/>
      <c r="G636" s="360"/>
      <c r="H636" s="445"/>
      <c r="I636" s="360"/>
      <c r="J636" s="898">
        <f t="shared" si="49"/>
        <v>2492</v>
      </c>
      <c r="K636" s="914">
        <f t="shared" si="46"/>
        <v>5.5377777777777775</v>
      </c>
      <c r="L636" s="364">
        <v>1</v>
      </c>
      <c r="M636" s="1298">
        <v>1016</v>
      </c>
      <c r="N636" s="1178">
        <v>8</v>
      </c>
      <c r="O636" s="2935" t="s">
        <v>44</v>
      </c>
      <c r="P636" s="2936"/>
      <c r="Q636" s="1322">
        <v>2</v>
      </c>
      <c r="R636" s="1324">
        <v>0</v>
      </c>
      <c r="S636" s="1008" t="s">
        <v>197</v>
      </c>
      <c r="T636" s="1323">
        <v>674</v>
      </c>
      <c r="U636" s="307"/>
      <c r="V636" s="2630">
        <f>VLOOKUP(M636,'[1]TABELA FRETE'!$A$6:$B$12,2,0)</f>
        <v>425.7</v>
      </c>
      <c r="W636" s="2631"/>
      <c r="X636" s="2694"/>
      <c r="Y636" s="2695"/>
    </row>
    <row r="637" spans="2:25" s="299" customFormat="1" ht="48" customHeight="1">
      <c r="B637" s="343">
        <v>0.58333333333333304</v>
      </c>
      <c r="C637" s="326"/>
      <c r="D637" s="453">
        <v>17</v>
      </c>
      <c r="E637" s="345">
        <v>4548</v>
      </c>
      <c r="F637" s="454"/>
      <c r="G637" s="345"/>
      <c r="H637" s="348"/>
      <c r="I637" s="455"/>
      <c r="J637" s="965">
        <f t="shared" si="49"/>
        <v>4548</v>
      </c>
      <c r="K637" s="899">
        <f t="shared" si="46"/>
        <v>10.106666666666667</v>
      </c>
      <c r="L637" s="349">
        <v>1</v>
      </c>
      <c r="M637" s="1325" t="s">
        <v>7</v>
      </c>
      <c r="N637" s="1135">
        <v>12</v>
      </c>
      <c r="O637" s="2628" t="s">
        <v>153</v>
      </c>
      <c r="P637" s="2629"/>
      <c r="Q637" s="357">
        <v>1</v>
      </c>
      <c r="R637" s="1136">
        <v>0</v>
      </c>
      <c r="S637" s="809" t="s">
        <v>154</v>
      </c>
      <c r="T637" s="657">
        <v>664</v>
      </c>
      <c r="U637" s="307"/>
      <c r="V637" s="2630">
        <f>VLOOKUP(M637,'[1]TABELA FRETE'!$A$6:$B$12,2,0)</f>
        <v>466.4</v>
      </c>
      <c r="W637" s="2631"/>
      <c r="X637" s="2632"/>
      <c r="Y637" s="2633"/>
    </row>
    <row r="638" spans="2:25" s="299" customFormat="1" ht="48" customHeight="1">
      <c r="B638" s="343">
        <v>0.58333333333333304</v>
      </c>
      <c r="C638" s="326"/>
      <c r="D638" s="458">
        <v>23</v>
      </c>
      <c r="E638" s="392">
        <v>5500</v>
      </c>
      <c r="F638" s="464"/>
      <c r="G638" s="392"/>
      <c r="H638" s="394"/>
      <c r="I638" s="395"/>
      <c r="J638" s="959">
        <f t="shared" si="49"/>
        <v>5500</v>
      </c>
      <c r="K638" s="960">
        <f t="shared" si="46"/>
        <v>12.222222222222221</v>
      </c>
      <c r="L638" s="727">
        <v>1</v>
      </c>
      <c r="M638" s="397" t="s">
        <v>7</v>
      </c>
      <c r="N638" s="870">
        <v>12</v>
      </c>
      <c r="O638" s="2628" t="s">
        <v>94</v>
      </c>
      <c r="P638" s="2629"/>
      <c r="Q638" s="388">
        <v>1</v>
      </c>
      <c r="R638" s="446">
        <v>1</v>
      </c>
      <c r="S638" s="1086" t="s">
        <v>95</v>
      </c>
      <c r="T638" s="451">
        <v>184422</v>
      </c>
      <c r="U638" s="307"/>
      <c r="V638" s="2630">
        <f>VLOOKUP(M638,'[1]TABELA FRETE'!$A$6:$B$12,2,0)</f>
        <v>466.4</v>
      </c>
      <c r="W638" s="2631"/>
      <c r="X638" s="2632"/>
      <c r="Y638" s="2633"/>
    </row>
    <row r="639" spans="2:25" s="299" customFormat="1" ht="48" customHeight="1">
      <c r="B639" s="343">
        <v>0.58333333333333304</v>
      </c>
      <c r="C639" s="326"/>
      <c r="D639" s="444">
        <v>44</v>
      </c>
      <c r="E639" s="360">
        <v>2362</v>
      </c>
      <c r="F639" s="401">
        <v>23</v>
      </c>
      <c r="G639" s="364">
        <v>1091</v>
      </c>
      <c r="H639" s="702"/>
      <c r="I639" s="364"/>
      <c r="J639" s="959">
        <f t="shared" si="49"/>
        <v>3453</v>
      </c>
      <c r="K639" s="960">
        <f t="shared" si="46"/>
        <v>7.6733333333333329</v>
      </c>
      <c r="L639" s="727">
        <v>1</v>
      </c>
      <c r="M639" s="397">
        <v>1016</v>
      </c>
      <c r="N639" s="870">
        <v>8</v>
      </c>
      <c r="O639" s="2628" t="s">
        <v>150</v>
      </c>
      <c r="P639" s="2629"/>
      <c r="Q639" s="388">
        <v>1</v>
      </c>
      <c r="R639" s="446">
        <v>0</v>
      </c>
      <c r="S639" s="1086" t="s">
        <v>151</v>
      </c>
      <c r="T639" s="451">
        <v>642</v>
      </c>
      <c r="U639" s="432"/>
      <c r="V639" s="2630">
        <f>VLOOKUP(M639,'[1]TABELA FRETE'!$A$6:$B$12,2,0)</f>
        <v>425.7</v>
      </c>
      <c r="W639" s="2631"/>
      <c r="X639" s="2632"/>
      <c r="Y639" s="2633"/>
    </row>
    <row r="640" spans="2:25" s="299" customFormat="1" ht="60" customHeight="1">
      <c r="B640" s="358">
        <v>0.58333333333333304</v>
      </c>
      <c r="C640" s="326"/>
      <c r="D640" s="462" t="s">
        <v>78</v>
      </c>
      <c r="E640" s="360">
        <v>4661</v>
      </c>
      <c r="F640" s="393"/>
      <c r="G640" s="360"/>
      <c r="H640" s="363"/>
      <c r="I640" s="375"/>
      <c r="J640" s="898">
        <f t="shared" si="49"/>
        <v>4661</v>
      </c>
      <c r="K640" s="914">
        <f t="shared" si="46"/>
        <v>10.357777777777779</v>
      </c>
      <c r="L640" s="364">
        <v>1</v>
      </c>
      <c r="M640" s="397" t="s">
        <v>7</v>
      </c>
      <c r="N640" s="870">
        <v>12</v>
      </c>
      <c r="O640" s="2628" t="s">
        <v>224</v>
      </c>
      <c r="P640" s="2629"/>
      <c r="Q640" s="388">
        <v>1</v>
      </c>
      <c r="R640" s="446">
        <v>0</v>
      </c>
      <c r="S640" s="1086" t="s">
        <v>225</v>
      </c>
      <c r="T640" s="451">
        <v>782</v>
      </c>
      <c r="U640" s="307"/>
      <c r="V640" s="2630">
        <f>VLOOKUP(M640,'[1]TABELA FRETE'!$A$6:$B$12,2,0)</f>
        <v>466.4</v>
      </c>
      <c r="W640" s="2631"/>
      <c r="X640" s="2632"/>
      <c r="Y640" s="2633"/>
    </row>
    <row r="641" spans="2:25" s="299" customFormat="1" ht="63" customHeight="1">
      <c r="B641" s="358">
        <v>0.58333333333333304</v>
      </c>
      <c r="C641" s="326"/>
      <c r="D641" s="472">
        <v>10</v>
      </c>
      <c r="E641" s="360">
        <v>4659</v>
      </c>
      <c r="F641" s="1326"/>
      <c r="G641" s="360"/>
      <c r="H641" s="363"/>
      <c r="I641" s="375"/>
      <c r="J641" s="898">
        <f t="shared" si="49"/>
        <v>4659</v>
      </c>
      <c r="K641" s="914">
        <f t="shared" si="46"/>
        <v>10.353333333333333</v>
      </c>
      <c r="L641" s="364">
        <v>1</v>
      </c>
      <c r="M641" s="397" t="s">
        <v>7</v>
      </c>
      <c r="N641" s="870">
        <v>12</v>
      </c>
      <c r="O641" s="2628" t="s">
        <v>146</v>
      </c>
      <c r="P641" s="2629"/>
      <c r="Q641" s="388">
        <v>1</v>
      </c>
      <c r="R641" s="446">
        <v>0</v>
      </c>
      <c r="S641" s="1086" t="s">
        <v>147</v>
      </c>
      <c r="T641" s="451">
        <v>91</v>
      </c>
      <c r="U641" s="307"/>
      <c r="V641" s="2630">
        <f>VLOOKUP(M641,'[1]TABELA FRETE'!$A$6:$B$12,2,0)</f>
        <v>466.4</v>
      </c>
      <c r="W641" s="2631"/>
      <c r="X641" s="2632"/>
      <c r="Y641" s="2633"/>
    </row>
    <row r="642" spans="2:25" s="299" customFormat="1" ht="48" customHeight="1">
      <c r="B642" s="463">
        <v>0.58333333333333304</v>
      </c>
      <c r="C642" s="326"/>
      <c r="D642" s="458">
        <v>32</v>
      </c>
      <c r="E642" s="392">
        <v>2805</v>
      </c>
      <c r="F642" s="393"/>
      <c r="G642" s="392"/>
      <c r="H642" s="465"/>
      <c r="I642" s="392"/>
      <c r="J642" s="898">
        <f t="shared" si="49"/>
        <v>2805</v>
      </c>
      <c r="K642" s="914">
        <f t="shared" si="46"/>
        <v>6.2333333333333334</v>
      </c>
      <c r="L642" s="727">
        <v>1</v>
      </c>
      <c r="M642" s="1298">
        <v>1016</v>
      </c>
      <c r="N642" s="1005">
        <v>8</v>
      </c>
      <c r="O642" s="2628" t="s">
        <v>46</v>
      </c>
      <c r="P642" s="2629"/>
      <c r="Q642" s="370">
        <v>2</v>
      </c>
      <c r="R642" s="369">
        <v>0</v>
      </c>
      <c r="S642" s="1327" t="s">
        <v>47</v>
      </c>
      <c r="T642" s="1009">
        <v>48</v>
      </c>
      <c r="U642" s="307"/>
      <c r="V642" s="2630">
        <f>VLOOKUP(M642,'[1]TABELA FRETE'!$A$6:$B$12,2,0)</f>
        <v>425.7</v>
      </c>
      <c r="W642" s="2631"/>
      <c r="X642" s="2632"/>
      <c r="Y642" s="2633"/>
    </row>
    <row r="643" spans="2:25" s="299" customFormat="1" ht="48" customHeight="1">
      <c r="B643" s="463">
        <v>0.58333333333333304</v>
      </c>
      <c r="C643" s="326"/>
      <c r="D643" s="458">
        <v>42</v>
      </c>
      <c r="E643" s="392">
        <v>3046</v>
      </c>
      <c r="F643" s="464"/>
      <c r="G643" s="392"/>
      <c r="H643" s="465"/>
      <c r="I643" s="392"/>
      <c r="J643" s="898">
        <f t="shared" ref="J643" si="50">E643+G643+I643</f>
        <v>3046</v>
      </c>
      <c r="K643" s="914">
        <f t="shared" ref="K643" si="51">J643/450</f>
        <v>6.7688888888888892</v>
      </c>
      <c r="L643" s="727">
        <v>1</v>
      </c>
      <c r="M643" s="1298">
        <v>1016</v>
      </c>
      <c r="N643" s="1005">
        <v>8</v>
      </c>
      <c r="O643" s="450" t="s">
        <v>85</v>
      </c>
      <c r="P643" s="451"/>
      <c r="Q643" s="370">
        <v>2</v>
      </c>
      <c r="R643" s="369">
        <v>0</v>
      </c>
      <c r="S643" s="1327" t="s">
        <v>86</v>
      </c>
      <c r="T643" s="1009">
        <v>714</v>
      </c>
      <c r="U643" s="307"/>
      <c r="V643" s="2630">
        <f>VLOOKUP(M643,'[1]TABELA FRETE'!$A$6:$B$12,2,0)</f>
        <v>425.7</v>
      </c>
      <c r="W643" s="2631"/>
      <c r="X643" s="2632"/>
      <c r="Y643" s="2633"/>
    </row>
    <row r="644" spans="2:25" s="299" customFormat="1" ht="48" customHeight="1">
      <c r="B644" s="463">
        <v>0.58333333333333304</v>
      </c>
      <c r="C644" s="326"/>
      <c r="D644" s="458">
        <v>3</v>
      </c>
      <c r="E644" s="392">
        <v>2339</v>
      </c>
      <c r="F644" s="464">
        <v>26</v>
      </c>
      <c r="G644" s="392">
        <v>4108</v>
      </c>
      <c r="H644" s="465"/>
      <c r="I644" s="392"/>
      <c r="J644" s="898">
        <f t="shared" si="49"/>
        <v>6447</v>
      </c>
      <c r="K644" s="914">
        <f t="shared" si="46"/>
        <v>14.326666666666666</v>
      </c>
      <c r="L644" s="727">
        <v>1</v>
      </c>
      <c r="M644" s="1298" t="s">
        <v>6</v>
      </c>
      <c r="N644" s="1005">
        <v>14</v>
      </c>
      <c r="O644" s="2628" t="s">
        <v>220</v>
      </c>
      <c r="P644" s="2629"/>
      <c r="Q644" s="370">
        <v>1</v>
      </c>
      <c r="R644" s="369">
        <v>0</v>
      </c>
      <c r="S644" s="1327" t="s">
        <v>221</v>
      </c>
      <c r="T644" s="1009">
        <v>184422</v>
      </c>
      <c r="U644" s="307"/>
      <c r="V644" s="2630">
        <f>VLOOKUP(M644,'[1]TABELA FRETE'!$A$6:$B$12,2,0)</f>
        <v>489.5</v>
      </c>
      <c r="W644" s="2631"/>
      <c r="X644" s="2632"/>
      <c r="Y644" s="2633"/>
    </row>
    <row r="645" spans="2:25" s="299" customFormat="1" ht="48" customHeight="1">
      <c r="B645" s="463">
        <v>0.58333333333333304</v>
      </c>
      <c r="C645" s="326"/>
      <c r="D645" s="472">
        <v>19</v>
      </c>
      <c r="E645" s="360">
        <v>4930</v>
      </c>
      <c r="F645" s="393"/>
      <c r="G645" s="360"/>
      <c r="H645" s="445"/>
      <c r="I645" s="360"/>
      <c r="J645" s="898">
        <f t="shared" si="49"/>
        <v>4930</v>
      </c>
      <c r="K645" s="914">
        <f t="shared" si="46"/>
        <v>10.955555555555556</v>
      </c>
      <c r="L645" s="364">
        <v>1</v>
      </c>
      <c r="M645" s="397" t="s">
        <v>7</v>
      </c>
      <c r="N645" s="870">
        <v>12</v>
      </c>
      <c r="O645" s="2628" t="s">
        <v>58</v>
      </c>
      <c r="P645" s="2629"/>
      <c r="Q645" s="1324">
        <v>2</v>
      </c>
      <c r="R645" s="378">
        <v>0</v>
      </c>
      <c r="S645" s="1086" t="s">
        <v>59</v>
      </c>
      <c r="T645" s="1328">
        <v>674</v>
      </c>
      <c r="U645" s="307"/>
      <c r="V645" s="2630">
        <f>VLOOKUP(M645,'[1]TABELA FRETE'!$A$6:$B$12,2,0)</f>
        <v>466.4</v>
      </c>
      <c r="W645" s="2631"/>
      <c r="X645" s="2632"/>
      <c r="Y645" s="2633"/>
    </row>
    <row r="646" spans="2:25" s="299" customFormat="1" ht="48" customHeight="1">
      <c r="B646" s="463">
        <v>0.58333333333333304</v>
      </c>
      <c r="C646" s="326"/>
      <c r="D646" s="1329">
        <v>47</v>
      </c>
      <c r="E646" s="897">
        <v>2189</v>
      </c>
      <c r="F646" s="517"/>
      <c r="G646" s="455"/>
      <c r="H646" s="348"/>
      <c r="I646" s="349"/>
      <c r="J646" s="965">
        <f t="shared" si="49"/>
        <v>2189</v>
      </c>
      <c r="K646" s="899">
        <f t="shared" si="46"/>
        <v>4.8644444444444446</v>
      </c>
      <c r="L646" s="349">
        <v>1</v>
      </c>
      <c r="M646" s="1325">
        <v>1016</v>
      </c>
      <c r="N646" s="808">
        <v>8</v>
      </c>
      <c r="O646" s="2628" t="s">
        <v>88</v>
      </c>
      <c r="P646" s="2629"/>
      <c r="Q646" s="535">
        <v>1</v>
      </c>
      <c r="R646" s="357">
        <v>0</v>
      </c>
      <c r="S646" s="1137" t="s">
        <v>89</v>
      </c>
      <c r="T646" s="657">
        <v>799</v>
      </c>
      <c r="U646" s="307"/>
      <c r="V646" s="2630">
        <f>VLOOKUP(M646,'[1]TABELA FRETE'!$A$6:$B$12,2,0)</f>
        <v>425.7</v>
      </c>
      <c r="W646" s="2631"/>
      <c r="X646" s="2632"/>
      <c r="Y646" s="2633"/>
    </row>
    <row r="647" spans="2:25" s="299" customFormat="1" ht="60" customHeight="1">
      <c r="B647" s="463">
        <v>0.58333333333333304</v>
      </c>
      <c r="C647" s="326"/>
      <c r="D647" s="470" t="s">
        <v>198</v>
      </c>
      <c r="E647" s="392">
        <v>3763</v>
      </c>
      <c r="F647" s="464"/>
      <c r="G647" s="392"/>
      <c r="H647" s="465"/>
      <c r="I647" s="392"/>
      <c r="J647" s="898">
        <f t="shared" si="49"/>
        <v>3763</v>
      </c>
      <c r="K647" s="914">
        <f t="shared" si="46"/>
        <v>8.362222222222222</v>
      </c>
      <c r="L647" s="727">
        <v>1</v>
      </c>
      <c r="M647" s="1298">
        <v>1016</v>
      </c>
      <c r="N647" s="1005">
        <v>10</v>
      </c>
      <c r="O647" s="2628" t="s">
        <v>81</v>
      </c>
      <c r="P647" s="2629"/>
      <c r="Q647" s="370">
        <v>2</v>
      </c>
      <c r="R647" s="369">
        <v>0</v>
      </c>
      <c r="S647" s="1327" t="s">
        <v>82</v>
      </c>
      <c r="T647" s="1009">
        <v>606</v>
      </c>
      <c r="U647" s="307"/>
      <c r="V647" s="2630">
        <f>VLOOKUP(M647,'[1]TABELA FRETE'!$D$25:$E$29,2,0)</f>
        <v>247.5</v>
      </c>
      <c r="W647" s="2631"/>
      <c r="X647" s="2632"/>
      <c r="Y647" s="2633"/>
    </row>
    <row r="648" spans="2:25" s="299" customFormat="1" ht="60" customHeight="1">
      <c r="B648" s="463">
        <v>0.58333333333333304</v>
      </c>
      <c r="C648" s="326"/>
      <c r="D648" s="1330">
        <v>1129</v>
      </c>
      <c r="E648" s="1020">
        <v>3536</v>
      </c>
      <c r="F648" s="1331"/>
      <c r="G648" s="1022"/>
      <c r="H648" s="1330"/>
      <c r="I648" s="1022"/>
      <c r="J648" s="898">
        <f t="shared" si="49"/>
        <v>3536</v>
      </c>
      <c r="K648" s="914">
        <f t="shared" si="46"/>
        <v>7.8577777777777778</v>
      </c>
      <c r="L648" s="727">
        <v>1</v>
      </c>
      <c r="M648" s="1298">
        <v>1016</v>
      </c>
      <c r="N648" s="1005">
        <v>7</v>
      </c>
      <c r="O648" s="2628" t="s">
        <v>56</v>
      </c>
      <c r="P648" s="2629"/>
      <c r="Q648" s="370">
        <v>1</v>
      </c>
      <c r="R648" s="369">
        <v>0</v>
      </c>
      <c r="S648" s="1327" t="s">
        <v>57</v>
      </c>
      <c r="T648" s="1009">
        <v>663</v>
      </c>
      <c r="U648" s="307"/>
      <c r="V648" s="2630">
        <f>VLOOKUP(M648,'[1]TABELA FRETE'!$A$6:$B$12,2,0)</f>
        <v>425.7</v>
      </c>
      <c r="W648" s="2631"/>
      <c r="X648" s="2632"/>
      <c r="Y648" s="2633"/>
    </row>
    <row r="649" spans="2:25" s="299" customFormat="1" ht="48" customHeight="1">
      <c r="B649" s="463">
        <v>0.58333333333333304</v>
      </c>
      <c r="C649" s="326"/>
      <c r="D649" s="1332">
        <v>6</v>
      </c>
      <c r="E649" s="999">
        <v>3677</v>
      </c>
      <c r="F649" s="723"/>
      <c r="G649" s="375"/>
      <c r="H649" s="1333"/>
      <c r="I649" s="1002"/>
      <c r="J649" s="541">
        <f t="shared" si="49"/>
        <v>3677</v>
      </c>
      <c r="K649" s="1003">
        <f t="shared" si="46"/>
        <v>8.1711111111111112</v>
      </c>
      <c r="L649" s="375">
        <v>1</v>
      </c>
      <c r="M649" s="1334">
        <v>1016</v>
      </c>
      <c r="N649" s="377">
        <v>9</v>
      </c>
      <c r="O649" s="2628" t="s">
        <v>79</v>
      </c>
      <c r="P649" s="2629"/>
      <c r="Q649" s="450">
        <v>1</v>
      </c>
      <c r="R649" s="535">
        <v>0</v>
      </c>
      <c r="S649" s="1335" t="s">
        <v>80</v>
      </c>
      <c r="T649" s="357">
        <v>184725</v>
      </c>
      <c r="U649" s="307"/>
      <c r="V649" s="2630">
        <f>VLOOKUP(M649,'[1]TABELA FRETE'!$A$6:$B$12,2,0)</f>
        <v>425.7</v>
      </c>
      <c r="W649" s="2631"/>
      <c r="X649" s="2632"/>
      <c r="Y649" s="2633"/>
    </row>
    <row r="650" spans="2:25" s="299" customFormat="1" ht="61.5" customHeight="1">
      <c r="B650" s="408">
        <v>0.58333333333333304</v>
      </c>
      <c r="C650" s="326"/>
      <c r="D650" s="1336">
        <v>36</v>
      </c>
      <c r="E650" s="1337">
        <v>1694</v>
      </c>
      <c r="F650" s="1336">
        <v>46</v>
      </c>
      <c r="G650" s="1337">
        <v>3723</v>
      </c>
      <c r="H650" s="1133"/>
      <c r="I650" s="984"/>
      <c r="J650" s="985">
        <f t="shared" ref="J650:J662" si="52">E650+G650+I650</f>
        <v>5417</v>
      </c>
      <c r="K650" s="986">
        <f t="shared" ref="K650:K661" si="53">J650/450</f>
        <v>12.037777777777778</v>
      </c>
      <c r="L650" s="602">
        <v>1</v>
      </c>
      <c r="M650" s="1338" t="s">
        <v>7</v>
      </c>
      <c r="N650" s="1339">
        <v>12</v>
      </c>
      <c r="O650" s="2931" t="s">
        <v>155</v>
      </c>
      <c r="P650" s="2932"/>
      <c r="Q650" s="1340">
        <v>2</v>
      </c>
      <c r="R650" s="1340">
        <v>2</v>
      </c>
      <c r="S650" s="1341" t="s">
        <v>156</v>
      </c>
      <c r="T650" s="420">
        <v>184446</v>
      </c>
      <c r="U650" s="307"/>
      <c r="V650" s="2630">
        <f>VLOOKUP(M650,'[1]TABELA FRETE'!$A$6:$B$12,2,0)</f>
        <v>466.4</v>
      </c>
      <c r="W650" s="2631"/>
      <c r="X650" s="2694"/>
      <c r="Y650" s="2695"/>
    </row>
    <row r="651" spans="2:25" s="301" customFormat="1" ht="6" customHeight="1">
      <c r="B651" s="326"/>
      <c r="C651" s="326"/>
      <c r="D651" s="487"/>
      <c r="E651" s="423"/>
      <c r="F651" s="488"/>
      <c r="G651" s="423"/>
      <c r="H651" s="424"/>
      <c r="I651" s="423"/>
      <c r="J651" s="423"/>
      <c r="K651" s="425"/>
      <c r="L651" s="423"/>
      <c r="M651" s="426"/>
      <c r="N651" s="427"/>
      <c r="O651" s="431"/>
      <c r="P651" s="431"/>
      <c r="Q651" s="429"/>
      <c r="R651" s="431"/>
      <c r="S651" s="489"/>
      <c r="T651" s="431"/>
      <c r="U651" s="432"/>
      <c r="V651" s="679"/>
      <c r="W651" s="679"/>
      <c r="X651" s="434"/>
      <c r="Y651" s="434"/>
    </row>
    <row r="652" spans="2:25" s="299" customFormat="1" ht="48" customHeight="1">
      <c r="B652" s="325">
        <v>0.70833333333333304</v>
      </c>
      <c r="C652" s="326"/>
      <c r="D652" s="990">
        <v>33</v>
      </c>
      <c r="E652" s="991">
        <v>3614</v>
      </c>
      <c r="F652" s="490"/>
      <c r="G652" s="328"/>
      <c r="H652" s="992"/>
      <c r="I652" s="624"/>
      <c r="J652" s="624">
        <f t="shared" si="52"/>
        <v>3614</v>
      </c>
      <c r="K652" s="993">
        <f t="shared" si="53"/>
        <v>8.0311111111111106</v>
      </c>
      <c r="L652" s="715">
        <v>1</v>
      </c>
      <c r="M652" s="1342">
        <v>1016</v>
      </c>
      <c r="N652" s="440">
        <v>8</v>
      </c>
      <c r="O652" s="2933" t="s">
        <v>106</v>
      </c>
      <c r="P652" s="2934"/>
      <c r="Q652" s="497">
        <v>2</v>
      </c>
      <c r="R652" s="497">
        <v>0</v>
      </c>
      <c r="S652" s="1343" t="s">
        <v>211</v>
      </c>
      <c r="T652" s="500">
        <v>606</v>
      </c>
      <c r="U652" s="307"/>
      <c r="V652" s="2630">
        <f>VLOOKUP(M652,'[1]TABELA FRETE'!$A$6:$B$12,2,0)</f>
        <v>425.7</v>
      </c>
      <c r="W652" s="2631"/>
      <c r="X652" s="2632"/>
      <c r="Y652" s="2633"/>
    </row>
    <row r="653" spans="2:25" s="299" customFormat="1" ht="48" customHeight="1">
      <c r="B653" s="463">
        <v>0.70833333333333304</v>
      </c>
      <c r="C653" s="326"/>
      <c r="D653" s="998">
        <v>21</v>
      </c>
      <c r="E653" s="999">
        <v>4403</v>
      </c>
      <c r="F653" s="1000"/>
      <c r="G653" s="360"/>
      <c r="H653" s="1001"/>
      <c r="I653" s="1002"/>
      <c r="J653" s="541">
        <f t="shared" si="52"/>
        <v>4403</v>
      </c>
      <c r="K653" s="1003">
        <f t="shared" si="53"/>
        <v>9.7844444444444445</v>
      </c>
      <c r="L653" s="375">
        <v>1</v>
      </c>
      <c r="M653" s="1344" t="s">
        <v>7</v>
      </c>
      <c r="N653" s="368">
        <v>12</v>
      </c>
      <c r="O653" s="2692" t="s">
        <v>62</v>
      </c>
      <c r="P653" s="2693"/>
      <c r="Q653" s="1291">
        <v>2</v>
      </c>
      <c r="R653" s="1291">
        <v>0</v>
      </c>
      <c r="S653" s="1345" t="s">
        <v>63</v>
      </c>
      <c r="T653" s="390">
        <v>740</v>
      </c>
      <c r="U653" s="307"/>
      <c r="V653" s="2630">
        <f>VLOOKUP(M653,'[1]TABELA FRETE'!$A$6:$B$12,2,0)</f>
        <v>466.4</v>
      </c>
      <c r="W653" s="2631"/>
      <c r="X653" s="2632"/>
      <c r="Y653" s="2633"/>
    </row>
    <row r="654" spans="2:25" s="299" customFormat="1" ht="48" customHeight="1">
      <c r="B654" s="358">
        <v>0.70833333333333304</v>
      </c>
      <c r="C654" s="326"/>
      <c r="D654" s="998">
        <v>30</v>
      </c>
      <c r="E654" s="999">
        <v>2892</v>
      </c>
      <c r="F654" s="723"/>
      <c r="G654" s="345"/>
      <c r="H654" s="1001"/>
      <c r="I654" s="1002"/>
      <c r="J654" s="541">
        <f t="shared" si="52"/>
        <v>2892</v>
      </c>
      <c r="K654" s="1003">
        <f t="shared" si="53"/>
        <v>6.4266666666666667</v>
      </c>
      <c r="L654" s="375">
        <v>1</v>
      </c>
      <c r="M654" s="1346">
        <v>1016</v>
      </c>
      <c r="N654" s="377">
        <v>8</v>
      </c>
      <c r="O654" s="2628" t="s">
        <v>44</v>
      </c>
      <c r="P654" s="2926"/>
      <c r="Q654" s="1291">
        <v>2</v>
      </c>
      <c r="R654" s="450">
        <v>0</v>
      </c>
      <c r="S654" s="1335" t="s">
        <v>103</v>
      </c>
      <c r="T654" s="407">
        <v>674</v>
      </c>
      <c r="U654" s="307"/>
      <c r="V654" s="2630">
        <f>VLOOKUP(M654,'[1]TABELA FRETE'!$A$6:$B$12,2,0)</f>
        <v>425.7</v>
      </c>
      <c r="W654" s="2631"/>
      <c r="X654" s="2632"/>
      <c r="Y654" s="2633"/>
    </row>
    <row r="655" spans="2:25" s="299" customFormat="1" ht="48" customHeight="1">
      <c r="B655" s="358">
        <v>0.70833333333333304</v>
      </c>
      <c r="C655" s="326"/>
      <c r="D655" s="998" t="s">
        <v>201</v>
      </c>
      <c r="E655" s="999">
        <v>2410</v>
      </c>
      <c r="F655" s="1010"/>
      <c r="G655" s="345"/>
      <c r="H655" s="1011"/>
      <c r="I655" s="1012"/>
      <c r="J655" s="541">
        <f t="shared" si="52"/>
        <v>2410</v>
      </c>
      <c r="K655" s="1003">
        <f t="shared" si="53"/>
        <v>5.3555555555555552</v>
      </c>
      <c r="L655" s="375">
        <v>1</v>
      </c>
      <c r="M655" s="1344">
        <v>1016</v>
      </c>
      <c r="N655" s="368">
        <v>10</v>
      </c>
      <c r="O655" s="2692" t="s">
        <v>85</v>
      </c>
      <c r="P655" s="2912"/>
      <c r="Q655" s="1291">
        <v>2</v>
      </c>
      <c r="R655" s="1291">
        <v>0</v>
      </c>
      <c r="S655" s="1345" t="s">
        <v>86</v>
      </c>
      <c r="T655" s="390">
        <v>714</v>
      </c>
      <c r="U655" s="432"/>
      <c r="V655" s="2630">
        <f>VLOOKUP(M655,'[1]TABELA FRETE'!$A$6:$B$12,2,0)</f>
        <v>425.7</v>
      </c>
      <c r="W655" s="2631"/>
      <c r="X655" s="2632"/>
      <c r="Y655" s="2633"/>
    </row>
    <row r="656" spans="2:25" s="299" customFormat="1" ht="48" customHeight="1">
      <c r="B656" s="358">
        <v>0.70833333333333304</v>
      </c>
      <c r="C656" s="326"/>
      <c r="D656" s="998">
        <v>4</v>
      </c>
      <c r="E656" s="999">
        <v>2618</v>
      </c>
      <c r="F656" s="1010"/>
      <c r="G656" s="345"/>
      <c r="H656" s="1014"/>
      <c r="I656" s="1002"/>
      <c r="J656" s="541">
        <f t="shared" si="52"/>
        <v>2618</v>
      </c>
      <c r="K656" s="1003">
        <f t="shared" si="53"/>
        <v>5.8177777777777777</v>
      </c>
      <c r="L656" s="375">
        <v>1</v>
      </c>
      <c r="M656" s="1346">
        <v>1016</v>
      </c>
      <c r="N656" s="377">
        <v>8</v>
      </c>
      <c r="O656" s="2692" t="s">
        <v>92</v>
      </c>
      <c r="P656" s="2693"/>
      <c r="Q656" s="1291">
        <v>2</v>
      </c>
      <c r="R656" s="1291">
        <v>0</v>
      </c>
      <c r="S656" s="1345" t="s">
        <v>93</v>
      </c>
      <c r="T656" s="407">
        <v>576</v>
      </c>
      <c r="U656" s="432"/>
      <c r="V656" s="2630">
        <f>VLOOKUP(M656,'[1]TABELA FRETE'!$A$6:$B$12,2,0)</f>
        <v>425.7</v>
      </c>
      <c r="W656" s="2631"/>
      <c r="X656" s="2632"/>
      <c r="Y656" s="2633"/>
    </row>
    <row r="657" spans="2:25" s="299" customFormat="1" ht="48" customHeight="1">
      <c r="B657" s="358">
        <v>0.70833333333333304</v>
      </c>
      <c r="C657" s="326"/>
      <c r="D657" s="998">
        <v>18</v>
      </c>
      <c r="E657" s="999">
        <v>1659</v>
      </c>
      <c r="F657" s="1010"/>
      <c r="G657" s="345"/>
      <c r="H657" s="1014"/>
      <c r="I657" s="1002"/>
      <c r="J657" s="541">
        <f t="shared" si="52"/>
        <v>1659</v>
      </c>
      <c r="K657" s="1003">
        <f t="shared" si="53"/>
        <v>3.6866666666666665</v>
      </c>
      <c r="L657" s="375">
        <v>1</v>
      </c>
      <c r="M657" s="1346">
        <v>1016</v>
      </c>
      <c r="N657" s="377">
        <v>7</v>
      </c>
      <c r="O657" s="2628" t="s">
        <v>56</v>
      </c>
      <c r="P657" s="2926"/>
      <c r="Q657" s="450">
        <v>1</v>
      </c>
      <c r="R657" s="450">
        <v>0</v>
      </c>
      <c r="S657" s="1335" t="s">
        <v>57</v>
      </c>
      <c r="T657" s="407">
        <v>663</v>
      </c>
      <c r="U657" s="432"/>
      <c r="V657" s="2630">
        <f>VLOOKUP(M657,'[1]TABELA FRETE'!$A$6:$B$12,2,0)</f>
        <v>425.7</v>
      </c>
      <c r="W657" s="2631"/>
      <c r="X657" s="2632"/>
      <c r="Y657" s="2633"/>
    </row>
    <row r="658" spans="2:25" s="299" customFormat="1" ht="48" customHeight="1">
      <c r="B658" s="463">
        <v>0.70833333333333304</v>
      </c>
      <c r="C658" s="326"/>
      <c r="D658" s="998">
        <v>7</v>
      </c>
      <c r="E658" s="999">
        <v>5500</v>
      </c>
      <c r="F658" s="516"/>
      <c r="G658" s="375"/>
      <c r="H658" s="1001"/>
      <c r="I658" s="1002"/>
      <c r="J658" s="541">
        <f t="shared" si="52"/>
        <v>5500</v>
      </c>
      <c r="K658" s="1003">
        <v>12</v>
      </c>
      <c r="L658" s="375">
        <v>1</v>
      </c>
      <c r="M658" s="1347" t="s">
        <v>7</v>
      </c>
      <c r="N658" s="595">
        <v>12</v>
      </c>
      <c r="O658" s="2927" t="s">
        <v>50</v>
      </c>
      <c r="P658" s="2928"/>
      <c r="Q658" s="1018">
        <v>2</v>
      </c>
      <c r="R658" s="1018">
        <v>0</v>
      </c>
      <c r="S658" s="1348" t="s">
        <v>105</v>
      </c>
      <c r="T658" s="596">
        <v>612</v>
      </c>
      <c r="U658" s="307"/>
      <c r="V658" s="2630">
        <f>VLOOKUP(M658,'[1]TABELA FRETE'!$A$6:$B$12,2,0)</f>
        <v>466.4</v>
      </c>
      <c r="W658" s="2631"/>
      <c r="X658" s="2632"/>
      <c r="Y658" s="2633"/>
    </row>
    <row r="659" spans="2:25" s="299" customFormat="1" ht="48" customHeight="1">
      <c r="B659" s="358">
        <v>0.70833333333333304</v>
      </c>
      <c r="C659" s="326"/>
      <c r="D659" s="998">
        <v>27</v>
      </c>
      <c r="E659" s="999">
        <v>1757</v>
      </c>
      <c r="F659" s="532">
        <v>7</v>
      </c>
      <c r="G659" s="395">
        <v>964</v>
      </c>
      <c r="H659" s="1021"/>
      <c r="I659" s="1022"/>
      <c r="J659" s="541">
        <f t="shared" ref="J659" si="54">E659+G659+I659</f>
        <v>2721</v>
      </c>
      <c r="K659" s="1003">
        <v>12</v>
      </c>
      <c r="L659" s="375">
        <v>1</v>
      </c>
      <c r="M659" s="1347">
        <v>1016</v>
      </c>
      <c r="N659" s="595">
        <v>7</v>
      </c>
      <c r="O659" s="1018" t="s">
        <v>141</v>
      </c>
      <c r="P659" s="741"/>
      <c r="Q659" s="1018">
        <v>2</v>
      </c>
      <c r="R659" s="1018">
        <v>0</v>
      </c>
      <c r="S659" s="1348" t="s">
        <v>142</v>
      </c>
      <c r="T659" s="596">
        <v>605</v>
      </c>
      <c r="U659" s="307"/>
      <c r="V659" s="2630">
        <f>VLOOKUP(M659,'[1]TABELA FRETE'!$A$6:$B$12,2,0)</f>
        <v>425.7</v>
      </c>
      <c r="W659" s="2631"/>
      <c r="X659" s="2632"/>
      <c r="Y659" s="2633"/>
    </row>
    <row r="660" spans="2:25" s="299" customFormat="1" ht="48" customHeight="1">
      <c r="B660" s="463">
        <v>0.70833333333333304</v>
      </c>
      <c r="C660" s="326"/>
      <c r="D660" s="1019">
        <v>48</v>
      </c>
      <c r="E660" s="1020">
        <v>2098</v>
      </c>
      <c r="F660" s="726"/>
      <c r="G660" s="395"/>
      <c r="H660" s="1021"/>
      <c r="I660" s="1022"/>
      <c r="J660" s="541">
        <f t="shared" si="52"/>
        <v>2098</v>
      </c>
      <c r="K660" s="1003">
        <f t="shared" si="53"/>
        <v>4.6622222222222218</v>
      </c>
      <c r="L660" s="395">
        <v>1</v>
      </c>
      <c r="M660" s="1346">
        <v>1016</v>
      </c>
      <c r="N660" s="377">
        <v>8</v>
      </c>
      <c r="O660" s="2692" t="s">
        <v>88</v>
      </c>
      <c r="P660" s="2912"/>
      <c r="Q660" s="1291">
        <v>1</v>
      </c>
      <c r="R660" s="1291">
        <v>0</v>
      </c>
      <c r="S660" s="1345" t="s">
        <v>184</v>
      </c>
      <c r="T660" s="407">
        <v>799</v>
      </c>
      <c r="U660" s="307"/>
      <c r="V660" s="2630">
        <f>VLOOKUP(M660,'[1]TABELA FRETE'!$A$6:$B$12,2,0)</f>
        <v>425.7</v>
      </c>
      <c r="W660" s="2631"/>
      <c r="X660" s="2632"/>
      <c r="Y660" s="2633"/>
    </row>
    <row r="661" spans="2:25" s="299" customFormat="1" ht="48" customHeight="1">
      <c r="B661" s="408">
        <v>0.70833333333333304</v>
      </c>
      <c r="C661" s="326"/>
      <c r="D661" s="1023">
        <v>13</v>
      </c>
      <c r="E661" s="1024">
        <v>2978</v>
      </c>
      <c r="F661" s="542"/>
      <c r="G661" s="544"/>
      <c r="H661" s="1025"/>
      <c r="I661" s="1026"/>
      <c r="J661" s="1026">
        <f t="shared" si="52"/>
        <v>2978</v>
      </c>
      <c r="K661" s="1027">
        <f t="shared" si="53"/>
        <v>6.6177777777777775</v>
      </c>
      <c r="L661" s="544">
        <v>1</v>
      </c>
      <c r="M661" s="1349" t="s">
        <v>7</v>
      </c>
      <c r="N661" s="707">
        <v>12</v>
      </c>
      <c r="O661" s="2929" t="s">
        <v>68</v>
      </c>
      <c r="P661" s="2930"/>
      <c r="Q661" s="550">
        <v>1</v>
      </c>
      <c r="R661" s="669">
        <v>0</v>
      </c>
      <c r="S661" s="1350" t="s">
        <v>174</v>
      </c>
      <c r="T661" s="710">
        <v>808</v>
      </c>
      <c r="U661" s="307"/>
      <c r="V661" s="2630">
        <f>VLOOKUP(M661,'[1]TABELA FRETE'!$D$7:$E$12,2,0)</f>
        <v>1161.5999999999999</v>
      </c>
      <c r="W661" s="2631"/>
      <c r="X661" s="2694"/>
      <c r="Y661" s="2695"/>
    </row>
    <row r="662" spans="2:25" s="299" customFormat="1" ht="46.5" customHeight="1">
      <c r="B662" s="554" t="s">
        <v>108</v>
      </c>
      <c r="C662" s="1030"/>
      <c r="D662" s="556"/>
      <c r="E662" s="557">
        <f>SUM(E600:E661)</f>
        <v>197851</v>
      </c>
      <c r="F662" s="557" t="s">
        <v>109</v>
      </c>
      <c r="G662" s="557">
        <f>SUM(G600:G661)</f>
        <v>23386</v>
      </c>
      <c r="H662" s="557" t="s">
        <v>109</v>
      </c>
      <c r="I662" s="319">
        <f>SUM(I600:I661)</f>
        <v>0</v>
      </c>
      <c r="J662" s="319">
        <f t="shared" si="52"/>
        <v>221237</v>
      </c>
      <c r="K662" s="558">
        <f>SUM(K600:K661)</f>
        <v>487.27777777777777</v>
      </c>
      <c r="L662" s="559">
        <f>SUM(L600:L661)</f>
        <v>58</v>
      </c>
      <c r="M662" s="560" t="s">
        <v>110</v>
      </c>
      <c r="N662" s="554">
        <f>SUM(N600:N661)</f>
        <v>540</v>
      </c>
      <c r="O662" s="557" t="s">
        <v>32</v>
      </c>
      <c r="P662" s="557"/>
      <c r="Q662" s="319"/>
      <c r="R662" s="561">
        <f>SUM(R611:R661)</f>
        <v>5</v>
      </c>
      <c r="S662" s="562" t="s">
        <v>111</v>
      </c>
      <c r="T662" s="1031"/>
      <c r="U662" s="307"/>
      <c r="V662" s="2558">
        <f>SUM(V600:W661)</f>
        <v>25554.100000000017</v>
      </c>
      <c r="W662" s="2559"/>
      <c r="X662" s="2564">
        <f>COUNT(X600:Y661)</f>
        <v>0</v>
      </c>
      <c r="Y662" s="2565"/>
    </row>
    <row r="663" spans="2:25" s="299" customFormat="1" ht="40.5" customHeight="1">
      <c r="B663" s="2853" t="s">
        <v>112</v>
      </c>
      <c r="C663" s="2899"/>
      <c r="D663" s="2899"/>
      <c r="E663" s="2899"/>
      <c r="F663" s="2899"/>
      <c r="G663" s="2899"/>
      <c r="H663" s="2899"/>
      <c r="I663" s="2899"/>
      <c r="J663" s="2899"/>
      <c r="K663" s="564">
        <v>44</v>
      </c>
      <c r="L663" s="2899" t="s">
        <v>113</v>
      </c>
      <c r="M663" s="2854"/>
      <c r="N663" s="2915" t="s">
        <v>114</v>
      </c>
      <c r="O663" s="2916"/>
      <c r="P663" s="2916"/>
      <c r="Q663" s="2916"/>
      <c r="R663" s="2917"/>
      <c r="S663" s="2915" t="s">
        <v>115</v>
      </c>
      <c r="T663" s="2917"/>
      <c r="U663" s="307"/>
      <c r="V663" s="2560"/>
      <c r="W663" s="2561"/>
      <c r="X663" s="2566"/>
      <c r="Y663" s="2567"/>
    </row>
    <row r="664" spans="2:25" s="299" customFormat="1" ht="6.75" customHeight="1">
      <c r="B664" s="2570" t="s">
        <v>116</v>
      </c>
      <c r="C664" s="2571"/>
      <c r="D664" s="2571"/>
      <c r="E664" s="2574">
        <f>L662</f>
        <v>58</v>
      </c>
      <c r="F664" s="2570" t="s">
        <v>30</v>
      </c>
      <c r="G664" s="2571"/>
      <c r="H664" s="2574">
        <f>J662</f>
        <v>221237</v>
      </c>
      <c r="I664" s="2575"/>
      <c r="J664" s="2571" t="s">
        <v>117</v>
      </c>
      <c r="K664" s="2575">
        <f>H664/E664</f>
        <v>3814.4310344827586</v>
      </c>
      <c r="L664" s="2574" t="s">
        <v>118</v>
      </c>
      <c r="M664" s="2574"/>
      <c r="N664" s="2574"/>
      <c r="O664" s="2575">
        <v>44</v>
      </c>
      <c r="P664" s="565"/>
      <c r="Q664" s="565"/>
      <c r="R664" s="565"/>
      <c r="S664" s="565"/>
      <c r="T664" s="566"/>
      <c r="U664" s="307"/>
      <c r="V664" s="2562"/>
      <c r="W664" s="2563"/>
      <c r="X664" s="2568"/>
      <c r="Y664" s="2569"/>
    </row>
    <row r="665" spans="2:25" s="299" customFormat="1" ht="40.5" customHeight="1">
      <c r="B665" s="2572"/>
      <c r="C665" s="2573"/>
      <c r="D665" s="2573"/>
      <c r="E665" s="2576"/>
      <c r="F665" s="2572"/>
      <c r="G665" s="2573"/>
      <c r="H665" s="2576"/>
      <c r="I665" s="2577"/>
      <c r="J665" s="2573"/>
      <c r="K665" s="2577"/>
      <c r="L665" s="2576"/>
      <c r="M665" s="2576"/>
      <c r="N665" s="2576"/>
      <c r="O665" s="2577"/>
      <c r="P665" s="567"/>
      <c r="Q665" s="2663" t="s">
        <v>119</v>
      </c>
      <c r="R665" s="2664"/>
      <c r="S665" s="2664"/>
      <c r="T665" s="2665"/>
      <c r="U665" s="307"/>
      <c r="V665" s="2578" t="s">
        <v>120</v>
      </c>
      <c r="W665" s="2579"/>
      <c r="X665" s="2582" t="s">
        <v>121</v>
      </c>
      <c r="Y665" s="2583"/>
    </row>
    <row r="666" spans="2:25" s="299" customFormat="1" ht="51" customHeight="1">
      <c r="B666" s="2887" t="s">
        <v>122</v>
      </c>
      <c r="C666" s="2733" t="s">
        <v>33</v>
      </c>
      <c r="D666" s="2734"/>
      <c r="E666" s="2541" t="s">
        <v>123</v>
      </c>
      <c r="F666" s="2542"/>
      <c r="G666" s="2542"/>
      <c r="H666" s="2542"/>
      <c r="I666" s="2542"/>
      <c r="J666" s="2542"/>
      <c r="K666" s="2542"/>
      <c r="L666" s="2542"/>
      <c r="M666" s="2542"/>
      <c r="N666" s="2542"/>
      <c r="O666" s="2543"/>
      <c r="P666" s="568"/>
      <c r="Q666" s="2680" t="s">
        <v>124</v>
      </c>
      <c r="R666" s="2681"/>
      <c r="S666" s="2681"/>
      <c r="T666" s="2682"/>
      <c r="U666" s="307"/>
      <c r="V666" s="2578"/>
      <c r="W666" s="2579"/>
      <c r="X666" s="2582"/>
      <c r="Y666" s="2583"/>
    </row>
    <row r="667" spans="2:25" s="299" customFormat="1" ht="51" customHeight="1">
      <c r="B667" s="2888"/>
      <c r="C667" s="2753"/>
      <c r="D667" s="2754"/>
      <c r="E667" s="2544"/>
      <c r="F667" s="2545"/>
      <c r="G667" s="2545"/>
      <c r="H667" s="2545"/>
      <c r="I667" s="2545"/>
      <c r="J667" s="2545"/>
      <c r="K667" s="2545"/>
      <c r="L667" s="2545"/>
      <c r="M667" s="2545"/>
      <c r="N667" s="2545"/>
      <c r="O667" s="2546"/>
      <c r="P667" s="569"/>
      <c r="Q667" s="2683" t="s">
        <v>125</v>
      </c>
      <c r="R667" s="2684"/>
      <c r="S667" s="2684"/>
      <c r="T667" s="2685"/>
      <c r="U667" s="307"/>
      <c r="V667" s="2580"/>
      <c r="W667" s="2581"/>
      <c r="X667" s="2584"/>
      <c r="Y667" s="2585"/>
    </row>
    <row r="668" spans="2:25" s="299" customFormat="1" ht="51" customHeight="1">
      <c r="B668" s="1032" t="s">
        <v>9</v>
      </c>
      <c r="C668" s="3121">
        <f>COUNTIF(M600:M661,"kia")</f>
        <v>2</v>
      </c>
      <c r="D668" s="3122"/>
      <c r="E668" s="2547"/>
      <c r="F668" s="2548"/>
      <c r="G668" s="2548"/>
      <c r="H668" s="2548"/>
      <c r="I668" s="2548"/>
      <c r="J668" s="2548"/>
      <c r="K668" s="2548"/>
      <c r="L668" s="2548"/>
      <c r="M668" s="2548"/>
      <c r="N668" s="2548"/>
      <c r="O668" s="2549"/>
      <c r="P668" s="569"/>
      <c r="Q668" s="2686" t="s">
        <v>126</v>
      </c>
      <c r="R668" s="2687"/>
      <c r="S668" s="2687"/>
      <c r="T668" s="2688"/>
      <c r="U668" s="307"/>
      <c r="V668" s="321"/>
      <c r="W668" s="321"/>
      <c r="X668" s="321"/>
      <c r="Y668" s="321"/>
    </row>
    <row r="669" spans="2:25" s="299" customFormat="1" ht="51" customHeight="1">
      <c r="B669" s="1033" t="s">
        <v>8</v>
      </c>
      <c r="C669" s="2857">
        <f>COUNTIF(M600:M661,"iveco")</f>
        <v>3</v>
      </c>
      <c r="D669" s="2858"/>
      <c r="E669" s="2586" t="s">
        <v>127</v>
      </c>
      <c r="F669" s="2587"/>
      <c r="G669" s="2587"/>
      <c r="H669" s="2587"/>
      <c r="I669" s="2587"/>
      <c r="J669" s="2587"/>
      <c r="K669" s="2587"/>
      <c r="L669" s="2587"/>
      <c r="M669" s="2587"/>
      <c r="N669" s="2587"/>
      <c r="O669" s="2588"/>
      <c r="P669" s="569"/>
      <c r="Q669" s="2592" t="s">
        <v>128</v>
      </c>
      <c r="R669" s="2593"/>
      <c r="S669" s="2593"/>
      <c r="T669" s="2594"/>
      <c r="U669" s="307"/>
      <c r="V669" s="2689" t="s">
        <v>129</v>
      </c>
      <c r="W669" s="2690"/>
      <c r="X669" s="2690"/>
      <c r="Y669" s="2691"/>
    </row>
    <row r="670" spans="2:25" s="299" customFormat="1" ht="51" customHeight="1">
      <c r="B670" s="1033">
        <v>1016</v>
      </c>
      <c r="C670" s="2857">
        <f>COUNTIF(M600:M661,"1016")</f>
        <v>29</v>
      </c>
      <c r="D670" s="2858"/>
      <c r="E670" s="2589"/>
      <c r="F670" s="2590"/>
      <c r="G670" s="2590"/>
      <c r="H670" s="2590"/>
      <c r="I670" s="2590"/>
      <c r="J670" s="2590"/>
      <c r="K670" s="2590"/>
      <c r="L670" s="2590"/>
      <c r="M670" s="2590"/>
      <c r="N670" s="2590"/>
      <c r="O670" s="2591"/>
      <c r="P670" s="569"/>
      <c r="Q670" s="2595"/>
      <c r="R670" s="2596"/>
      <c r="S670" s="2596"/>
      <c r="T670" s="2597"/>
      <c r="U670" s="307"/>
      <c r="V670" s="2601" t="s">
        <v>130</v>
      </c>
      <c r="W670" s="2602"/>
      <c r="X670" s="2602"/>
      <c r="Y670" s="2603"/>
    </row>
    <row r="671" spans="2:25" s="299" customFormat="1" ht="51" customHeight="1">
      <c r="B671" s="1033" t="s">
        <v>7</v>
      </c>
      <c r="C671" s="2857">
        <f>COUNTIF(M600:M661,"toco")</f>
        <v>18</v>
      </c>
      <c r="D671" s="2858"/>
      <c r="E671" s="2607" t="s">
        <v>131</v>
      </c>
      <c r="F671" s="2608"/>
      <c r="G671" s="2608"/>
      <c r="H671" s="2608"/>
      <c r="I671" s="2608"/>
      <c r="J671" s="2608"/>
      <c r="K671" s="2608"/>
      <c r="L671" s="2608"/>
      <c r="M671" s="2608"/>
      <c r="N671" s="2608"/>
      <c r="O671" s="2609"/>
      <c r="P671" s="568"/>
      <c r="Q671" s="2598"/>
      <c r="R671" s="2599"/>
      <c r="S671" s="2599"/>
      <c r="T671" s="2600"/>
      <c r="U671" s="307"/>
      <c r="V671" s="2604"/>
      <c r="W671" s="2605"/>
      <c r="X671" s="2605"/>
      <c r="Y671" s="2606"/>
    </row>
    <row r="672" spans="2:25" s="299" customFormat="1" ht="51" customHeight="1">
      <c r="B672" s="1034" t="s">
        <v>6</v>
      </c>
      <c r="C672" s="2859">
        <f>COUNTIF(M600:M661,"truck")</f>
        <v>6</v>
      </c>
      <c r="D672" s="2860"/>
      <c r="E672" s="2555"/>
      <c r="F672" s="2556"/>
      <c r="G672" s="2556"/>
      <c r="H672" s="2556"/>
      <c r="I672" s="2556"/>
      <c r="J672" s="2556"/>
      <c r="K672" s="2556"/>
      <c r="L672" s="2556"/>
      <c r="M672" s="2556"/>
      <c r="N672" s="2556"/>
      <c r="O672" s="2557"/>
      <c r="P672" s="568"/>
      <c r="Q672" s="2610" t="s">
        <v>132</v>
      </c>
      <c r="R672" s="2611"/>
      <c r="S672" s="2611"/>
      <c r="T672" s="2612"/>
      <c r="U672" s="307"/>
      <c r="V672" s="2616" t="s">
        <v>133</v>
      </c>
      <c r="W672" s="2617"/>
      <c r="X672" s="2622">
        <f>SUM(E600:E661,G600:G661,I600:I661)</f>
        <v>221237</v>
      </c>
      <c r="Y672" s="2623"/>
    </row>
    <row r="673" spans="1:26" s="299" customFormat="1" ht="51" customHeight="1">
      <c r="B673" s="2887" t="s">
        <v>134</v>
      </c>
      <c r="C673" s="2753">
        <f>SUM(C668:D672)</f>
        <v>58</v>
      </c>
      <c r="D673" s="2754"/>
      <c r="E673" s="2552" t="s">
        <v>135</v>
      </c>
      <c r="F673" s="2553"/>
      <c r="G673" s="2553"/>
      <c r="H673" s="2553"/>
      <c r="I673" s="2553"/>
      <c r="J673" s="2553"/>
      <c r="K673" s="2553"/>
      <c r="L673" s="2553"/>
      <c r="M673" s="2553"/>
      <c r="N673" s="2553"/>
      <c r="O673" s="2554"/>
      <c r="P673" s="573"/>
      <c r="Q673" s="2610"/>
      <c r="R673" s="2611"/>
      <c r="S673" s="2611"/>
      <c r="T673" s="2612"/>
      <c r="U673" s="574"/>
      <c r="V673" s="2618"/>
      <c r="W673" s="2619"/>
      <c r="X673" s="2624"/>
      <c r="Y673" s="2625"/>
    </row>
    <row r="674" spans="1:26" s="299" customFormat="1" ht="51" customHeight="1">
      <c r="B674" s="2888"/>
      <c r="C674" s="2735"/>
      <c r="D674" s="2736"/>
      <c r="E674" s="2555"/>
      <c r="F674" s="2556"/>
      <c r="G674" s="2556"/>
      <c r="H674" s="2556"/>
      <c r="I674" s="2556"/>
      <c r="J674" s="2556"/>
      <c r="K674" s="2556"/>
      <c r="L674" s="2556"/>
      <c r="M674" s="2556"/>
      <c r="N674" s="2556"/>
      <c r="O674" s="2557"/>
      <c r="P674" s="575"/>
      <c r="Q674" s="2610"/>
      <c r="R674" s="2611"/>
      <c r="S674" s="2611"/>
      <c r="T674" s="2612"/>
      <c r="U674" s="574"/>
      <c r="V674" s="2618"/>
      <c r="W674" s="2619"/>
      <c r="X674" s="2624"/>
      <c r="Y674" s="2625"/>
    </row>
    <row r="675" spans="1:26" s="300" customFormat="1" ht="51" customHeight="1">
      <c r="B675" s="770" t="s">
        <v>136</v>
      </c>
      <c r="C675" s="2847" t="s">
        <v>137</v>
      </c>
      <c r="D675" s="2848"/>
      <c r="E675" s="2848"/>
      <c r="F675" s="2848"/>
      <c r="G675" s="2848"/>
      <c r="H675" s="2848"/>
      <c r="I675" s="2848"/>
      <c r="J675" s="2848"/>
      <c r="K675" s="2848"/>
      <c r="L675" s="2848"/>
      <c r="M675" s="2848"/>
      <c r="N675" s="2848"/>
      <c r="O675" s="2849"/>
      <c r="P675" s="575"/>
      <c r="Q675" s="2613"/>
      <c r="R675" s="2614"/>
      <c r="S675" s="2614"/>
      <c r="T675" s="2615"/>
      <c r="V675" s="2620"/>
      <c r="W675" s="2621"/>
      <c r="X675" s="2626"/>
      <c r="Y675" s="2627"/>
    </row>
    <row r="678" spans="1:26" s="306" customFormat="1"/>
    <row r="679" spans="1:26" s="306" customFormat="1"/>
    <row r="680" spans="1:26" s="299" customFormat="1" ht="42.75" customHeight="1">
      <c r="A680" s="299" t="s">
        <v>17</v>
      </c>
      <c r="B680" s="2712"/>
      <c r="C680" s="2713"/>
      <c r="D680" s="2713"/>
      <c r="E680" s="2713"/>
      <c r="F680" s="2713"/>
      <c r="G680" s="2713"/>
      <c r="H680" s="2713"/>
      <c r="I680" s="2714"/>
      <c r="J680" s="2850" t="s">
        <v>18</v>
      </c>
      <c r="K680" s="2851"/>
      <c r="L680" s="2851"/>
      <c r="M680" s="2851"/>
      <c r="N680" s="2851"/>
      <c r="O680" s="2851"/>
      <c r="P680" s="2851"/>
      <c r="Q680" s="2852"/>
      <c r="R680" s="2718">
        <v>46154</v>
      </c>
      <c r="S680" s="2719"/>
      <c r="T680" s="2720"/>
      <c r="U680" s="307"/>
      <c r="V680" s="2700" t="s">
        <v>19</v>
      </c>
      <c r="W680" s="2701"/>
      <c r="X680" s="2700" t="s">
        <v>19</v>
      </c>
      <c r="Y680" s="2701"/>
    </row>
    <row r="681" spans="1:26" s="299" customFormat="1" ht="42.75" customHeight="1">
      <c r="B681" s="2715"/>
      <c r="C681" s="2716"/>
      <c r="D681" s="2716"/>
      <c r="E681" s="2716"/>
      <c r="F681" s="2716"/>
      <c r="G681" s="2716"/>
      <c r="H681" s="2716"/>
      <c r="I681" s="2717"/>
      <c r="J681" s="2724" t="s">
        <v>20</v>
      </c>
      <c r="K681" s="2725"/>
      <c r="L681" s="2725"/>
      <c r="M681" s="2725"/>
      <c r="N681" s="2725"/>
      <c r="O681" s="2725"/>
      <c r="P681" s="2725"/>
      <c r="Q681" s="2726"/>
      <c r="R681" s="2721"/>
      <c r="S681" s="2722"/>
      <c r="T681" s="2723"/>
      <c r="U681" s="307"/>
      <c r="V681" s="2702"/>
      <c r="W681" s="2703"/>
      <c r="X681" s="2702"/>
      <c r="Y681" s="2703"/>
    </row>
    <row r="682" spans="1:26" s="299" customFormat="1" ht="4.1500000000000004" customHeight="1">
      <c r="B682" s="311"/>
      <c r="C682" s="312"/>
      <c r="D682" s="308"/>
      <c r="E682" s="308"/>
      <c r="F682" s="308"/>
      <c r="G682" s="308"/>
      <c r="H682" s="308"/>
      <c r="I682" s="308"/>
      <c r="J682" s="2727"/>
      <c r="K682" s="2728"/>
      <c r="L682" s="2728"/>
      <c r="M682" s="2728"/>
      <c r="N682" s="2728"/>
      <c r="O682" s="2728"/>
      <c r="P682" s="2728"/>
      <c r="Q682" s="2729"/>
      <c r="R682" s="313" t="s">
        <v>21</v>
      </c>
      <c r="S682" s="313"/>
      <c r="T682" s="314"/>
      <c r="U682" s="307"/>
      <c r="V682" s="309"/>
      <c r="W682" s="310"/>
      <c r="X682" s="309"/>
      <c r="Y682" s="310"/>
    </row>
    <row r="683" spans="1:26" s="299" customFormat="1" ht="49.5" customHeight="1">
      <c r="B683" s="2881" t="s">
        <v>22</v>
      </c>
      <c r="C683" s="315"/>
      <c r="D683" s="2853" t="s">
        <v>23</v>
      </c>
      <c r="E683" s="2854"/>
      <c r="F683" s="2853" t="s">
        <v>24</v>
      </c>
      <c r="G683" s="2854"/>
      <c r="H683" s="2853" t="s">
        <v>25</v>
      </c>
      <c r="I683" s="2854"/>
      <c r="J683" s="2730"/>
      <c r="K683" s="2731"/>
      <c r="L683" s="2731"/>
      <c r="M683" s="2731"/>
      <c r="N683" s="2731"/>
      <c r="O683" s="2731"/>
      <c r="P683" s="2731"/>
      <c r="Q683" s="2732"/>
      <c r="R683" s="2895" t="s">
        <v>26</v>
      </c>
      <c r="S683" s="2965"/>
      <c r="T683" s="320">
        <f>L731</f>
        <v>42</v>
      </c>
      <c r="U683" s="321"/>
      <c r="V683" s="2525" t="s">
        <v>27</v>
      </c>
      <c r="W683" s="2526"/>
      <c r="X683" s="2525" t="s">
        <v>28</v>
      </c>
      <c r="Y683" s="2526"/>
      <c r="Z683" s="322"/>
    </row>
    <row r="684" spans="1:26" s="299" customFormat="1" ht="49.5" customHeight="1">
      <c r="B684" s="2882"/>
      <c r="C684" s="315"/>
      <c r="D684" s="323" t="s">
        <v>29</v>
      </c>
      <c r="E684" s="323" t="s">
        <v>30</v>
      </c>
      <c r="F684" s="323" t="s">
        <v>29</v>
      </c>
      <c r="G684" s="323" t="s">
        <v>30</v>
      </c>
      <c r="H684" s="323" t="s">
        <v>29</v>
      </c>
      <c r="I684" s="323" t="s">
        <v>30</v>
      </c>
      <c r="J684" s="317" t="s">
        <v>31</v>
      </c>
      <c r="K684" s="323" t="s">
        <v>32</v>
      </c>
      <c r="L684" s="323" t="s">
        <v>33</v>
      </c>
      <c r="M684" s="323" t="s">
        <v>34</v>
      </c>
      <c r="N684" s="323" t="s">
        <v>32</v>
      </c>
      <c r="O684" s="316" t="s">
        <v>35</v>
      </c>
      <c r="P684" s="317"/>
      <c r="Q684" s="323" t="s">
        <v>36</v>
      </c>
      <c r="R684" s="323" t="s">
        <v>37</v>
      </c>
      <c r="S684" s="323" t="s">
        <v>38</v>
      </c>
      <c r="T684" s="324" t="s">
        <v>39</v>
      </c>
      <c r="U684" s="321"/>
      <c r="V684" s="2527"/>
      <c r="W684" s="2528"/>
      <c r="X684" s="2527"/>
      <c r="Y684" s="2528"/>
      <c r="Z684" s="322"/>
    </row>
    <row r="685" spans="1:26" s="300" customFormat="1" ht="48" customHeight="1">
      <c r="B685" s="325">
        <v>0.41666666666666702</v>
      </c>
      <c r="C685" s="326"/>
      <c r="D685" s="327">
        <v>28</v>
      </c>
      <c r="E685" s="328">
        <v>1600</v>
      </c>
      <c r="F685" s="329">
        <v>29</v>
      </c>
      <c r="G685" s="330">
        <v>2271</v>
      </c>
      <c r="H685" s="331"/>
      <c r="I685" s="330"/>
      <c r="J685" s="332">
        <f>E685+G685+I685</f>
        <v>3871</v>
      </c>
      <c r="K685" s="333">
        <f>J685/450</f>
        <v>8.6022222222222222</v>
      </c>
      <c r="L685" s="332">
        <v>1</v>
      </c>
      <c r="M685" s="1351">
        <v>1016</v>
      </c>
      <c r="N685" s="1352">
        <v>10</v>
      </c>
      <c r="O685" s="3016" t="s">
        <v>81</v>
      </c>
      <c r="P685" s="3017"/>
      <c r="Q685" s="1353">
        <v>2</v>
      </c>
      <c r="R685" s="1245">
        <v>2</v>
      </c>
      <c r="S685" s="1246" t="s">
        <v>82</v>
      </c>
      <c r="T685" s="1245">
        <v>606</v>
      </c>
      <c r="U685" s="307"/>
      <c r="V685" s="3074">
        <f>VLOOKUP(M685,'[1]TABELA FRETE'!$A$6:$B$12,2,0)</f>
        <v>425.7</v>
      </c>
      <c r="W685" s="3075"/>
      <c r="X685" s="3076"/>
      <c r="Y685" s="3077"/>
    </row>
    <row r="686" spans="1:26" s="299" customFormat="1" ht="48" customHeight="1">
      <c r="B686" s="463">
        <v>0.41666666666666702</v>
      </c>
      <c r="C686" s="326"/>
      <c r="D686" s="359">
        <v>7</v>
      </c>
      <c r="E686" s="360">
        <v>1500</v>
      </c>
      <c r="F686" s="374"/>
      <c r="G686" s="375"/>
      <c r="H686" s="1040"/>
      <c r="I686" s="364"/>
      <c r="J686" s="365">
        <f>E686+G686+I686</f>
        <v>1500</v>
      </c>
      <c r="K686" s="366">
        <f>J686/450</f>
        <v>3.3333333333333335</v>
      </c>
      <c r="L686" s="365">
        <v>1</v>
      </c>
      <c r="M686" s="1354" t="s">
        <v>9</v>
      </c>
      <c r="N686" s="1355">
        <v>3</v>
      </c>
      <c r="O686" s="3028" t="s">
        <v>189</v>
      </c>
      <c r="P686" s="3029"/>
      <c r="Q686" s="1356">
        <v>1</v>
      </c>
      <c r="R686" s="1357">
        <v>1</v>
      </c>
      <c r="S686" s="1358" t="s">
        <v>190</v>
      </c>
      <c r="T686" s="1359">
        <v>738</v>
      </c>
      <c r="U686" s="307"/>
      <c r="V686" s="3074">
        <f>VLOOKUP(M686,'[1]TABELA FRETE'!$A$6:$B$12,2,0)</f>
        <v>250.8</v>
      </c>
      <c r="W686" s="3075"/>
      <c r="X686" s="3076"/>
      <c r="Y686" s="3077"/>
    </row>
    <row r="687" spans="1:26" s="299" customFormat="1" ht="48" customHeight="1">
      <c r="B687" s="463">
        <v>0.41666666666666702</v>
      </c>
      <c r="C687" s="326"/>
      <c r="D687" s="359">
        <v>11</v>
      </c>
      <c r="E687" s="392">
        <v>2500</v>
      </c>
      <c r="F687" s="687"/>
      <c r="G687" s="395"/>
      <c r="H687" s="1042"/>
      <c r="I687" s="727"/>
      <c r="J687" s="365">
        <f>E687+G687+I687</f>
        <v>2500</v>
      </c>
      <c r="K687" s="366">
        <f>J687/450</f>
        <v>5.5555555555555554</v>
      </c>
      <c r="L687" s="365">
        <v>1</v>
      </c>
      <c r="M687" s="1360">
        <v>1016</v>
      </c>
      <c r="N687" s="1361">
        <v>6</v>
      </c>
      <c r="O687" s="3000" t="s">
        <v>203</v>
      </c>
      <c r="P687" s="3001"/>
      <c r="Q687" s="1362">
        <v>1</v>
      </c>
      <c r="R687" s="1363">
        <v>1</v>
      </c>
      <c r="S687" s="1364" t="s">
        <v>273</v>
      </c>
      <c r="T687" s="1363">
        <v>807</v>
      </c>
      <c r="U687" s="307"/>
      <c r="V687" s="3074">
        <v>212</v>
      </c>
      <c r="W687" s="3075"/>
      <c r="X687" s="3076"/>
      <c r="Y687" s="3077"/>
    </row>
    <row r="688" spans="1:26" s="299" customFormat="1" ht="48" customHeight="1">
      <c r="B688" s="408">
        <v>0.41666666666666702</v>
      </c>
      <c r="C688" s="326"/>
      <c r="D688" s="665">
        <v>11</v>
      </c>
      <c r="E688" s="410">
        <v>1579</v>
      </c>
      <c r="F688" s="666"/>
      <c r="G688" s="544"/>
      <c r="H688" s="1044"/>
      <c r="I688" s="705"/>
      <c r="J688" s="413">
        <f>E688+G688+I688</f>
        <v>1579</v>
      </c>
      <c r="K688" s="414">
        <f>J688/450</f>
        <v>3.5088888888888889</v>
      </c>
      <c r="L688" s="413">
        <v>1</v>
      </c>
      <c r="M688" s="1365" t="s">
        <v>8</v>
      </c>
      <c r="N688" s="1366">
        <v>4</v>
      </c>
      <c r="O688" s="3008" t="s">
        <v>96</v>
      </c>
      <c r="P688" s="3009"/>
      <c r="Q688" s="1367">
        <v>2</v>
      </c>
      <c r="R688" s="1368">
        <v>2</v>
      </c>
      <c r="S688" s="1369" t="s">
        <v>274</v>
      </c>
      <c r="T688" s="1370">
        <v>456</v>
      </c>
      <c r="U688" s="307"/>
      <c r="V688" s="3074">
        <f>VLOOKUP(M688,'[1]TABELA FRETE'!$A$6:$B$12,2,0)</f>
        <v>286</v>
      </c>
      <c r="W688" s="3075"/>
      <c r="X688" s="2694"/>
      <c r="Y688" s="2695"/>
    </row>
    <row r="689" spans="2:25" s="301" customFormat="1" ht="6" customHeight="1">
      <c r="B689" s="326"/>
      <c r="C689" s="326"/>
      <c r="D689" s="421"/>
      <c r="E689" s="422"/>
      <c r="F689" s="421"/>
      <c r="G689" s="423"/>
      <c r="H689" s="424"/>
      <c r="I689" s="423"/>
      <c r="J689" s="423"/>
      <c r="K689" s="425"/>
      <c r="L689" s="423"/>
      <c r="M689" s="885"/>
      <c r="N689" s="886"/>
      <c r="O689" s="428"/>
      <c r="P689" s="428"/>
      <c r="Q689" s="429"/>
      <c r="R689" s="429"/>
      <c r="S689" s="430"/>
      <c r="T689" s="428"/>
      <c r="U689" s="432"/>
      <c r="V689" s="433"/>
      <c r="W689" s="433"/>
      <c r="X689" s="434"/>
      <c r="Y689" s="434"/>
    </row>
    <row r="690" spans="2:25" s="299" customFormat="1" ht="48" customHeight="1">
      <c r="B690" s="325">
        <v>0.5</v>
      </c>
      <c r="C690" s="326"/>
      <c r="D690" s="1371">
        <v>8</v>
      </c>
      <c r="E690" s="1372">
        <v>5500</v>
      </c>
      <c r="F690" s="1373"/>
      <c r="G690" s="1374"/>
      <c r="H690" s="1375"/>
      <c r="I690" s="1376"/>
      <c r="J690" s="1376">
        <f t="shared" ref="J690:J701" si="55">E690+G690+I690</f>
        <v>5500</v>
      </c>
      <c r="K690" s="1377">
        <f>J690/460</f>
        <v>11.956521739130435</v>
      </c>
      <c r="L690" s="1376">
        <v>1</v>
      </c>
      <c r="M690" s="1378" t="s">
        <v>7</v>
      </c>
      <c r="N690" s="1379">
        <v>12</v>
      </c>
      <c r="O690" s="3108" t="s">
        <v>146</v>
      </c>
      <c r="P690" s="3109"/>
      <c r="Q690" s="1380">
        <v>1</v>
      </c>
      <c r="R690" s="1380">
        <v>1</v>
      </c>
      <c r="S690" s="1381" t="s">
        <v>275</v>
      </c>
      <c r="T690" s="1382">
        <v>91</v>
      </c>
      <c r="U690" s="307"/>
      <c r="V690" s="3110">
        <f>VLOOKUP(M690,'[1]TABELA FRETE'!$A$6:$B$12,2,0)</f>
        <v>466.4</v>
      </c>
      <c r="W690" s="3111"/>
      <c r="X690" s="3112"/>
      <c r="Y690" s="3077"/>
    </row>
    <row r="691" spans="2:25" s="299" customFormat="1" ht="48" customHeight="1">
      <c r="B691" s="358">
        <v>0.5</v>
      </c>
      <c r="C691" s="326"/>
      <c r="D691" s="1383">
        <v>1</v>
      </c>
      <c r="E691" s="1384">
        <v>3302</v>
      </c>
      <c r="F691" s="1385">
        <v>8</v>
      </c>
      <c r="G691" s="1386">
        <v>1433</v>
      </c>
      <c r="H691" s="1387"/>
      <c r="I691" s="1388"/>
      <c r="J691" s="1388">
        <f t="shared" si="55"/>
        <v>4735</v>
      </c>
      <c r="K691" s="1389">
        <f>J691/460</f>
        <v>10.293478260869565</v>
      </c>
      <c r="L691" s="1388">
        <v>1</v>
      </c>
      <c r="M691" s="1390" t="s">
        <v>7</v>
      </c>
      <c r="N691" s="1391">
        <v>12</v>
      </c>
      <c r="O691" s="3104" t="s">
        <v>224</v>
      </c>
      <c r="P691" s="3105"/>
      <c r="Q691" s="1392">
        <v>1</v>
      </c>
      <c r="R691" s="1392">
        <v>2</v>
      </c>
      <c r="S691" s="1393" t="s">
        <v>276</v>
      </c>
      <c r="T691" s="1394">
        <v>782</v>
      </c>
      <c r="U691" s="307"/>
      <c r="V691" s="3100">
        <f>VLOOKUP(M691,'[1]TABELA FRETE'!$A$6:$B$12,2,0)</f>
        <v>466.4</v>
      </c>
      <c r="W691" s="3101"/>
      <c r="X691" s="3102"/>
      <c r="Y691" s="3103"/>
    </row>
    <row r="692" spans="2:25" s="299" customFormat="1" ht="48" customHeight="1">
      <c r="B692" s="358">
        <v>0.5</v>
      </c>
      <c r="C692" s="326"/>
      <c r="D692" s="1383">
        <v>14</v>
      </c>
      <c r="E692" s="1395">
        <v>4602</v>
      </c>
      <c r="F692" s="1396"/>
      <c r="G692" s="1395"/>
      <c r="H692" s="1387"/>
      <c r="I692" s="1388"/>
      <c r="J692" s="1388">
        <f t="shared" si="55"/>
        <v>4602</v>
      </c>
      <c r="K692" s="1389">
        <f t="shared" ref="K692:K699" si="56">J692/450</f>
        <v>10.226666666666667</v>
      </c>
      <c r="L692" s="1388">
        <v>1</v>
      </c>
      <c r="M692" s="1397" t="s">
        <v>7</v>
      </c>
      <c r="N692" s="1398">
        <v>11</v>
      </c>
      <c r="O692" s="3106" t="s">
        <v>42</v>
      </c>
      <c r="P692" s="3107"/>
      <c r="Q692" s="1399">
        <v>3</v>
      </c>
      <c r="R692" s="1399">
        <v>3</v>
      </c>
      <c r="S692" s="1393" t="s">
        <v>43</v>
      </c>
      <c r="T692" s="1400">
        <v>479</v>
      </c>
      <c r="U692" s="307"/>
      <c r="V692" s="3100">
        <f>VLOOKUP(M692,'[1]TABELA FRETE'!$A$6:$B$12,2,0)</f>
        <v>466.4</v>
      </c>
      <c r="W692" s="3101"/>
      <c r="X692" s="3102"/>
      <c r="Y692" s="3103"/>
    </row>
    <row r="693" spans="2:25" s="299" customFormat="1" ht="63" customHeight="1">
      <c r="B693" s="358">
        <v>0.58333333333333304</v>
      </c>
      <c r="C693" s="326"/>
      <c r="D693" s="1401" t="s">
        <v>87</v>
      </c>
      <c r="E693" s="1384">
        <v>5500</v>
      </c>
      <c r="F693" s="1385"/>
      <c r="G693" s="1384"/>
      <c r="H693" s="1402"/>
      <c r="I693" s="1384"/>
      <c r="J693" s="1388">
        <f t="shared" si="55"/>
        <v>5500</v>
      </c>
      <c r="K693" s="1389">
        <f t="shared" si="56"/>
        <v>12.222222222222221</v>
      </c>
      <c r="L693" s="1388">
        <v>1</v>
      </c>
      <c r="M693" s="1397" t="s">
        <v>7</v>
      </c>
      <c r="N693" s="1398">
        <v>12</v>
      </c>
      <c r="O693" s="3113" t="s">
        <v>62</v>
      </c>
      <c r="P693" s="3114"/>
      <c r="Q693" s="1399">
        <v>2</v>
      </c>
      <c r="R693" s="1399">
        <v>2</v>
      </c>
      <c r="S693" s="1403" t="s">
        <v>277</v>
      </c>
      <c r="T693" s="1404">
        <v>740</v>
      </c>
      <c r="U693" s="307"/>
      <c r="V693" s="3115">
        <f>VLOOKUP(M693,'[1]TABELA FRETE'!$A$6:$B$12,2,0)</f>
        <v>466.4</v>
      </c>
      <c r="W693" s="3116"/>
      <c r="X693" s="3117"/>
      <c r="Y693" s="3118"/>
    </row>
    <row r="694" spans="2:25" s="299" customFormat="1" ht="59.25" customHeight="1">
      <c r="B694" s="343">
        <v>0.5</v>
      </c>
      <c r="C694" s="326"/>
      <c r="D694" s="1405">
        <v>9</v>
      </c>
      <c r="E694" s="1406">
        <v>2610</v>
      </c>
      <c r="F694" s="1407" t="s">
        <v>87</v>
      </c>
      <c r="G694" s="1408">
        <v>580</v>
      </c>
      <c r="H694" s="1409"/>
      <c r="I694" s="1410"/>
      <c r="J694" s="1410">
        <f t="shared" si="55"/>
        <v>3190</v>
      </c>
      <c r="K694" s="1411">
        <f t="shared" si="56"/>
        <v>7.0888888888888886</v>
      </c>
      <c r="L694" s="1410">
        <v>1</v>
      </c>
      <c r="M694" s="1412">
        <v>1016</v>
      </c>
      <c r="N694" s="1413">
        <v>8</v>
      </c>
      <c r="O694" s="3119" t="s">
        <v>46</v>
      </c>
      <c r="P694" s="3120"/>
      <c r="Q694" s="1414">
        <v>2</v>
      </c>
      <c r="R694" s="1415">
        <v>3</v>
      </c>
      <c r="S694" s="1416" t="s">
        <v>47</v>
      </c>
      <c r="T694" s="1417">
        <v>48</v>
      </c>
      <c r="U694" s="307"/>
      <c r="V694" s="3100">
        <f>VLOOKUP(M694,'[1]TABELA FRETE'!$A$6:$B$12,2,0)</f>
        <v>425.7</v>
      </c>
      <c r="W694" s="3101"/>
      <c r="X694" s="3102"/>
      <c r="Y694" s="3103"/>
    </row>
    <row r="695" spans="2:25" s="299" customFormat="1" ht="48" customHeight="1">
      <c r="B695" s="358">
        <v>0.5</v>
      </c>
      <c r="C695" s="326"/>
      <c r="D695" s="1383">
        <v>38</v>
      </c>
      <c r="E695" s="1384">
        <v>3630</v>
      </c>
      <c r="F695" s="1418"/>
      <c r="G695" s="1395"/>
      <c r="H695" s="1387"/>
      <c r="I695" s="1388"/>
      <c r="J695" s="1388">
        <f t="shared" si="55"/>
        <v>3630</v>
      </c>
      <c r="K695" s="1389">
        <f t="shared" si="56"/>
        <v>8.0666666666666664</v>
      </c>
      <c r="L695" s="1388">
        <v>1</v>
      </c>
      <c r="M695" s="1419">
        <v>1016</v>
      </c>
      <c r="N695" s="1420">
        <v>8</v>
      </c>
      <c r="O695" s="3104" t="s">
        <v>278</v>
      </c>
      <c r="P695" s="3105"/>
      <c r="Q695" s="1392">
        <v>2</v>
      </c>
      <c r="R695" s="1392">
        <v>2</v>
      </c>
      <c r="S695" s="1393" t="s">
        <v>107</v>
      </c>
      <c r="T695" s="1394">
        <v>606</v>
      </c>
      <c r="U695" s="307"/>
      <c r="V695" s="3100">
        <f>VLOOKUP(M695,'[1]TABELA FRETE'!$A$6:$B$12,2,0)</f>
        <v>425.7</v>
      </c>
      <c r="W695" s="3101"/>
      <c r="X695" s="3102"/>
      <c r="Y695" s="3103"/>
    </row>
    <row r="696" spans="2:25" s="299" customFormat="1" ht="48" customHeight="1">
      <c r="B696" s="358">
        <v>0.5</v>
      </c>
      <c r="C696" s="326"/>
      <c r="D696" s="1383">
        <v>12</v>
      </c>
      <c r="E696" s="1388">
        <v>3288</v>
      </c>
      <c r="F696" s="1418"/>
      <c r="G696" s="1395"/>
      <c r="H696" s="1387"/>
      <c r="I696" s="1388"/>
      <c r="J696" s="1388">
        <f t="shared" si="55"/>
        <v>3288</v>
      </c>
      <c r="K696" s="1389">
        <f t="shared" si="56"/>
        <v>7.3066666666666666</v>
      </c>
      <c r="L696" s="1388">
        <v>1</v>
      </c>
      <c r="M696" s="1419">
        <v>1016</v>
      </c>
      <c r="N696" s="1420">
        <v>8</v>
      </c>
      <c r="O696" s="3106" t="s">
        <v>88</v>
      </c>
      <c r="P696" s="3107"/>
      <c r="Q696" s="1399">
        <v>1</v>
      </c>
      <c r="R696" s="1399">
        <v>1</v>
      </c>
      <c r="S696" s="1403" t="s">
        <v>89</v>
      </c>
      <c r="T696" s="1394">
        <v>799</v>
      </c>
      <c r="U696" s="307"/>
      <c r="V696" s="3100">
        <f>VLOOKUP(M696,'[1]TABELA FRETE'!$A$6:$B$12,2,0)</f>
        <v>425.7</v>
      </c>
      <c r="W696" s="3101"/>
      <c r="X696" s="3102"/>
      <c r="Y696" s="3103"/>
    </row>
    <row r="697" spans="2:25" s="299" customFormat="1" ht="48" customHeight="1">
      <c r="B697" s="358">
        <v>0.5</v>
      </c>
      <c r="C697" s="326"/>
      <c r="D697" s="1383">
        <v>34</v>
      </c>
      <c r="E697" s="1384">
        <v>5500</v>
      </c>
      <c r="F697" s="1418"/>
      <c r="G697" s="1395"/>
      <c r="H697" s="1387"/>
      <c r="I697" s="1388"/>
      <c r="J697" s="1388">
        <f t="shared" si="55"/>
        <v>5500</v>
      </c>
      <c r="K697" s="1389">
        <f t="shared" si="56"/>
        <v>12.222222222222221</v>
      </c>
      <c r="L697" s="1388">
        <v>1</v>
      </c>
      <c r="M697" s="1397" t="s">
        <v>7</v>
      </c>
      <c r="N697" s="1398">
        <v>12</v>
      </c>
      <c r="O697" s="3106" t="s">
        <v>50</v>
      </c>
      <c r="P697" s="3107"/>
      <c r="Q697" s="1399">
        <v>2</v>
      </c>
      <c r="R697" s="1399">
        <v>2</v>
      </c>
      <c r="S697" s="1403" t="s">
        <v>279</v>
      </c>
      <c r="T697" s="1404">
        <v>612</v>
      </c>
      <c r="U697" s="307"/>
      <c r="V697" s="3100">
        <f>VLOOKUP(M697,'[1]TABELA FRETE'!$A$6:$B$12,2,0)</f>
        <v>466.4</v>
      </c>
      <c r="W697" s="3101"/>
      <c r="X697" s="3102"/>
      <c r="Y697" s="3103"/>
    </row>
    <row r="698" spans="2:25" s="299" customFormat="1" ht="48" customHeight="1">
      <c r="B698" s="358">
        <v>0.5</v>
      </c>
      <c r="C698" s="326"/>
      <c r="D698" s="1383">
        <v>35</v>
      </c>
      <c r="E698" s="1384">
        <v>2526</v>
      </c>
      <c r="F698" s="1396">
        <v>34</v>
      </c>
      <c r="G698" s="1395">
        <v>317</v>
      </c>
      <c r="H698" s="1387"/>
      <c r="I698" s="1388"/>
      <c r="J698" s="1388">
        <f t="shared" si="55"/>
        <v>2843</v>
      </c>
      <c r="K698" s="1389">
        <f t="shared" si="56"/>
        <v>6.3177777777777777</v>
      </c>
      <c r="L698" s="1388">
        <v>1</v>
      </c>
      <c r="M698" s="1419">
        <v>1016</v>
      </c>
      <c r="N698" s="1420">
        <v>7</v>
      </c>
      <c r="O698" s="3104" t="s">
        <v>56</v>
      </c>
      <c r="P698" s="3105"/>
      <c r="Q698" s="1399">
        <v>1</v>
      </c>
      <c r="R698" s="1392">
        <v>2</v>
      </c>
      <c r="S698" s="1393" t="s">
        <v>280</v>
      </c>
      <c r="T698" s="1394">
        <v>663</v>
      </c>
      <c r="U698" s="307"/>
      <c r="V698" s="3100">
        <f>VLOOKUP(M698,'[1]TABELA FRETE'!$A$6:$B$12,2,0)</f>
        <v>425.7</v>
      </c>
      <c r="W698" s="3101"/>
      <c r="X698" s="3102"/>
      <c r="Y698" s="3103"/>
    </row>
    <row r="699" spans="2:25" s="299" customFormat="1" ht="48" customHeight="1">
      <c r="B699" s="358">
        <v>0.5</v>
      </c>
      <c r="C699" s="326"/>
      <c r="D699" s="1383">
        <v>43</v>
      </c>
      <c r="E699" s="1384">
        <v>4591</v>
      </c>
      <c r="F699" s="1396"/>
      <c r="G699" s="1395"/>
      <c r="H699" s="1387"/>
      <c r="I699" s="1388"/>
      <c r="J699" s="1388">
        <f t="shared" si="55"/>
        <v>4591</v>
      </c>
      <c r="K699" s="1389">
        <f t="shared" si="56"/>
        <v>10.202222222222222</v>
      </c>
      <c r="L699" s="1388">
        <v>1</v>
      </c>
      <c r="M699" s="1397" t="s">
        <v>7</v>
      </c>
      <c r="N699" s="1398">
        <v>12</v>
      </c>
      <c r="O699" s="3106" t="s">
        <v>58</v>
      </c>
      <c r="P699" s="3107"/>
      <c r="Q699" s="1399">
        <v>2</v>
      </c>
      <c r="R699" s="1421">
        <v>2</v>
      </c>
      <c r="S699" s="1403" t="s">
        <v>59</v>
      </c>
      <c r="T699" s="1394">
        <v>674</v>
      </c>
      <c r="U699" s="307"/>
      <c r="V699" s="3100">
        <f>VLOOKUP(M699,'[1]TABELA FRETE'!$A$6:$B$12,2,0)</f>
        <v>466.4</v>
      </c>
      <c r="W699" s="3101"/>
      <c r="X699" s="3102"/>
      <c r="Y699" s="3103"/>
    </row>
    <row r="700" spans="2:25" s="299" customFormat="1" ht="48" customHeight="1">
      <c r="B700" s="358">
        <v>0.5</v>
      </c>
      <c r="C700" s="326"/>
      <c r="D700" s="1383">
        <v>45</v>
      </c>
      <c r="E700" s="1384">
        <v>5948</v>
      </c>
      <c r="F700" s="1422"/>
      <c r="G700" s="1386"/>
      <c r="H700" s="1387"/>
      <c r="I700" s="1388"/>
      <c r="J700" s="1388">
        <f t="shared" si="55"/>
        <v>5948</v>
      </c>
      <c r="K700" s="1389">
        <f>J700/460</f>
        <v>12.930434782608696</v>
      </c>
      <c r="L700" s="1388">
        <v>1</v>
      </c>
      <c r="M700" s="1397" t="s">
        <v>6</v>
      </c>
      <c r="N700" s="1398">
        <v>14</v>
      </c>
      <c r="O700" s="3106" t="s">
        <v>64</v>
      </c>
      <c r="P700" s="3107"/>
      <c r="Q700" s="1399">
        <v>1</v>
      </c>
      <c r="R700" s="1421">
        <v>1</v>
      </c>
      <c r="S700" s="1403" t="s">
        <v>65</v>
      </c>
      <c r="T700" s="1394">
        <v>598</v>
      </c>
      <c r="U700" s="307"/>
      <c r="V700" s="3100">
        <f>VLOOKUP(M700,'[1]TABELA FRETE'!$A$6:$B$12,2,0)</f>
        <v>489.5</v>
      </c>
      <c r="W700" s="3101"/>
      <c r="X700" s="3102"/>
      <c r="Y700" s="3103"/>
    </row>
    <row r="701" spans="2:25" s="299" customFormat="1" ht="48" customHeight="1">
      <c r="B701" s="408">
        <v>0.5</v>
      </c>
      <c r="C701" s="326"/>
      <c r="D701" s="1423">
        <v>40</v>
      </c>
      <c r="E701" s="1424">
        <v>6470</v>
      </c>
      <c r="F701" s="1425"/>
      <c r="G701" s="1424"/>
      <c r="H701" s="1425"/>
      <c r="I701" s="1424"/>
      <c r="J701" s="1426">
        <f t="shared" si="55"/>
        <v>6470</v>
      </c>
      <c r="K701" s="1427">
        <f>J701/450</f>
        <v>14.377777777777778</v>
      </c>
      <c r="L701" s="1426">
        <v>1</v>
      </c>
      <c r="M701" s="1428" t="s">
        <v>6</v>
      </c>
      <c r="N701" s="1429">
        <v>14</v>
      </c>
      <c r="O701" s="3098" t="s">
        <v>220</v>
      </c>
      <c r="P701" s="3099"/>
      <c r="Q701" s="1430">
        <v>1</v>
      </c>
      <c r="R701" s="1430">
        <v>1</v>
      </c>
      <c r="S701" s="1431" t="s">
        <v>221</v>
      </c>
      <c r="T701" s="1432">
        <v>184422</v>
      </c>
      <c r="U701" s="307"/>
      <c r="V701" s="3100">
        <f>VLOOKUP(M701,'[1]TABELA FRETE'!$A$6:$B$12,2,0)</f>
        <v>489.5</v>
      </c>
      <c r="W701" s="3101"/>
      <c r="X701" s="3102"/>
      <c r="Y701" s="3103"/>
    </row>
    <row r="702" spans="2:25" s="301" customFormat="1" ht="15.75" customHeight="1">
      <c r="B702" s="326"/>
      <c r="C702" s="326"/>
      <c r="D702" s="421"/>
      <c r="E702" s="422"/>
      <c r="F702" s="421"/>
      <c r="G702" s="423"/>
      <c r="H702" s="424"/>
      <c r="I702" s="423"/>
      <c r="J702" s="423"/>
      <c r="K702" s="425"/>
      <c r="L702" s="423"/>
      <c r="M702" s="426"/>
      <c r="N702" s="427"/>
      <c r="O702" s="428"/>
      <c r="P702" s="428"/>
      <c r="Q702" s="429"/>
      <c r="R702" s="429"/>
      <c r="S702" s="430"/>
      <c r="T702" s="431"/>
      <c r="U702" s="432"/>
      <c r="V702" s="433"/>
      <c r="W702" s="433"/>
      <c r="X702" s="434"/>
      <c r="Y702" s="434"/>
    </row>
    <row r="703" spans="2:25" s="299" customFormat="1" ht="48" customHeight="1">
      <c r="B703" s="325">
        <v>0.58333333333333304</v>
      </c>
      <c r="C703" s="326"/>
      <c r="D703" s="435">
        <v>25</v>
      </c>
      <c r="E703" s="1433">
        <v>2796</v>
      </c>
      <c r="F703" s="436">
        <v>22</v>
      </c>
      <c r="G703" s="1434">
        <v>2463</v>
      </c>
      <c r="H703" s="436"/>
      <c r="I703" s="1434"/>
      <c r="J703" s="1435">
        <f t="shared" ref="J703:J719" si="57">E703+G703+I703</f>
        <v>5259</v>
      </c>
      <c r="K703" s="1436">
        <f t="shared" ref="K703:K709" si="58">J703/450</f>
        <v>11.686666666666667</v>
      </c>
      <c r="L703" s="1435">
        <v>1</v>
      </c>
      <c r="M703" s="1437" t="s">
        <v>7</v>
      </c>
      <c r="N703" s="1438">
        <v>12</v>
      </c>
      <c r="O703" s="3017" t="s">
        <v>153</v>
      </c>
      <c r="P703" s="3017"/>
      <c r="Q703" s="1244">
        <v>1</v>
      </c>
      <c r="R703" s="1244">
        <v>3</v>
      </c>
      <c r="S703" s="1439" t="s">
        <v>154</v>
      </c>
      <c r="T703" s="1440">
        <v>664</v>
      </c>
      <c r="U703" s="307"/>
      <c r="V703" s="3074">
        <f>VLOOKUP(M703,'[1]TABELA FRETE'!$A$6:$B$12,2,0)</f>
        <v>466.4</v>
      </c>
      <c r="W703" s="3075"/>
      <c r="X703" s="3083"/>
      <c r="Y703" s="3084"/>
    </row>
    <row r="704" spans="2:25" s="299" customFormat="1" ht="48" customHeight="1">
      <c r="B704" s="343">
        <v>0.58333333333333304</v>
      </c>
      <c r="C704" s="326"/>
      <c r="D704" s="444">
        <v>31</v>
      </c>
      <c r="E704" s="1441">
        <v>3489</v>
      </c>
      <c r="F704" s="361"/>
      <c r="G704" s="1442"/>
      <c r="H704" s="393"/>
      <c r="I704" s="1442"/>
      <c r="J704" s="1443">
        <f t="shared" si="57"/>
        <v>3489</v>
      </c>
      <c r="K704" s="1444">
        <f t="shared" si="58"/>
        <v>7.753333333333333</v>
      </c>
      <c r="L704" s="1443">
        <v>1</v>
      </c>
      <c r="M704" s="1445">
        <v>1016</v>
      </c>
      <c r="N704" s="1446">
        <v>9</v>
      </c>
      <c r="O704" s="2955" t="s">
        <v>79</v>
      </c>
      <c r="P704" s="2955"/>
      <c r="Q704" s="1447">
        <v>1</v>
      </c>
      <c r="R704" s="1447">
        <v>1</v>
      </c>
      <c r="S704" s="1448" t="s">
        <v>80</v>
      </c>
      <c r="T704" s="1449">
        <v>184725</v>
      </c>
      <c r="U704" s="307"/>
      <c r="V704" s="3074">
        <f>VLOOKUP(M704,'[1]TABELA FRETE'!$A$6:$B$12,2,0)</f>
        <v>425.7</v>
      </c>
      <c r="W704" s="3075"/>
      <c r="X704" s="3087"/>
      <c r="Y704" s="3088"/>
    </row>
    <row r="705" spans="2:25" s="299" customFormat="1" ht="48" customHeight="1">
      <c r="B705" s="343">
        <v>0.58333333333333304</v>
      </c>
      <c r="C705" s="452"/>
      <c r="D705" s="453">
        <v>17</v>
      </c>
      <c r="E705" s="1450">
        <v>3666</v>
      </c>
      <c r="F705" s="454"/>
      <c r="G705" s="1450"/>
      <c r="H705" s="1451"/>
      <c r="I705" s="1452"/>
      <c r="J705" s="1453">
        <f t="shared" si="57"/>
        <v>3666</v>
      </c>
      <c r="K705" s="1454">
        <f t="shared" si="58"/>
        <v>8.1466666666666665</v>
      </c>
      <c r="L705" s="1453">
        <v>1</v>
      </c>
      <c r="M705" s="1455">
        <v>1016</v>
      </c>
      <c r="N705" s="1456">
        <v>8</v>
      </c>
      <c r="O705" s="3001" t="s">
        <v>44</v>
      </c>
      <c r="P705" s="3001"/>
      <c r="Q705" s="1447">
        <v>2</v>
      </c>
      <c r="R705" s="1362">
        <v>2</v>
      </c>
      <c r="S705" s="1457" t="s">
        <v>197</v>
      </c>
      <c r="T705" s="1362">
        <v>674</v>
      </c>
      <c r="U705" s="307"/>
      <c r="V705" s="3074">
        <f>VLOOKUP(M705,'[1]TABELA FRETE'!$A$6:$B$12,2,0)</f>
        <v>425.7</v>
      </c>
      <c r="W705" s="3075"/>
      <c r="X705" s="3076"/>
      <c r="Y705" s="3077"/>
    </row>
    <row r="706" spans="2:25" s="299" customFormat="1" ht="48" customHeight="1">
      <c r="B706" s="343">
        <v>0.58333333333333304</v>
      </c>
      <c r="C706" s="326"/>
      <c r="D706" s="458">
        <v>23</v>
      </c>
      <c r="E706" s="1458">
        <v>4024</v>
      </c>
      <c r="F706" s="464"/>
      <c r="G706" s="1458"/>
      <c r="H706" s="1459"/>
      <c r="I706" s="1460"/>
      <c r="J706" s="1461">
        <f t="shared" si="57"/>
        <v>4024</v>
      </c>
      <c r="K706" s="1462">
        <f t="shared" si="58"/>
        <v>8.9422222222222221</v>
      </c>
      <c r="L706" s="1461">
        <v>1</v>
      </c>
      <c r="M706" s="1445" t="s">
        <v>7</v>
      </c>
      <c r="N706" s="1446">
        <v>11</v>
      </c>
      <c r="O706" s="2955" t="s">
        <v>52</v>
      </c>
      <c r="P706" s="2955"/>
      <c r="Q706" s="1447">
        <v>1</v>
      </c>
      <c r="R706" s="1447">
        <v>1</v>
      </c>
      <c r="S706" s="1448" t="s">
        <v>53</v>
      </c>
      <c r="T706" s="1449">
        <v>633</v>
      </c>
      <c r="U706" s="307"/>
      <c r="V706" s="3074">
        <f>VLOOKUP(M706,'[1]TABELA FRETE'!$A$6:$B$12,2,0)</f>
        <v>466.4</v>
      </c>
      <c r="W706" s="3075"/>
      <c r="X706" s="3076"/>
      <c r="Y706" s="3077"/>
    </row>
    <row r="707" spans="2:25" s="299" customFormat="1" ht="48" customHeight="1">
      <c r="B707" s="343">
        <v>0.58333333333333304</v>
      </c>
      <c r="C707" s="326"/>
      <c r="D707" s="458">
        <v>44</v>
      </c>
      <c r="E707" s="1458">
        <v>1873</v>
      </c>
      <c r="F707" s="464"/>
      <c r="G707" s="1458"/>
      <c r="H707" s="1459"/>
      <c r="I707" s="1460"/>
      <c r="J707" s="1461">
        <f t="shared" si="57"/>
        <v>1873</v>
      </c>
      <c r="K707" s="1462">
        <f t="shared" si="58"/>
        <v>4.1622222222222218</v>
      </c>
      <c r="L707" s="1461">
        <v>1</v>
      </c>
      <c r="M707" s="1463">
        <v>1016</v>
      </c>
      <c r="N707" s="1464">
        <v>6</v>
      </c>
      <c r="O707" s="3001" t="s">
        <v>139</v>
      </c>
      <c r="P707" s="3001"/>
      <c r="Q707" s="1362">
        <v>1</v>
      </c>
      <c r="R707" s="1362">
        <v>1</v>
      </c>
      <c r="S707" s="1457" t="s">
        <v>140</v>
      </c>
      <c r="T707" s="1362">
        <v>809</v>
      </c>
      <c r="U707" s="307"/>
      <c r="V707" s="537"/>
      <c r="W707" s="538"/>
      <c r="X707" s="341"/>
      <c r="Y707" s="342"/>
    </row>
    <row r="708" spans="2:25" s="299" customFormat="1" ht="48" customHeight="1">
      <c r="B708" s="358">
        <v>0.58333333333333304</v>
      </c>
      <c r="C708" s="326"/>
      <c r="D708" s="458">
        <v>10</v>
      </c>
      <c r="E708" s="1458">
        <v>5963</v>
      </c>
      <c r="F708" s="393"/>
      <c r="G708" s="1442"/>
      <c r="H708" s="1465"/>
      <c r="I708" s="1441"/>
      <c r="J708" s="1443">
        <f t="shared" si="57"/>
        <v>5963</v>
      </c>
      <c r="K708" s="1444">
        <f t="shared" si="58"/>
        <v>13.251111111111111</v>
      </c>
      <c r="L708" s="1443">
        <v>1</v>
      </c>
      <c r="M708" s="1445" t="s">
        <v>6</v>
      </c>
      <c r="N708" s="1446">
        <v>14</v>
      </c>
      <c r="O708" s="2955" t="s">
        <v>54</v>
      </c>
      <c r="P708" s="2955"/>
      <c r="Q708" s="1447">
        <v>1</v>
      </c>
      <c r="R708" s="1447">
        <v>1</v>
      </c>
      <c r="S708" s="1448" t="s">
        <v>55</v>
      </c>
      <c r="T708" s="1449">
        <v>590</v>
      </c>
      <c r="U708" s="307"/>
      <c r="V708" s="3074">
        <f>VLOOKUP(M708,'[1]TABELA FRETE'!$A$6:$B$12,2,0)</f>
        <v>489.5</v>
      </c>
      <c r="W708" s="3075"/>
      <c r="X708" s="3076"/>
      <c r="Y708" s="3077"/>
    </row>
    <row r="709" spans="2:25" s="299" customFormat="1" ht="61.5" customHeight="1">
      <c r="B709" s="358">
        <v>0.58333333333333304</v>
      </c>
      <c r="C709" s="326"/>
      <c r="D709" s="472" t="s">
        <v>78</v>
      </c>
      <c r="E709" s="1442">
        <v>3341</v>
      </c>
      <c r="F709" s="393"/>
      <c r="G709" s="1442"/>
      <c r="H709" s="1465"/>
      <c r="I709" s="1441"/>
      <c r="J709" s="1443">
        <f t="shared" si="57"/>
        <v>3341</v>
      </c>
      <c r="K709" s="1444">
        <f t="shared" si="58"/>
        <v>7.4244444444444442</v>
      </c>
      <c r="L709" s="1443">
        <v>1</v>
      </c>
      <c r="M709" s="1455">
        <v>1016</v>
      </c>
      <c r="N709" s="1456">
        <v>8</v>
      </c>
      <c r="O709" s="3001" t="s">
        <v>157</v>
      </c>
      <c r="P709" s="3001"/>
      <c r="Q709" s="1447">
        <v>1</v>
      </c>
      <c r="R709" s="1362">
        <v>1</v>
      </c>
      <c r="S709" s="1457" t="s">
        <v>158</v>
      </c>
      <c r="T709" s="1362">
        <v>642</v>
      </c>
      <c r="U709" s="307"/>
      <c r="V709" s="3074">
        <f>VLOOKUP(M709,'[1]TABELA FRETE'!$A$6:$B$12,2,0)</f>
        <v>425.7</v>
      </c>
      <c r="W709" s="3075"/>
      <c r="X709" s="3076"/>
      <c r="Y709" s="3077"/>
    </row>
    <row r="710" spans="2:25" s="299" customFormat="1" ht="45" customHeight="1">
      <c r="B710" s="463">
        <v>0.58333333333333304</v>
      </c>
      <c r="C710" s="326"/>
      <c r="D710" s="458">
        <v>19</v>
      </c>
      <c r="E710" s="1458">
        <v>6500</v>
      </c>
      <c r="F710" s="393"/>
      <c r="G710" s="1458"/>
      <c r="H710" s="1459"/>
      <c r="I710" s="1460"/>
      <c r="J710" s="1443">
        <f t="shared" si="57"/>
        <v>6500</v>
      </c>
      <c r="K710" s="1444">
        <f>J710/460</f>
        <v>14.130434782608695</v>
      </c>
      <c r="L710" s="1461">
        <v>1</v>
      </c>
      <c r="M710" s="1466" t="s">
        <v>6</v>
      </c>
      <c r="N710" s="1467">
        <v>14</v>
      </c>
      <c r="O710" s="2955" t="s">
        <v>192</v>
      </c>
      <c r="P710" s="2955"/>
      <c r="Q710" s="1468">
        <v>1</v>
      </c>
      <c r="R710" s="1468">
        <v>1</v>
      </c>
      <c r="S710" s="1469" t="s">
        <v>281</v>
      </c>
      <c r="T710" s="1470">
        <v>808</v>
      </c>
      <c r="U710" s="307"/>
      <c r="V710" s="3074">
        <f>VLOOKUP(M710,'[1]TABELA FRETE'!$A$6:$B$12,2,0)</f>
        <v>489.5</v>
      </c>
      <c r="W710" s="3075"/>
      <c r="X710" s="3076"/>
      <c r="Y710" s="3077"/>
    </row>
    <row r="711" spans="2:25" s="299" customFormat="1" ht="45" customHeight="1">
      <c r="B711" s="463">
        <v>0.58333333333333304</v>
      </c>
      <c r="C711" s="326"/>
      <c r="D711" s="458">
        <v>3</v>
      </c>
      <c r="E711" s="1458">
        <v>2003</v>
      </c>
      <c r="F711" s="1471">
        <v>19</v>
      </c>
      <c r="G711" s="1458">
        <v>1408</v>
      </c>
      <c r="H711" s="1459"/>
      <c r="I711" s="1460"/>
      <c r="J711" s="1443">
        <f t="shared" ref="J711" si="59">E711+G711+I711</f>
        <v>3411</v>
      </c>
      <c r="K711" s="1444">
        <f>J711/460</f>
        <v>7.4152173913043482</v>
      </c>
      <c r="L711" s="1461">
        <v>1</v>
      </c>
      <c r="M711" s="1445">
        <v>1016</v>
      </c>
      <c r="N711" s="1446">
        <v>8</v>
      </c>
      <c r="O711" s="2955" t="s">
        <v>85</v>
      </c>
      <c r="P711" s="2955"/>
      <c r="Q711" s="1447">
        <v>2</v>
      </c>
      <c r="R711" s="1447">
        <v>3</v>
      </c>
      <c r="S711" s="1448" t="s">
        <v>282</v>
      </c>
      <c r="T711" s="1449">
        <v>714</v>
      </c>
      <c r="U711" s="307"/>
      <c r="V711" s="537"/>
      <c r="W711" s="538"/>
      <c r="X711" s="341"/>
      <c r="Y711" s="342"/>
    </row>
    <row r="712" spans="2:25" s="299" customFormat="1" ht="48" customHeight="1">
      <c r="B712" s="463">
        <v>0.58333333333333304</v>
      </c>
      <c r="C712" s="326"/>
      <c r="D712" s="458">
        <v>5</v>
      </c>
      <c r="E712" s="1458">
        <v>2130</v>
      </c>
      <c r="F712" s="458">
        <v>26</v>
      </c>
      <c r="G712" s="1458">
        <v>2628</v>
      </c>
      <c r="H712" s="464"/>
      <c r="I712" s="1458"/>
      <c r="J712" s="1443">
        <f t="shared" si="57"/>
        <v>4758</v>
      </c>
      <c r="K712" s="1444">
        <f>J712/450</f>
        <v>10.573333333333334</v>
      </c>
      <c r="L712" s="1461">
        <v>1</v>
      </c>
      <c r="M712" s="1455" t="s">
        <v>7</v>
      </c>
      <c r="N712" s="1472">
        <v>12</v>
      </c>
      <c r="O712" s="3013" t="s">
        <v>66</v>
      </c>
      <c r="P712" s="3013"/>
      <c r="Q712" s="1473">
        <v>2</v>
      </c>
      <c r="R712" s="1362">
        <v>3</v>
      </c>
      <c r="S712" s="1474" t="s">
        <v>67</v>
      </c>
      <c r="T712" s="1473">
        <v>184461</v>
      </c>
      <c r="U712" s="307"/>
      <c r="V712" s="3074">
        <f>VLOOKUP(M712,'[1]TABELA FRETE'!$A$6:$B$12,2,0)</f>
        <v>466.4</v>
      </c>
      <c r="W712" s="3075"/>
      <c r="X712" s="3076"/>
      <c r="Y712" s="3077"/>
    </row>
    <row r="713" spans="2:25" s="299" customFormat="1" ht="48" customHeight="1">
      <c r="B713" s="463">
        <v>0.58333333333333304</v>
      </c>
      <c r="C713" s="326"/>
      <c r="D713" s="458">
        <v>32</v>
      </c>
      <c r="E713" s="1458">
        <v>2500</v>
      </c>
      <c r="F713" s="464"/>
      <c r="G713" s="1458"/>
      <c r="H713" s="464"/>
      <c r="I713" s="1458"/>
      <c r="J713" s="1443">
        <f t="shared" si="57"/>
        <v>2500</v>
      </c>
      <c r="K713" s="1444">
        <f>J713/450</f>
        <v>5.5555555555555554</v>
      </c>
      <c r="L713" s="1461">
        <v>1</v>
      </c>
      <c r="M713" s="1455">
        <v>1016</v>
      </c>
      <c r="N713" s="1456">
        <v>6</v>
      </c>
      <c r="O713" s="2955" t="s">
        <v>83</v>
      </c>
      <c r="P713" s="2955"/>
      <c r="Q713" s="1447">
        <v>2</v>
      </c>
      <c r="R713" s="1447">
        <v>2</v>
      </c>
      <c r="S713" s="1448" t="s">
        <v>84</v>
      </c>
      <c r="T713" s="1449">
        <v>655</v>
      </c>
      <c r="U713" s="307"/>
      <c r="V713" s="537"/>
      <c r="W713" s="538"/>
      <c r="X713" s="341"/>
      <c r="Y713" s="342"/>
    </row>
    <row r="714" spans="2:25" s="299" customFormat="1" ht="48" customHeight="1">
      <c r="B714" s="463">
        <v>0.58333333333333304</v>
      </c>
      <c r="C714" s="326"/>
      <c r="D714" s="458">
        <v>20</v>
      </c>
      <c r="E714" s="1458">
        <v>2157</v>
      </c>
      <c r="F714" s="464">
        <v>42</v>
      </c>
      <c r="G714" s="1458">
        <v>3238</v>
      </c>
      <c r="H714" s="464"/>
      <c r="I714" s="1458"/>
      <c r="J714" s="1443">
        <f t="shared" si="57"/>
        <v>5395</v>
      </c>
      <c r="K714" s="1444">
        <f t="shared" ref="K714:K719" si="60">J714/450</f>
        <v>11.988888888888889</v>
      </c>
      <c r="L714" s="1461">
        <v>1</v>
      </c>
      <c r="M714" s="1455" t="s">
        <v>7</v>
      </c>
      <c r="N714" s="1456">
        <v>12</v>
      </c>
      <c r="O714" s="3001" t="s">
        <v>94</v>
      </c>
      <c r="P714" s="3001"/>
      <c r="Q714" s="1362">
        <v>1</v>
      </c>
      <c r="R714" s="1362">
        <v>2</v>
      </c>
      <c r="S714" s="1457" t="s">
        <v>95</v>
      </c>
      <c r="T714" s="1362">
        <v>184422</v>
      </c>
      <c r="U714" s="307"/>
      <c r="V714" s="3074">
        <f>VLOOKUP(M714,'[1]TABELA FRETE'!$A$6:$B$12,2,0)</f>
        <v>466.4</v>
      </c>
      <c r="W714" s="3075"/>
      <c r="X714" s="3076"/>
      <c r="Y714" s="3077"/>
    </row>
    <row r="715" spans="2:25" s="299" customFormat="1" ht="48" customHeight="1">
      <c r="B715" s="358">
        <v>0.5</v>
      </c>
      <c r="C715" s="326"/>
      <c r="D715" s="444">
        <v>47</v>
      </c>
      <c r="E715" s="1442">
        <v>3040</v>
      </c>
      <c r="F715" s="361"/>
      <c r="G715" s="1475"/>
      <c r="H715" s="1465"/>
      <c r="I715" s="1476"/>
      <c r="J715" s="1443">
        <f t="shared" si="57"/>
        <v>3040</v>
      </c>
      <c r="K715" s="1444">
        <f t="shared" si="60"/>
        <v>6.7555555555555555</v>
      </c>
      <c r="L715" s="1443">
        <v>1</v>
      </c>
      <c r="M715" s="1477">
        <v>1016</v>
      </c>
      <c r="N715" s="1478">
        <v>8</v>
      </c>
      <c r="O715" s="3007" t="s">
        <v>159</v>
      </c>
      <c r="P715" s="3007"/>
      <c r="Q715" s="1479">
        <v>1</v>
      </c>
      <c r="R715" s="1479">
        <v>1</v>
      </c>
      <c r="S715" s="1469" t="s">
        <v>160</v>
      </c>
      <c r="T715" s="1468">
        <v>456</v>
      </c>
      <c r="U715" s="307"/>
      <c r="V715" s="3074">
        <f>VLOOKUP(M715,'[1]TABELA FRETE'!$A$6:$B$12,2,0)</f>
        <v>425.7</v>
      </c>
      <c r="W715" s="3075"/>
      <c r="X715" s="3076"/>
      <c r="Y715" s="3077"/>
    </row>
    <row r="716" spans="2:25" s="299" customFormat="1" ht="48" customHeight="1">
      <c r="B716" s="408">
        <v>0.70833333333333304</v>
      </c>
      <c r="C716" s="326"/>
      <c r="D716" s="1214">
        <v>6</v>
      </c>
      <c r="E716" s="1480">
        <v>2853</v>
      </c>
      <c r="F716" s="543"/>
      <c r="G716" s="1481"/>
      <c r="H716" s="1482"/>
      <c r="I716" s="1480"/>
      <c r="J716" s="1483">
        <f t="shared" si="57"/>
        <v>2853</v>
      </c>
      <c r="K716" s="1484">
        <f t="shared" si="60"/>
        <v>6.34</v>
      </c>
      <c r="L716" s="1483">
        <v>1</v>
      </c>
      <c r="M716" s="1485">
        <v>1016</v>
      </c>
      <c r="N716" s="1486">
        <v>7</v>
      </c>
      <c r="O716" s="3009" t="s">
        <v>141</v>
      </c>
      <c r="P716" s="3009"/>
      <c r="Q716" s="1367">
        <v>2</v>
      </c>
      <c r="R716" s="1487">
        <v>2</v>
      </c>
      <c r="S716" s="1488" t="s">
        <v>142</v>
      </c>
      <c r="T716" s="1487">
        <v>605</v>
      </c>
      <c r="U716" s="307"/>
      <c r="V716" s="3074">
        <f>VLOOKUP(M716,'[1]TABELA FRETE'!$A$6:$B$12,2,0)</f>
        <v>425.7</v>
      </c>
      <c r="W716" s="3075"/>
      <c r="X716" s="3076"/>
      <c r="Y716" s="3077"/>
    </row>
    <row r="717" spans="2:25">
      <c r="O717" s="303"/>
      <c r="P717" s="303"/>
      <c r="Q717" s="303"/>
      <c r="R717" s="303"/>
      <c r="S717" s="303"/>
      <c r="T717" s="303"/>
    </row>
    <row r="718" spans="2:25" s="299" customFormat="1" ht="63" customHeight="1">
      <c r="B718" s="712">
        <v>0.58333333333333304</v>
      </c>
      <c r="C718" s="326"/>
      <c r="D718" s="1489">
        <v>1129</v>
      </c>
      <c r="E718" s="1434">
        <v>4940</v>
      </c>
      <c r="F718" s="1075"/>
      <c r="G718" s="1434"/>
      <c r="H718" s="436"/>
      <c r="I718" s="1434"/>
      <c r="J718" s="1435">
        <f t="shared" si="57"/>
        <v>4940</v>
      </c>
      <c r="K718" s="1436">
        <f t="shared" si="60"/>
        <v>10.977777777777778</v>
      </c>
      <c r="L718" s="1435">
        <v>1</v>
      </c>
      <c r="M718" s="1490" t="s">
        <v>7</v>
      </c>
      <c r="N718" s="1491">
        <v>12</v>
      </c>
      <c r="O718" s="3089" t="s">
        <v>62</v>
      </c>
      <c r="P718" s="3090"/>
      <c r="Q718" s="1244">
        <v>2</v>
      </c>
      <c r="R718" s="1492">
        <v>2</v>
      </c>
      <c r="S718" s="1493" t="s">
        <v>63</v>
      </c>
      <c r="T718" s="1243">
        <v>740</v>
      </c>
      <c r="U718" s="307"/>
      <c r="V718" s="339"/>
      <c r="W718" s="340"/>
      <c r="X718" s="448"/>
      <c r="Y718" s="449"/>
    </row>
    <row r="719" spans="2:25" s="299" customFormat="1" ht="48" customHeight="1">
      <c r="B719" s="408">
        <v>0.58333333333333304</v>
      </c>
      <c r="C719" s="326"/>
      <c r="D719" s="476">
        <v>46</v>
      </c>
      <c r="E719" s="1494">
        <v>3779</v>
      </c>
      <c r="F719" s="1495"/>
      <c r="G719" s="1494"/>
      <c r="H719" s="1496"/>
      <c r="I719" s="1494"/>
      <c r="J719" s="1497">
        <f t="shared" si="57"/>
        <v>3779</v>
      </c>
      <c r="K719" s="1498">
        <f t="shared" si="60"/>
        <v>8.3977777777777778</v>
      </c>
      <c r="L719" s="1497">
        <v>1</v>
      </c>
      <c r="M719" s="1499">
        <v>1016</v>
      </c>
      <c r="N719" s="1499">
        <v>10</v>
      </c>
      <c r="O719" s="3091" t="s">
        <v>72</v>
      </c>
      <c r="P719" s="3092"/>
      <c r="Q719" s="1500">
        <v>2</v>
      </c>
      <c r="R719" s="1501">
        <v>2</v>
      </c>
      <c r="S719" s="1502" t="s">
        <v>73</v>
      </c>
      <c r="T719" s="1503">
        <v>184090</v>
      </c>
      <c r="U719" s="486"/>
      <c r="V719" s="3074">
        <f>VLOOKUP(M719,'[1]TABELA FRETE'!$A$6:$B$12,2,0)</f>
        <v>425.7</v>
      </c>
      <c r="W719" s="3075"/>
      <c r="X719" s="3087"/>
      <c r="Y719" s="3088"/>
    </row>
    <row r="720" spans="2:25" s="301" customFormat="1" ht="6" customHeight="1">
      <c r="B720" s="326"/>
      <c r="C720" s="326"/>
      <c r="D720" s="487"/>
      <c r="E720" s="423"/>
      <c r="F720" s="488"/>
      <c r="G720" s="423"/>
      <c r="H720" s="424"/>
      <c r="I720" s="423"/>
      <c r="J720" s="423"/>
      <c r="K720" s="425"/>
      <c r="L720" s="423"/>
      <c r="M720" s="426"/>
      <c r="N720" s="427"/>
      <c r="O720" s="431"/>
      <c r="P720" s="431"/>
      <c r="Q720" s="431"/>
      <c r="R720" s="431"/>
      <c r="S720" s="489"/>
      <c r="T720" s="431"/>
      <c r="U720" s="432"/>
      <c r="V720" s="433"/>
      <c r="W720" s="433"/>
      <c r="X720" s="434"/>
      <c r="Y720" s="434"/>
    </row>
    <row r="721" spans="2:25" s="299" customFormat="1" ht="48" customHeight="1">
      <c r="B721" s="325">
        <v>0.70833333333333304</v>
      </c>
      <c r="C721" s="326"/>
      <c r="D721" s="490">
        <v>36</v>
      </c>
      <c r="E721" s="1434">
        <v>2862</v>
      </c>
      <c r="F721" s="491"/>
      <c r="G721" s="1434"/>
      <c r="H721" s="1504"/>
      <c r="I721" s="1433"/>
      <c r="J721" s="1505">
        <f t="shared" ref="J721:J731" si="61">E721+G721+I721</f>
        <v>2862</v>
      </c>
      <c r="K721" s="1506">
        <f t="shared" ref="K721:K730" si="62">J721/450</f>
        <v>6.36</v>
      </c>
      <c r="L721" s="1507">
        <v>1</v>
      </c>
      <c r="M721" s="1508">
        <v>1016</v>
      </c>
      <c r="N721" s="1509">
        <v>8</v>
      </c>
      <c r="O721" s="3093" t="s">
        <v>85</v>
      </c>
      <c r="P721" s="3094"/>
      <c r="Q721" s="1511">
        <v>2</v>
      </c>
      <c r="R721" s="1511">
        <v>2</v>
      </c>
      <c r="S721" s="1512" t="s">
        <v>86</v>
      </c>
      <c r="T721" s="1510">
        <v>714</v>
      </c>
      <c r="U721" s="307"/>
      <c r="V721" s="3074">
        <f>VLOOKUP(M721,'[1]TABELA FRETE'!$A$6:$B$12,2,0)</f>
        <v>425.7</v>
      </c>
      <c r="W721" s="3075"/>
      <c r="X721" s="3076"/>
      <c r="Y721" s="3077"/>
    </row>
    <row r="722" spans="2:25" s="299" customFormat="1" ht="48" customHeight="1">
      <c r="B722" s="343">
        <v>0.70833333333333304</v>
      </c>
      <c r="C722" s="326"/>
      <c r="D722" s="520">
        <v>33</v>
      </c>
      <c r="E722" s="1450">
        <v>3324</v>
      </c>
      <c r="F722" s="504"/>
      <c r="G722" s="1450"/>
      <c r="H722" s="1451"/>
      <c r="I722" s="1452"/>
      <c r="J722" s="1513">
        <f t="shared" si="61"/>
        <v>3324</v>
      </c>
      <c r="K722" s="1514">
        <f t="shared" si="62"/>
        <v>7.3866666666666667</v>
      </c>
      <c r="L722" s="1515">
        <v>1</v>
      </c>
      <c r="M722" s="1516">
        <v>1016</v>
      </c>
      <c r="N722" s="1517">
        <v>8</v>
      </c>
      <c r="O722" s="3095" t="s">
        <v>46</v>
      </c>
      <c r="P722" s="3096"/>
      <c r="Q722" s="1518">
        <v>2</v>
      </c>
      <c r="R722" s="1518">
        <v>2</v>
      </c>
      <c r="S722" s="1520" t="s">
        <v>102</v>
      </c>
      <c r="T722" s="1519">
        <v>48</v>
      </c>
      <c r="U722" s="307"/>
      <c r="V722" s="537"/>
      <c r="W722" s="538"/>
      <c r="X722" s="341"/>
      <c r="Y722" s="342"/>
    </row>
    <row r="723" spans="2:25" s="299" customFormat="1" ht="48" customHeight="1">
      <c r="B723" s="358">
        <v>0.70833333333333304</v>
      </c>
      <c r="C723" s="326"/>
      <c r="D723" s="516">
        <v>30</v>
      </c>
      <c r="E723" s="1442">
        <v>2198</v>
      </c>
      <c r="F723" s="521"/>
      <c r="G723" s="1450"/>
      <c r="H723" s="1521"/>
      <c r="I723" s="1442"/>
      <c r="J723" s="1522">
        <f t="shared" si="61"/>
        <v>2198</v>
      </c>
      <c r="K723" s="1523">
        <f t="shared" si="62"/>
        <v>4.8844444444444441</v>
      </c>
      <c r="L723" s="1522">
        <v>1</v>
      </c>
      <c r="M723" s="1524">
        <v>1016</v>
      </c>
      <c r="N723" s="1525">
        <v>8</v>
      </c>
      <c r="O723" s="3097" t="s">
        <v>44</v>
      </c>
      <c r="P723" s="3078"/>
      <c r="Q723" s="1526">
        <v>2</v>
      </c>
      <c r="R723" s="1526">
        <v>2</v>
      </c>
      <c r="S723" s="1528" t="s">
        <v>103</v>
      </c>
      <c r="T723" s="1527">
        <v>674</v>
      </c>
      <c r="U723" s="307"/>
      <c r="V723" s="3074">
        <f>VLOOKUP(M723,'[1]TABELA FRETE'!$A$6:$B$12,2,0)</f>
        <v>425.7</v>
      </c>
      <c r="W723" s="3075"/>
      <c r="X723" s="3076"/>
      <c r="Y723" s="3077"/>
    </row>
    <row r="724" spans="2:25" s="299" customFormat="1" ht="48" customHeight="1">
      <c r="B724" s="358">
        <v>0.70833333333333304</v>
      </c>
      <c r="C724" s="326"/>
      <c r="D724" s="522">
        <v>21</v>
      </c>
      <c r="E724" s="1458">
        <v>3216</v>
      </c>
      <c r="F724" s="523"/>
      <c r="G724" s="1529"/>
      <c r="H724" s="464"/>
      <c r="I724" s="1458"/>
      <c r="J724" s="1522">
        <f t="shared" si="61"/>
        <v>3216</v>
      </c>
      <c r="K724" s="1523">
        <f t="shared" si="62"/>
        <v>7.1466666666666665</v>
      </c>
      <c r="L724" s="1522">
        <v>1</v>
      </c>
      <c r="M724" s="1524">
        <v>1016</v>
      </c>
      <c r="N724" s="1525">
        <v>8</v>
      </c>
      <c r="O724" s="3026" t="s">
        <v>106</v>
      </c>
      <c r="P724" s="3078"/>
      <c r="Q724" s="1526">
        <v>2</v>
      </c>
      <c r="R724" s="1526">
        <v>2</v>
      </c>
      <c r="S724" s="1528" t="s">
        <v>211</v>
      </c>
      <c r="T724" s="1527">
        <v>606</v>
      </c>
      <c r="U724" s="307"/>
      <c r="V724" s="3074">
        <f>VLOOKUP(M724,'[1]TABELA FRETE'!$A$6:$B$12,2,0)</f>
        <v>425.7</v>
      </c>
      <c r="W724" s="3075"/>
      <c r="X724" s="3076"/>
      <c r="Y724" s="3077"/>
    </row>
    <row r="725" spans="2:25" s="299" customFormat="1" ht="49.5" customHeight="1">
      <c r="B725" s="358">
        <v>0.70833333333333304</v>
      </c>
      <c r="C725" s="326"/>
      <c r="D725" s="516">
        <v>4</v>
      </c>
      <c r="E725" s="1442">
        <v>2071</v>
      </c>
      <c r="F725" s="524"/>
      <c r="G725" s="1442"/>
      <c r="H725" s="1530"/>
      <c r="I725" s="1442"/>
      <c r="J725" s="1522">
        <f t="shared" si="61"/>
        <v>2071</v>
      </c>
      <c r="K725" s="1523">
        <f t="shared" si="62"/>
        <v>4.6022222222222222</v>
      </c>
      <c r="L725" s="1522">
        <v>1</v>
      </c>
      <c r="M725" s="1531">
        <v>1016</v>
      </c>
      <c r="N725" s="1451">
        <v>8</v>
      </c>
      <c r="O725" s="3072" t="s">
        <v>92</v>
      </c>
      <c r="P725" s="3073"/>
      <c r="Q725" s="1452">
        <v>2</v>
      </c>
      <c r="R725" s="1452">
        <v>2</v>
      </c>
      <c r="S725" s="1532" t="s">
        <v>104</v>
      </c>
      <c r="T725" s="1533">
        <v>576</v>
      </c>
      <c r="U725" s="432"/>
      <c r="V725" s="3074">
        <f>VLOOKUP(M725,'[1]TABELA FRETE'!$A$6:$B$12,2,0)</f>
        <v>425.7</v>
      </c>
      <c r="W725" s="3075"/>
      <c r="X725" s="3076"/>
      <c r="Y725" s="3077"/>
    </row>
    <row r="726" spans="2:25" s="299" customFormat="1" ht="49.5" customHeight="1">
      <c r="B726" s="358">
        <v>0.70833333333333304</v>
      </c>
      <c r="C726" s="326"/>
      <c r="D726" s="516">
        <v>18</v>
      </c>
      <c r="E726" s="1442">
        <v>1709</v>
      </c>
      <c r="F726" s="530"/>
      <c r="G726" s="1458"/>
      <c r="H726" s="1534"/>
      <c r="I726" s="1458"/>
      <c r="J726" s="1522">
        <f t="shared" si="61"/>
        <v>1709</v>
      </c>
      <c r="K726" s="1523">
        <f t="shared" si="62"/>
        <v>3.7977777777777777</v>
      </c>
      <c r="L726" s="1522">
        <v>1</v>
      </c>
      <c r="M726" s="1524">
        <v>1016</v>
      </c>
      <c r="N726" s="1525">
        <v>7</v>
      </c>
      <c r="O726" s="3026" t="s">
        <v>56</v>
      </c>
      <c r="P726" s="3078"/>
      <c r="Q726" s="1526">
        <v>1</v>
      </c>
      <c r="R726" s="1526">
        <v>1</v>
      </c>
      <c r="S726" s="1528" t="s">
        <v>57</v>
      </c>
      <c r="T726" s="1527">
        <v>663</v>
      </c>
      <c r="U726" s="432"/>
      <c r="V726" s="3074">
        <f>VLOOKUP(M726,'[1]TABELA FRETE'!$A$6:$B$12,2,0)</f>
        <v>425.7</v>
      </c>
      <c r="W726" s="3075"/>
      <c r="X726" s="3076"/>
      <c r="Y726" s="3077"/>
    </row>
    <row r="727" spans="2:25" s="299" customFormat="1" ht="48" customHeight="1">
      <c r="B727" s="463">
        <v>0.70833333333333304</v>
      </c>
      <c r="C727" s="326"/>
      <c r="D727" s="516">
        <v>27</v>
      </c>
      <c r="E727" s="1442">
        <v>1951</v>
      </c>
      <c r="F727" s="1090">
        <v>15</v>
      </c>
      <c r="G727" s="1460">
        <v>2424</v>
      </c>
      <c r="H727" s="1535"/>
      <c r="I727" s="1458"/>
      <c r="J727" s="1522">
        <f t="shared" si="61"/>
        <v>4375</v>
      </c>
      <c r="K727" s="1523">
        <f t="shared" si="62"/>
        <v>9.7222222222222214</v>
      </c>
      <c r="L727" s="1522">
        <v>1</v>
      </c>
      <c r="M727" s="1536" t="s">
        <v>7</v>
      </c>
      <c r="N727" s="1537">
        <v>12</v>
      </c>
      <c r="O727" s="3012" t="s">
        <v>62</v>
      </c>
      <c r="P727" s="3079"/>
      <c r="Q727" s="1447">
        <v>2</v>
      </c>
      <c r="R727" s="1447">
        <v>2</v>
      </c>
      <c r="S727" s="1539" t="s">
        <v>63</v>
      </c>
      <c r="T727" s="1540">
        <v>740</v>
      </c>
      <c r="U727" s="307"/>
      <c r="V727" s="3074">
        <f>VLOOKUP(M727,'[1]TABELA FRETE'!$A$6:$B$12,2,0)</f>
        <v>466.4</v>
      </c>
      <c r="W727" s="3075"/>
      <c r="X727" s="3076"/>
      <c r="Y727" s="3077"/>
    </row>
    <row r="728" spans="2:25" s="299" customFormat="1" ht="48" customHeight="1">
      <c r="B728" s="463">
        <v>0.70833333333333304</v>
      </c>
      <c r="C728" s="326"/>
      <c r="D728" s="516">
        <v>7</v>
      </c>
      <c r="E728" s="1442">
        <v>4099</v>
      </c>
      <c r="F728" s="473"/>
      <c r="G728" s="1441"/>
      <c r="H728" s="1521"/>
      <c r="I728" s="1442"/>
      <c r="J728" s="1522">
        <f t="shared" si="61"/>
        <v>4099</v>
      </c>
      <c r="K728" s="1523">
        <f t="shared" si="62"/>
        <v>9.1088888888888881</v>
      </c>
      <c r="L728" s="1522">
        <v>1</v>
      </c>
      <c r="M728" s="1536" t="s">
        <v>7</v>
      </c>
      <c r="N728" s="1537">
        <v>12</v>
      </c>
      <c r="O728" s="2954" t="s">
        <v>50</v>
      </c>
      <c r="P728" s="3080"/>
      <c r="Q728" s="1447">
        <v>2</v>
      </c>
      <c r="R728" s="1447">
        <v>2</v>
      </c>
      <c r="S728" s="1539" t="s">
        <v>51</v>
      </c>
      <c r="T728" s="1540">
        <v>612</v>
      </c>
      <c r="U728" s="307"/>
      <c r="V728" s="3074">
        <f>VLOOKUP(M728,'[1]TABELA FRETE'!$A$6:$B$12,2,0)</f>
        <v>466.4</v>
      </c>
      <c r="W728" s="3075"/>
      <c r="X728" s="3076"/>
      <c r="Y728" s="3077"/>
    </row>
    <row r="729" spans="2:25" s="299" customFormat="1" ht="48" customHeight="1">
      <c r="B729" s="463">
        <v>0.70833333333333304</v>
      </c>
      <c r="C729" s="326"/>
      <c r="D729" s="522">
        <v>48</v>
      </c>
      <c r="E729" s="1458">
        <v>2160</v>
      </c>
      <c r="F729" s="539"/>
      <c r="G729" s="1442"/>
      <c r="H729" s="1465"/>
      <c r="I729" s="1441"/>
      <c r="J729" s="1443">
        <f t="shared" si="61"/>
        <v>2160</v>
      </c>
      <c r="K729" s="1444">
        <f t="shared" si="62"/>
        <v>4.8</v>
      </c>
      <c r="L729" s="1443">
        <v>1</v>
      </c>
      <c r="M729" s="1531">
        <v>1016</v>
      </c>
      <c r="N729" s="1451">
        <v>8</v>
      </c>
      <c r="O729" s="3081" t="s">
        <v>88</v>
      </c>
      <c r="P729" s="3082"/>
      <c r="Q729" s="1452">
        <v>1</v>
      </c>
      <c r="R729" s="1452">
        <v>1</v>
      </c>
      <c r="S729" s="1532" t="s">
        <v>89</v>
      </c>
      <c r="T729" s="1533">
        <v>799</v>
      </c>
      <c r="U729" s="307"/>
      <c r="V729" s="3074">
        <f>VLOOKUP(M729,'[1]TABELA FRETE'!$A$6:$B$12,2,0)</f>
        <v>425.7</v>
      </c>
      <c r="W729" s="3075"/>
      <c r="X729" s="3083"/>
      <c r="Y729" s="3084"/>
    </row>
    <row r="730" spans="2:25" s="299" customFormat="1" ht="48" customHeight="1">
      <c r="B730" s="408">
        <v>0.70833333333333304</v>
      </c>
      <c r="C730" s="326"/>
      <c r="D730" s="542">
        <v>13</v>
      </c>
      <c r="E730" s="1480">
        <v>2196</v>
      </c>
      <c r="F730" s="543"/>
      <c r="G730" s="1481"/>
      <c r="H730" s="1541"/>
      <c r="I730" s="1481"/>
      <c r="J730" s="1483">
        <f t="shared" si="61"/>
        <v>2196</v>
      </c>
      <c r="K730" s="1484">
        <f t="shared" si="62"/>
        <v>4.88</v>
      </c>
      <c r="L730" s="1483">
        <v>1</v>
      </c>
      <c r="M730" s="1542" t="s">
        <v>7</v>
      </c>
      <c r="N730" s="1543">
        <v>12</v>
      </c>
      <c r="O730" s="3085" t="s">
        <v>68</v>
      </c>
      <c r="P730" s="3086"/>
      <c r="Q730" s="1544">
        <v>1</v>
      </c>
      <c r="R730" s="1544">
        <v>1</v>
      </c>
      <c r="S730" s="1545" t="s">
        <v>174</v>
      </c>
      <c r="T730" s="1546">
        <v>808</v>
      </c>
      <c r="U730" s="307"/>
      <c r="V730" s="2630">
        <f>VLOOKUP(M730,'[1]TABELA FRETE'!$D$7:$E$12,2,0)</f>
        <v>1161.5999999999999</v>
      </c>
      <c r="W730" s="2631"/>
      <c r="X730" s="3087"/>
      <c r="Y730" s="3088"/>
    </row>
    <row r="731" spans="2:25" s="299" customFormat="1" ht="49.5" customHeight="1">
      <c r="B731" s="554" t="s">
        <v>108</v>
      </c>
      <c r="C731" s="555"/>
      <c r="D731" s="556"/>
      <c r="E731" s="557">
        <f>SUM(E685:E730)</f>
        <v>141486</v>
      </c>
      <c r="F731" s="557" t="s">
        <v>109</v>
      </c>
      <c r="G731" s="557">
        <f>SUM(G685:G730)</f>
        <v>16762</v>
      </c>
      <c r="H731" s="557" t="s">
        <v>109</v>
      </c>
      <c r="I731" s="319">
        <f>SUM(I685:I730)</f>
        <v>0</v>
      </c>
      <c r="J731" s="319">
        <f t="shared" si="61"/>
        <v>158248</v>
      </c>
      <c r="K731" s="558">
        <f>SUM(K685:K730)</f>
        <v>350.40164251207716</v>
      </c>
      <c r="L731" s="559">
        <f>SUM(L685:L730)</f>
        <v>42</v>
      </c>
      <c r="M731" s="560" t="s">
        <v>110</v>
      </c>
      <c r="N731" s="554">
        <f>SUM(N685:N730)</f>
        <v>401</v>
      </c>
      <c r="O731" s="557" t="s">
        <v>32</v>
      </c>
      <c r="P731" s="557"/>
      <c r="Q731" s="319"/>
      <c r="R731" s="561">
        <f>SUM(R685:R730)</f>
        <v>73</v>
      </c>
      <c r="S731" s="562" t="s">
        <v>111</v>
      </c>
      <c r="T731" s="563"/>
      <c r="U731" s="307"/>
      <c r="V731" s="2560">
        <f>SUM(V685:W730)</f>
        <v>16702.100000000002</v>
      </c>
      <c r="W731" s="2561"/>
      <c r="X731" s="2566">
        <f>COUNT(X685:Y730)</f>
        <v>0</v>
      </c>
      <c r="Y731" s="2567"/>
    </row>
    <row r="732" spans="2:25" s="299" customFormat="1" ht="42" customHeight="1">
      <c r="B732" s="2853" t="s">
        <v>112</v>
      </c>
      <c r="C732" s="2899"/>
      <c r="D732" s="2899"/>
      <c r="E732" s="2899"/>
      <c r="F732" s="2899"/>
      <c r="G732" s="2899"/>
      <c r="H732" s="2899"/>
      <c r="I732" s="2899"/>
      <c r="J732" s="2899"/>
      <c r="K732" s="564">
        <v>44</v>
      </c>
      <c r="L732" s="2899" t="s">
        <v>113</v>
      </c>
      <c r="M732" s="2854"/>
      <c r="N732" s="2915" t="s">
        <v>114</v>
      </c>
      <c r="O732" s="2916"/>
      <c r="P732" s="2916"/>
      <c r="Q732" s="2916"/>
      <c r="R732" s="2917"/>
      <c r="S732" s="2915" t="s">
        <v>115</v>
      </c>
      <c r="T732" s="2917"/>
      <c r="U732" s="307"/>
      <c r="V732" s="2560"/>
      <c r="W732" s="2561"/>
      <c r="X732" s="2566"/>
      <c r="Y732" s="2567"/>
    </row>
    <row r="733" spans="2:25" s="299" customFormat="1" ht="6" customHeight="1">
      <c r="B733" s="2570" t="s">
        <v>116</v>
      </c>
      <c r="C733" s="2571"/>
      <c r="D733" s="2571"/>
      <c r="E733" s="2574">
        <f>L731</f>
        <v>42</v>
      </c>
      <c r="F733" s="2570" t="s">
        <v>30</v>
      </c>
      <c r="G733" s="2571"/>
      <c r="H733" s="2574">
        <f>J731</f>
        <v>158248</v>
      </c>
      <c r="I733" s="2575"/>
      <c r="J733" s="2571" t="s">
        <v>117</v>
      </c>
      <c r="K733" s="2575">
        <f>H733/E733</f>
        <v>3767.8095238095239</v>
      </c>
      <c r="L733" s="2574" t="s">
        <v>118</v>
      </c>
      <c r="M733" s="2574"/>
      <c r="N733" s="2574"/>
      <c r="O733" s="2575">
        <v>44</v>
      </c>
      <c r="P733" s="565"/>
      <c r="Q733" s="565"/>
      <c r="R733" s="565"/>
      <c r="S733" s="565"/>
      <c r="T733" s="566"/>
      <c r="U733" s="307"/>
      <c r="V733" s="2562"/>
      <c r="W733" s="2563"/>
      <c r="X733" s="2568"/>
      <c r="Y733" s="2569"/>
    </row>
    <row r="734" spans="2:25" s="299" customFormat="1" ht="42" customHeight="1">
      <c r="B734" s="2572"/>
      <c r="C734" s="2573"/>
      <c r="D734" s="2573"/>
      <c r="E734" s="2576"/>
      <c r="F734" s="2572"/>
      <c r="G734" s="2573"/>
      <c r="H734" s="2576"/>
      <c r="I734" s="2577"/>
      <c r="J734" s="2573"/>
      <c r="K734" s="2577"/>
      <c r="L734" s="2576"/>
      <c r="M734" s="2576"/>
      <c r="N734" s="2576"/>
      <c r="O734" s="2577"/>
      <c r="P734" s="567"/>
      <c r="Q734" s="2663" t="s">
        <v>119</v>
      </c>
      <c r="R734" s="2664"/>
      <c r="S734" s="2664"/>
      <c r="T734" s="2665"/>
      <c r="U734" s="307"/>
      <c r="V734" s="2578" t="s">
        <v>120</v>
      </c>
      <c r="W734" s="2579"/>
      <c r="X734" s="2582" t="s">
        <v>121</v>
      </c>
      <c r="Y734" s="2583"/>
    </row>
    <row r="735" spans="2:25" s="299" customFormat="1" ht="39" customHeight="1">
      <c r="B735" s="2887" t="s">
        <v>122</v>
      </c>
      <c r="C735" s="2733" t="s">
        <v>33</v>
      </c>
      <c r="D735" s="2734"/>
      <c r="E735" s="2541" t="s">
        <v>123</v>
      </c>
      <c r="F735" s="2542"/>
      <c r="G735" s="2542"/>
      <c r="H735" s="2542"/>
      <c r="I735" s="2542"/>
      <c r="J735" s="2542"/>
      <c r="K735" s="2542"/>
      <c r="L735" s="2542"/>
      <c r="M735" s="2542"/>
      <c r="N735" s="2542"/>
      <c r="O735" s="2543"/>
      <c r="P735" s="568"/>
      <c r="Q735" s="2680" t="s">
        <v>124</v>
      </c>
      <c r="R735" s="2681"/>
      <c r="S735" s="2681"/>
      <c r="T735" s="2682"/>
      <c r="U735" s="307"/>
      <c r="V735" s="2578"/>
      <c r="W735" s="2579"/>
      <c r="X735" s="2582"/>
      <c r="Y735" s="2583"/>
    </row>
    <row r="736" spans="2:25" s="299" customFormat="1" ht="39" customHeight="1">
      <c r="B736" s="2888"/>
      <c r="C736" s="2735"/>
      <c r="D736" s="2736"/>
      <c r="E736" s="2544"/>
      <c r="F736" s="2545"/>
      <c r="G736" s="2545"/>
      <c r="H736" s="2545"/>
      <c r="I736" s="2545"/>
      <c r="J736" s="2545"/>
      <c r="K736" s="2545"/>
      <c r="L736" s="2545"/>
      <c r="M736" s="2545"/>
      <c r="N736" s="2545"/>
      <c r="O736" s="2546"/>
      <c r="P736" s="569"/>
      <c r="Q736" s="2683" t="s">
        <v>125</v>
      </c>
      <c r="R736" s="2684"/>
      <c r="S736" s="2684"/>
      <c r="T736" s="2685"/>
      <c r="U736" s="307"/>
      <c r="V736" s="2580"/>
      <c r="W736" s="2581"/>
      <c r="X736" s="2584"/>
      <c r="Y736" s="2585"/>
    </row>
    <row r="737" spans="1:25" s="299" customFormat="1" ht="39" customHeight="1">
      <c r="B737" s="1032" t="s">
        <v>9</v>
      </c>
      <c r="C737" s="3068">
        <f>COUNTIF(M685:M730,"kia")</f>
        <v>1</v>
      </c>
      <c r="D737" s="3069"/>
      <c r="E737" s="2547"/>
      <c r="F737" s="2548"/>
      <c r="G737" s="2548"/>
      <c r="H737" s="2548"/>
      <c r="I737" s="2548"/>
      <c r="J737" s="2548"/>
      <c r="K737" s="2548"/>
      <c r="L737" s="2548"/>
      <c r="M737" s="2548"/>
      <c r="N737" s="2548"/>
      <c r="O737" s="2549"/>
      <c r="P737" s="569"/>
      <c r="Q737" s="2686" t="s">
        <v>126</v>
      </c>
      <c r="R737" s="2687"/>
      <c r="S737" s="2687"/>
      <c r="T737" s="2688"/>
      <c r="U737" s="307"/>
      <c r="V737" s="321"/>
      <c r="W737" s="321"/>
      <c r="X737" s="321"/>
      <c r="Y737" s="321"/>
    </row>
    <row r="738" spans="1:25" s="299" customFormat="1" ht="39" customHeight="1">
      <c r="B738" s="1033" t="s">
        <v>8</v>
      </c>
      <c r="C738" s="2913">
        <f>COUNTIF(M685:M730,"iveco")</f>
        <v>1</v>
      </c>
      <c r="D738" s="2914"/>
      <c r="E738" s="2586" t="s">
        <v>127</v>
      </c>
      <c r="F738" s="2587"/>
      <c r="G738" s="2587"/>
      <c r="H738" s="2587"/>
      <c r="I738" s="2587"/>
      <c r="J738" s="2587"/>
      <c r="K738" s="2587"/>
      <c r="L738" s="2587"/>
      <c r="M738" s="2587"/>
      <c r="N738" s="2587"/>
      <c r="O738" s="2588"/>
      <c r="P738" s="569"/>
      <c r="Q738" s="2592" t="s">
        <v>128</v>
      </c>
      <c r="R738" s="2593"/>
      <c r="S738" s="2593"/>
      <c r="T738" s="2594"/>
      <c r="U738" s="307"/>
      <c r="V738" s="2689" t="s">
        <v>129</v>
      </c>
      <c r="W738" s="2690"/>
      <c r="X738" s="2690"/>
      <c r="Y738" s="2691"/>
    </row>
    <row r="739" spans="1:25" s="299" customFormat="1" ht="39" customHeight="1">
      <c r="B739" s="1033">
        <v>1016</v>
      </c>
      <c r="C739" s="2913">
        <f>COUNTIF(M685:M730,"1016")</f>
        <v>22</v>
      </c>
      <c r="D739" s="2914"/>
      <c r="E739" s="2589"/>
      <c r="F739" s="2590"/>
      <c r="G739" s="2590"/>
      <c r="H739" s="2590"/>
      <c r="I739" s="2590"/>
      <c r="J739" s="2590"/>
      <c r="K739" s="2590"/>
      <c r="L739" s="2590"/>
      <c r="M739" s="2590"/>
      <c r="N739" s="2590"/>
      <c r="O739" s="2591"/>
      <c r="P739" s="569"/>
      <c r="Q739" s="2595"/>
      <c r="R739" s="2596"/>
      <c r="S739" s="2596"/>
      <c r="T739" s="2597"/>
      <c r="U739" s="307"/>
      <c r="V739" s="2601" t="s">
        <v>130</v>
      </c>
      <c r="W739" s="2602"/>
      <c r="X739" s="2602"/>
      <c r="Y739" s="2603"/>
    </row>
    <row r="740" spans="1:25" s="299" customFormat="1" ht="39" customHeight="1">
      <c r="B740" s="1033" t="s">
        <v>7</v>
      </c>
      <c r="C740" s="2913">
        <f>COUNTIF(M685:M730,"toco")</f>
        <v>14</v>
      </c>
      <c r="D740" s="2914"/>
      <c r="E740" s="2607" t="s">
        <v>131</v>
      </c>
      <c r="F740" s="2608"/>
      <c r="G740" s="2608"/>
      <c r="H740" s="2608"/>
      <c r="I740" s="2608"/>
      <c r="J740" s="2608"/>
      <c r="K740" s="2608"/>
      <c r="L740" s="2608"/>
      <c r="M740" s="2608"/>
      <c r="N740" s="2608"/>
      <c r="O740" s="2609"/>
      <c r="P740" s="568"/>
      <c r="Q740" s="2598"/>
      <c r="R740" s="2599"/>
      <c r="S740" s="2599"/>
      <c r="T740" s="2600"/>
      <c r="U740" s="307"/>
      <c r="V740" s="2604"/>
      <c r="W740" s="2605"/>
      <c r="X740" s="2605"/>
      <c r="Y740" s="2606"/>
    </row>
    <row r="741" spans="1:25" s="299" customFormat="1" ht="39" customHeight="1">
      <c r="B741" s="1034" t="s">
        <v>6</v>
      </c>
      <c r="C741" s="3070">
        <f>COUNTIF(M685:M730,"truck")</f>
        <v>4</v>
      </c>
      <c r="D741" s="3071"/>
      <c r="E741" s="2555"/>
      <c r="F741" s="2556"/>
      <c r="G741" s="2556"/>
      <c r="H741" s="2556"/>
      <c r="I741" s="2556"/>
      <c r="J741" s="2556"/>
      <c r="K741" s="2556"/>
      <c r="L741" s="2556"/>
      <c r="M741" s="2556"/>
      <c r="N741" s="2556"/>
      <c r="O741" s="2557"/>
      <c r="P741" s="568"/>
      <c r="Q741" s="2610" t="s">
        <v>132</v>
      </c>
      <c r="R741" s="2611"/>
      <c r="S741" s="2611"/>
      <c r="T741" s="2612"/>
      <c r="U741" s="307"/>
      <c r="V741" s="2616" t="s">
        <v>133</v>
      </c>
      <c r="W741" s="2617"/>
      <c r="X741" s="2622">
        <f>SUM(E685:E730,G685:G730,I685:I730)</f>
        <v>158248</v>
      </c>
      <c r="Y741" s="2623"/>
    </row>
    <row r="742" spans="1:25" s="299" customFormat="1" ht="39" customHeight="1">
      <c r="B742" s="2887" t="s">
        <v>134</v>
      </c>
      <c r="C742" s="2733">
        <f>SUM(C737:D741)</f>
        <v>42</v>
      </c>
      <c r="D742" s="2734"/>
      <c r="E742" s="2552" t="s">
        <v>135</v>
      </c>
      <c r="F742" s="2553"/>
      <c r="G742" s="2553"/>
      <c r="H742" s="2553"/>
      <c r="I742" s="2553"/>
      <c r="J742" s="2553"/>
      <c r="K742" s="2553"/>
      <c r="L742" s="2553"/>
      <c r="M742" s="2553"/>
      <c r="N742" s="2553"/>
      <c r="O742" s="2554"/>
      <c r="P742" s="573"/>
      <c r="Q742" s="2610"/>
      <c r="R742" s="2611"/>
      <c r="S742" s="2611"/>
      <c r="T742" s="2612"/>
      <c r="U742" s="574"/>
      <c r="V742" s="2618"/>
      <c r="W742" s="2619"/>
      <c r="X742" s="2624"/>
      <c r="Y742" s="2625"/>
    </row>
    <row r="743" spans="1:25" s="299" customFormat="1" ht="39" customHeight="1">
      <c r="B743" s="2888"/>
      <c r="C743" s="2735"/>
      <c r="D743" s="2736"/>
      <c r="E743" s="2555"/>
      <c r="F743" s="2556"/>
      <c r="G743" s="2556"/>
      <c r="H743" s="2556"/>
      <c r="I743" s="2556"/>
      <c r="J743" s="2556"/>
      <c r="K743" s="2556"/>
      <c r="L743" s="2556"/>
      <c r="M743" s="2556"/>
      <c r="N743" s="2556"/>
      <c r="O743" s="2557"/>
      <c r="P743" s="575"/>
      <c r="Q743" s="2610"/>
      <c r="R743" s="2611"/>
      <c r="S743" s="2611"/>
      <c r="T743" s="2612"/>
      <c r="U743" s="574"/>
      <c r="V743" s="2618"/>
      <c r="W743" s="2619"/>
      <c r="X743" s="2624"/>
      <c r="Y743" s="2625"/>
    </row>
    <row r="744" spans="1:25" s="300" customFormat="1" ht="39" customHeight="1">
      <c r="B744" s="770" t="s">
        <v>136</v>
      </c>
      <c r="C744" s="2847" t="s">
        <v>137</v>
      </c>
      <c r="D744" s="2848"/>
      <c r="E744" s="2848"/>
      <c r="F744" s="2848"/>
      <c r="G744" s="2848"/>
      <c r="H744" s="2848"/>
      <c r="I744" s="2848"/>
      <c r="J744" s="2848"/>
      <c r="K744" s="2848"/>
      <c r="L744" s="2848"/>
      <c r="M744" s="2848"/>
      <c r="N744" s="2848"/>
      <c r="O744" s="2849"/>
      <c r="P744" s="575"/>
      <c r="Q744" s="2613"/>
      <c r="R744" s="2614"/>
      <c r="S744" s="2614"/>
      <c r="T744" s="2615"/>
      <c r="V744" s="2620"/>
      <c r="W744" s="2621"/>
      <c r="X744" s="2626"/>
      <c r="Y744" s="2627"/>
    </row>
    <row r="750" spans="1:25" s="299" customFormat="1" ht="42.75" customHeight="1">
      <c r="A750" s="299" t="s">
        <v>17</v>
      </c>
      <c r="B750" s="2712"/>
      <c r="C750" s="2713"/>
      <c r="D750" s="2713"/>
      <c r="E750" s="2713"/>
      <c r="F750" s="2713"/>
      <c r="G750" s="2713"/>
      <c r="H750" s="2713"/>
      <c r="I750" s="2714"/>
      <c r="J750" s="2850" t="s">
        <v>18</v>
      </c>
      <c r="K750" s="2851"/>
      <c r="L750" s="2851"/>
      <c r="M750" s="2851"/>
      <c r="N750" s="2851"/>
      <c r="O750" s="2851"/>
      <c r="P750" s="2851"/>
      <c r="Q750" s="2852"/>
      <c r="R750" s="2718">
        <v>46155</v>
      </c>
      <c r="S750" s="2719"/>
      <c r="T750" s="2720"/>
      <c r="U750" s="307"/>
      <c r="V750" s="2700" t="s">
        <v>19</v>
      </c>
      <c r="W750" s="2701"/>
      <c r="X750" s="2700" t="s">
        <v>19</v>
      </c>
      <c r="Y750" s="2701"/>
    </row>
    <row r="751" spans="1:25" s="299" customFormat="1" ht="42.75" customHeight="1">
      <c r="B751" s="2715"/>
      <c r="C751" s="2716"/>
      <c r="D751" s="2716"/>
      <c r="E751" s="2716"/>
      <c r="F751" s="2716"/>
      <c r="G751" s="2716"/>
      <c r="H751" s="2716"/>
      <c r="I751" s="2717"/>
      <c r="J751" s="2724" t="s">
        <v>20</v>
      </c>
      <c r="K751" s="2725"/>
      <c r="L751" s="2725"/>
      <c r="M751" s="2725"/>
      <c r="N751" s="2725"/>
      <c r="O751" s="2725"/>
      <c r="P751" s="2725"/>
      <c r="Q751" s="2726"/>
      <c r="R751" s="2721"/>
      <c r="S751" s="2722"/>
      <c r="T751" s="2723"/>
      <c r="U751" s="307"/>
      <c r="V751" s="2702"/>
      <c r="W751" s="2703"/>
      <c r="X751" s="2702"/>
      <c r="Y751" s="2703"/>
    </row>
    <row r="752" spans="1:25" s="299" customFormat="1" ht="6" customHeight="1">
      <c r="B752" s="311"/>
      <c r="C752" s="312"/>
      <c r="D752" s="308"/>
      <c r="E752" s="308"/>
      <c r="F752" s="308"/>
      <c r="G752" s="308"/>
      <c r="H752" s="308"/>
      <c r="I752" s="308"/>
      <c r="J752" s="2727"/>
      <c r="K752" s="2728"/>
      <c r="L752" s="2728"/>
      <c r="M752" s="2728"/>
      <c r="N752" s="2728"/>
      <c r="O752" s="2728"/>
      <c r="P752" s="2728"/>
      <c r="Q752" s="2729"/>
      <c r="R752" s="313" t="s">
        <v>21</v>
      </c>
      <c r="S752" s="313"/>
      <c r="T752" s="314"/>
      <c r="U752" s="307"/>
      <c r="V752" s="309"/>
      <c r="W752" s="310"/>
      <c r="X752" s="309"/>
      <c r="Y752" s="310"/>
    </row>
    <row r="753" spans="2:25" s="299" customFormat="1" ht="54" customHeight="1">
      <c r="B753" s="2881" t="s">
        <v>22</v>
      </c>
      <c r="C753" s="315"/>
      <c r="D753" s="2853" t="s">
        <v>23</v>
      </c>
      <c r="E753" s="2854"/>
      <c r="F753" s="2853" t="s">
        <v>24</v>
      </c>
      <c r="G753" s="2854"/>
      <c r="H753" s="2853" t="s">
        <v>25</v>
      </c>
      <c r="I753" s="2854"/>
      <c r="J753" s="2730"/>
      <c r="K753" s="2731"/>
      <c r="L753" s="2731"/>
      <c r="M753" s="2731"/>
      <c r="N753" s="2731"/>
      <c r="O753" s="2731"/>
      <c r="P753" s="2731"/>
      <c r="Q753" s="2732"/>
      <c r="R753" s="2895" t="s">
        <v>26</v>
      </c>
      <c r="S753" s="2965"/>
      <c r="T753" s="320">
        <f>L793</f>
        <v>35</v>
      </c>
      <c r="U753" s="321"/>
      <c r="V753" s="2525" t="s">
        <v>27</v>
      </c>
      <c r="W753" s="2526"/>
      <c r="X753" s="2525" t="s">
        <v>28</v>
      </c>
      <c r="Y753" s="2526"/>
    </row>
    <row r="754" spans="2:25" s="299" customFormat="1" ht="54" customHeight="1">
      <c r="B754" s="2882"/>
      <c r="C754" s="315"/>
      <c r="D754" s="323" t="s">
        <v>29</v>
      </c>
      <c r="E754" s="323" t="s">
        <v>30</v>
      </c>
      <c r="F754" s="323" t="s">
        <v>29</v>
      </c>
      <c r="G754" s="323" t="s">
        <v>30</v>
      </c>
      <c r="H754" s="323" t="s">
        <v>29</v>
      </c>
      <c r="I754" s="323" t="s">
        <v>30</v>
      </c>
      <c r="J754" s="317" t="s">
        <v>31</v>
      </c>
      <c r="K754" s="323" t="s">
        <v>32</v>
      </c>
      <c r="L754" s="323" t="s">
        <v>33</v>
      </c>
      <c r="M754" s="323" t="s">
        <v>34</v>
      </c>
      <c r="N754" s="323" t="s">
        <v>32</v>
      </c>
      <c r="O754" s="316" t="s">
        <v>35</v>
      </c>
      <c r="P754" s="317"/>
      <c r="Q754" s="323" t="s">
        <v>36</v>
      </c>
      <c r="R754" s="323" t="s">
        <v>37</v>
      </c>
      <c r="S754" s="323" t="s">
        <v>38</v>
      </c>
      <c r="T754" s="324" t="s">
        <v>39</v>
      </c>
      <c r="U754" s="321"/>
      <c r="V754" s="2527"/>
      <c r="W754" s="2528"/>
      <c r="X754" s="2527"/>
      <c r="Y754" s="2528"/>
    </row>
    <row r="755" spans="2:25" s="300" customFormat="1" ht="48" customHeight="1">
      <c r="B755" s="325">
        <v>0.41666666666666702</v>
      </c>
      <c r="C755" s="326"/>
      <c r="D755" s="327">
        <v>28</v>
      </c>
      <c r="E755" s="328">
        <v>1524</v>
      </c>
      <c r="F755" s="329">
        <v>29</v>
      </c>
      <c r="G755" s="330">
        <v>1487</v>
      </c>
      <c r="H755" s="587"/>
      <c r="I755" s="330"/>
      <c r="J755" s="332">
        <f t="shared" ref="J755:J760" si="63">E755+G755+I755</f>
        <v>3011</v>
      </c>
      <c r="K755" s="333">
        <f t="shared" ref="K755:K760" si="64">J755/450</f>
        <v>6.6911111111111108</v>
      </c>
      <c r="L755" s="332">
        <v>1</v>
      </c>
      <c r="M755" s="495">
        <v>1016</v>
      </c>
      <c r="N755" s="1309">
        <v>7</v>
      </c>
      <c r="O755" s="3051" t="s">
        <v>56</v>
      </c>
      <c r="P755" s="3052"/>
      <c r="Q755" s="498">
        <v>1</v>
      </c>
      <c r="R755" s="387">
        <v>0</v>
      </c>
      <c r="S755" s="1547" t="s">
        <v>57</v>
      </c>
      <c r="T755" s="1009">
        <v>663</v>
      </c>
      <c r="U755" s="307"/>
      <c r="V755" s="2630">
        <f>VLOOKUP(M755,'[1]TABELA FRETE'!$A$6:$B$12,2,0)</f>
        <v>425.7</v>
      </c>
      <c r="W755" s="2631"/>
      <c r="X755" s="2632"/>
      <c r="Y755" s="2633"/>
    </row>
    <row r="756" spans="2:25" s="300" customFormat="1" ht="63" customHeight="1">
      <c r="B756" s="463">
        <v>0.41666666666666702</v>
      </c>
      <c r="C756" s="326"/>
      <c r="D756" s="1548" t="s">
        <v>198</v>
      </c>
      <c r="E756" s="345">
        <v>1500</v>
      </c>
      <c r="F756" s="1548" t="s">
        <v>78</v>
      </c>
      <c r="G756" s="349">
        <v>2000</v>
      </c>
      <c r="H756" s="2897" t="s">
        <v>226</v>
      </c>
      <c r="I756" s="2898"/>
      <c r="J756" s="365">
        <f t="shared" si="63"/>
        <v>3500</v>
      </c>
      <c r="K756" s="366">
        <f t="shared" si="64"/>
        <v>7.7777777777777777</v>
      </c>
      <c r="L756" s="365">
        <v>1</v>
      </c>
      <c r="M756" s="1549">
        <v>1016</v>
      </c>
      <c r="N756" s="1550">
        <v>8</v>
      </c>
      <c r="O756" s="1551" t="s">
        <v>46</v>
      </c>
      <c r="P756" s="1551"/>
      <c r="Q756" s="730">
        <v>2</v>
      </c>
      <c r="R756" s="638">
        <v>0</v>
      </c>
      <c r="S756" s="1552" t="s">
        <v>47</v>
      </c>
      <c r="T756" s="861">
        <v>48</v>
      </c>
      <c r="U756" s="307"/>
      <c r="V756" s="2630">
        <f>VLOOKUP(M756,'[1]TABELA FRETE'!$A$6:$B$12,2,0)</f>
        <v>425.7</v>
      </c>
      <c r="W756" s="2631"/>
      <c r="X756" s="2632"/>
      <c r="Y756" s="2633"/>
    </row>
    <row r="757" spans="2:25" s="299" customFormat="1" ht="48" customHeight="1">
      <c r="B757" s="463">
        <v>0.41666666666666702</v>
      </c>
      <c r="C757" s="326"/>
      <c r="D757" s="359">
        <v>7</v>
      </c>
      <c r="E757" s="360">
        <v>1000</v>
      </c>
      <c r="F757" s="374"/>
      <c r="G757" s="375"/>
      <c r="H757" s="363"/>
      <c r="I757" s="364"/>
      <c r="J757" s="365">
        <f t="shared" si="63"/>
        <v>1000</v>
      </c>
      <c r="K757" s="366">
        <f t="shared" si="64"/>
        <v>2.2222222222222223</v>
      </c>
      <c r="L757" s="365">
        <v>1</v>
      </c>
      <c r="M757" s="1275" t="s">
        <v>9</v>
      </c>
      <c r="N757" s="1276">
        <v>3</v>
      </c>
      <c r="O757" s="3053" t="s">
        <v>189</v>
      </c>
      <c r="P757" s="3054"/>
      <c r="Q757" s="862">
        <v>1</v>
      </c>
      <c r="R757" s="863">
        <v>0</v>
      </c>
      <c r="S757" s="864" t="s">
        <v>190</v>
      </c>
      <c r="T757" s="861">
        <v>738</v>
      </c>
      <c r="U757" s="307"/>
      <c r="V757" s="3043">
        <f>VLOOKUP(M757,'[1]TABELA FRETE'!$A$6:$B$12,2,0)</f>
        <v>250.8</v>
      </c>
      <c r="W757" s="3044"/>
      <c r="X757" s="2632"/>
      <c r="Y757" s="2633"/>
    </row>
    <row r="758" spans="2:25" s="299" customFormat="1" ht="48" customHeight="1">
      <c r="B758" s="463">
        <v>0.41666666666666702</v>
      </c>
      <c r="C758" s="326"/>
      <c r="D758" s="359">
        <v>11</v>
      </c>
      <c r="E758" s="392">
        <v>2000</v>
      </c>
      <c r="F758" s="687"/>
      <c r="G758" s="395"/>
      <c r="H758" s="394"/>
      <c r="I758" s="727"/>
      <c r="J758" s="365">
        <f t="shared" si="63"/>
        <v>2000</v>
      </c>
      <c r="K758" s="366">
        <f t="shared" si="64"/>
        <v>4.4444444444444446</v>
      </c>
      <c r="L758" s="365">
        <v>1</v>
      </c>
      <c r="M758" s="594" t="s">
        <v>8</v>
      </c>
      <c r="N758" s="595">
        <v>4</v>
      </c>
      <c r="O758" s="2628" t="s">
        <v>96</v>
      </c>
      <c r="P758" s="2629"/>
      <c r="Q758" s="596">
        <v>2</v>
      </c>
      <c r="R758" s="597">
        <v>0</v>
      </c>
      <c r="S758" s="598" t="s">
        <v>97</v>
      </c>
      <c r="T758" s="597">
        <v>456</v>
      </c>
      <c r="U758" s="307"/>
      <c r="V758" s="3043">
        <f>VLOOKUP(M758,'[1]TABELA FRETE'!$A$6:$B$12,2,0)</f>
        <v>286</v>
      </c>
      <c r="W758" s="3044"/>
      <c r="X758" s="2632"/>
      <c r="Y758" s="2633"/>
    </row>
    <row r="759" spans="2:25" s="299" customFormat="1" ht="48" customHeight="1">
      <c r="B759" s="463">
        <v>0.41666666666666702</v>
      </c>
      <c r="C759" s="326"/>
      <c r="D759" s="924">
        <v>11</v>
      </c>
      <c r="E759" s="392">
        <v>1000</v>
      </c>
      <c r="F759" s="687"/>
      <c r="G759" s="395"/>
      <c r="H759" s="394"/>
      <c r="I759" s="727"/>
      <c r="J759" s="365">
        <f t="shared" si="63"/>
        <v>1000</v>
      </c>
      <c r="K759" s="366">
        <f t="shared" si="64"/>
        <v>2.2222222222222223</v>
      </c>
      <c r="L759" s="365">
        <v>1</v>
      </c>
      <c r="M759" s="367" t="s">
        <v>9</v>
      </c>
      <c r="N759" s="368">
        <v>3</v>
      </c>
      <c r="O759" s="2692" t="s">
        <v>98</v>
      </c>
      <c r="P759" s="2693"/>
      <c r="Q759" s="387">
        <v>1</v>
      </c>
      <c r="R759" s="388">
        <v>0</v>
      </c>
      <c r="S759" s="1277" t="s">
        <v>99</v>
      </c>
      <c r="T759" s="390">
        <v>496</v>
      </c>
      <c r="U759" s="307"/>
      <c r="V759" s="3043">
        <f>VLOOKUP(M759,'[1]TABELA FRETE'!$A$6:$B$12,2,0)</f>
        <v>250.8</v>
      </c>
      <c r="W759" s="3044"/>
      <c r="X759" s="3039"/>
      <c r="Y759" s="3040"/>
    </row>
    <row r="760" spans="2:25" s="299" customFormat="1" ht="48" customHeight="1">
      <c r="B760" s="408">
        <v>0.41666666666666702</v>
      </c>
      <c r="C760" s="326"/>
      <c r="D760" s="665">
        <v>11</v>
      </c>
      <c r="E760" s="410">
        <v>905</v>
      </c>
      <c r="F760" s="666"/>
      <c r="G760" s="544"/>
      <c r="H760" s="545"/>
      <c r="I760" s="705"/>
      <c r="J760" s="413">
        <f t="shared" si="63"/>
        <v>905</v>
      </c>
      <c r="K760" s="414">
        <f t="shared" si="64"/>
        <v>2.0111111111111111</v>
      </c>
      <c r="L760" s="413">
        <v>1</v>
      </c>
      <c r="M760" s="1553" t="s">
        <v>8</v>
      </c>
      <c r="N760" s="1554">
        <v>4</v>
      </c>
      <c r="O760" s="3066" t="s">
        <v>283</v>
      </c>
      <c r="P760" s="3067"/>
      <c r="Q760" s="1556">
        <v>1</v>
      </c>
      <c r="R760" s="1557">
        <v>0</v>
      </c>
      <c r="S760" s="1558" t="s">
        <v>284</v>
      </c>
      <c r="T760" s="1555">
        <v>353</v>
      </c>
      <c r="U760" s="307"/>
      <c r="V760" s="2630">
        <f>VLOOKUP(M760,'[1]TABELA FRETE'!$A$6:$B$12,2,0)</f>
        <v>286</v>
      </c>
      <c r="W760" s="2631"/>
      <c r="X760" s="2694"/>
      <c r="Y760" s="2695"/>
    </row>
    <row r="761" spans="2:25" s="301" customFormat="1" ht="6" customHeight="1">
      <c r="B761" s="326"/>
      <c r="C761" s="326"/>
      <c r="D761" s="421"/>
      <c r="E761" s="422"/>
      <c r="F761" s="421"/>
      <c r="G761" s="423"/>
      <c r="H761" s="424"/>
      <c r="I761" s="423"/>
      <c r="J761" s="423"/>
      <c r="K761" s="425"/>
      <c r="L761" s="423"/>
      <c r="M761" s="885"/>
      <c r="N761" s="886"/>
      <c r="O761" s="428"/>
      <c r="P761" s="428"/>
      <c r="Q761" s="429"/>
      <c r="R761" s="429"/>
      <c r="S761" s="430"/>
      <c r="T761" s="428"/>
      <c r="U761" s="432"/>
      <c r="V761" s="433"/>
      <c r="W761" s="433"/>
      <c r="X761" s="434"/>
      <c r="Y761" s="434"/>
    </row>
    <row r="762" spans="2:25" s="299" customFormat="1" ht="48" customHeight="1">
      <c r="B762" s="325">
        <v>0.5</v>
      </c>
      <c r="C762" s="326"/>
      <c r="D762" s="327">
        <v>8</v>
      </c>
      <c r="E762" s="328">
        <v>4262</v>
      </c>
      <c r="F762" s="1048"/>
      <c r="G762" s="437"/>
      <c r="H762" s="438"/>
      <c r="I762" s="330"/>
      <c r="J762" s="332">
        <f t="shared" ref="J762:J782" si="65">E762+G762+I762</f>
        <v>4262</v>
      </c>
      <c r="K762" s="333">
        <f t="shared" ref="K762:K781" si="66">J762/450</f>
        <v>9.4711111111111119</v>
      </c>
      <c r="L762" s="1166">
        <v>1</v>
      </c>
      <c r="M762" s="495" t="s">
        <v>7</v>
      </c>
      <c r="N762" s="496">
        <v>12</v>
      </c>
      <c r="O762" s="3051" t="s">
        <v>76</v>
      </c>
      <c r="P762" s="3052"/>
      <c r="Q762" s="1559">
        <v>1</v>
      </c>
      <c r="R762" s="498">
        <v>1</v>
      </c>
      <c r="S762" s="685" t="s">
        <v>77</v>
      </c>
      <c r="T762" s="500">
        <v>184708</v>
      </c>
      <c r="U762" s="307"/>
      <c r="V762" s="2630">
        <f>VLOOKUP(M762,'[1]TABELA FRETE'!$A$6:$B$12,2,0)</f>
        <v>466.4</v>
      </c>
      <c r="W762" s="2631"/>
      <c r="X762" s="2632"/>
      <c r="Y762" s="2633"/>
    </row>
    <row r="763" spans="2:25" s="299" customFormat="1" ht="48" customHeight="1">
      <c r="B763" s="343">
        <v>0.5</v>
      </c>
      <c r="C763" s="326"/>
      <c r="D763" s="359">
        <v>12</v>
      </c>
      <c r="E763" s="364">
        <v>2187</v>
      </c>
      <c r="F763" s="374">
        <v>38</v>
      </c>
      <c r="G763" s="375">
        <v>1862</v>
      </c>
      <c r="H763" s="348"/>
      <c r="I763" s="349"/>
      <c r="J763" s="365">
        <f t="shared" si="65"/>
        <v>4049</v>
      </c>
      <c r="K763" s="366">
        <f t="shared" si="66"/>
        <v>8.9977777777777774</v>
      </c>
      <c r="L763" s="365">
        <v>1</v>
      </c>
      <c r="M763" s="1549" t="s">
        <v>7</v>
      </c>
      <c r="N763" s="1550">
        <v>12</v>
      </c>
      <c r="O763" s="2692" t="s">
        <v>50</v>
      </c>
      <c r="P763" s="2693"/>
      <c r="Q763" s="730">
        <v>2</v>
      </c>
      <c r="R763" s="638">
        <v>0</v>
      </c>
      <c r="S763" s="1552" t="s">
        <v>51</v>
      </c>
      <c r="T763" s="861">
        <v>612</v>
      </c>
      <c r="U763" s="307"/>
      <c r="V763" s="2630">
        <f>VLOOKUP(M763,'[1]TABELA FRETE'!$A$6:$B$12,2,0)</f>
        <v>466.4</v>
      </c>
      <c r="W763" s="2631"/>
      <c r="X763" s="2632"/>
      <c r="Y763" s="2633"/>
    </row>
    <row r="764" spans="2:25" s="299" customFormat="1" ht="48" customHeight="1">
      <c r="B764" s="358">
        <v>0.5</v>
      </c>
      <c r="C764" s="326"/>
      <c r="D764" s="344">
        <v>9</v>
      </c>
      <c r="E764" s="345">
        <v>2581</v>
      </c>
      <c r="F764" s="628"/>
      <c r="G764" s="455"/>
      <c r="H764" s="348"/>
      <c r="I764" s="364"/>
      <c r="J764" s="365">
        <f t="shared" si="65"/>
        <v>2581</v>
      </c>
      <c r="K764" s="351">
        <f t="shared" si="66"/>
        <v>5.735555555555556</v>
      </c>
      <c r="L764" s="365">
        <v>1</v>
      </c>
      <c r="M764" s="367">
        <v>1016</v>
      </c>
      <c r="N764" s="368">
        <v>6</v>
      </c>
      <c r="O764" s="2692" t="s">
        <v>139</v>
      </c>
      <c r="P764" s="2693"/>
      <c r="Q764" s="387">
        <v>1</v>
      </c>
      <c r="R764" s="388">
        <v>0</v>
      </c>
      <c r="S764" s="663" t="s">
        <v>140</v>
      </c>
      <c r="T764" s="390">
        <v>809</v>
      </c>
      <c r="U764" s="307"/>
      <c r="V764" s="2630">
        <f>VLOOKUP(M764,'[1]TABELA FRETE'!$A$6:$B$12,2,0)</f>
        <v>425.7</v>
      </c>
      <c r="W764" s="2631"/>
      <c r="X764" s="2632"/>
      <c r="Y764" s="2633"/>
    </row>
    <row r="765" spans="2:25" s="299" customFormat="1" ht="48" customHeight="1">
      <c r="B765" s="358">
        <v>0.5</v>
      </c>
      <c r="C765" s="326"/>
      <c r="D765" s="344">
        <v>3</v>
      </c>
      <c r="E765" s="345">
        <v>1769</v>
      </c>
      <c r="F765" s="628">
        <v>1</v>
      </c>
      <c r="G765" s="455">
        <v>2052</v>
      </c>
      <c r="H765" s="348"/>
      <c r="I765" s="364"/>
      <c r="J765" s="365">
        <f t="shared" ref="J765" si="67">E765+G765+I765</f>
        <v>3821</v>
      </c>
      <c r="K765" s="351">
        <f t="shared" ref="K765" si="68">J765/450</f>
        <v>8.4911111111111115</v>
      </c>
      <c r="L765" s="365">
        <v>1</v>
      </c>
      <c r="M765" s="1549">
        <v>1016</v>
      </c>
      <c r="N765" s="1550">
        <v>8</v>
      </c>
      <c r="O765" s="2692" t="s">
        <v>88</v>
      </c>
      <c r="P765" s="2693"/>
      <c r="Q765" s="730">
        <v>1</v>
      </c>
      <c r="R765" s="638">
        <v>0</v>
      </c>
      <c r="S765" s="1552" t="s">
        <v>89</v>
      </c>
      <c r="T765" s="861">
        <v>799</v>
      </c>
      <c r="U765" s="307"/>
      <c r="V765" s="2630">
        <f>VLOOKUP(M765,'[1]TABELA FRETE'!$A$6:$B$12,2,0)</f>
        <v>425.7</v>
      </c>
      <c r="W765" s="2631"/>
      <c r="X765" s="2632"/>
      <c r="Y765" s="2633"/>
    </row>
    <row r="766" spans="2:25" s="299" customFormat="1" ht="48" customHeight="1">
      <c r="B766" s="358">
        <v>0.5</v>
      </c>
      <c r="C766" s="326"/>
      <c r="D766" s="359">
        <v>14</v>
      </c>
      <c r="E766" s="364">
        <v>2748</v>
      </c>
      <c r="F766" s="374"/>
      <c r="G766" s="375"/>
      <c r="H766" s="348"/>
      <c r="I766" s="349"/>
      <c r="J766" s="365">
        <f t="shared" si="65"/>
        <v>2748</v>
      </c>
      <c r="K766" s="366">
        <f t="shared" si="66"/>
        <v>6.1066666666666665</v>
      </c>
      <c r="L766" s="365">
        <v>1</v>
      </c>
      <c r="M766" s="376">
        <v>1016</v>
      </c>
      <c r="N766" s="377">
        <v>7</v>
      </c>
      <c r="O766" s="2692" t="s">
        <v>141</v>
      </c>
      <c r="P766" s="2693"/>
      <c r="Q766" s="387">
        <v>2</v>
      </c>
      <c r="R766" s="407">
        <v>0</v>
      </c>
      <c r="S766" s="591" t="s">
        <v>142</v>
      </c>
      <c r="T766" s="407">
        <v>605</v>
      </c>
      <c r="U766" s="307"/>
      <c r="V766" s="2630">
        <f>VLOOKUP(M766,'[1]TABELA FRETE'!$A$6:$B$12,2,0)</f>
        <v>425.7</v>
      </c>
      <c r="W766" s="2631"/>
      <c r="X766" s="2632"/>
      <c r="Y766" s="2633"/>
    </row>
    <row r="767" spans="2:25" s="299" customFormat="1" ht="48" customHeight="1">
      <c r="B767" s="358">
        <v>0.5</v>
      </c>
      <c r="C767" s="326"/>
      <c r="D767" s="359">
        <v>34</v>
      </c>
      <c r="E767" s="360">
        <v>5890</v>
      </c>
      <c r="F767" s="374"/>
      <c r="G767" s="375"/>
      <c r="H767" s="363"/>
      <c r="I767" s="364"/>
      <c r="J767" s="365">
        <f t="shared" si="65"/>
        <v>5890</v>
      </c>
      <c r="K767" s="366">
        <f t="shared" si="66"/>
        <v>13.088888888888889</v>
      </c>
      <c r="L767" s="365">
        <v>1</v>
      </c>
      <c r="M767" s="367" t="s">
        <v>6</v>
      </c>
      <c r="N767" s="368">
        <v>14</v>
      </c>
      <c r="O767" s="2692" t="s">
        <v>54</v>
      </c>
      <c r="P767" s="2693"/>
      <c r="Q767" s="387">
        <v>1</v>
      </c>
      <c r="R767" s="388">
        <v>0</v>
      </c>
      <c r="S767" s="663" t="s">
        <v>55</v>
      </c>
      <c r="T767" s="390">
        <v>590</v>
      </c>
      <c r="U767" s="307"/>
      <c r="V767" s="2630">
        <f>VLOOKUP(M767,'[1]TABELA FRETE'!$A$6:$B$12,2,0)</f>
        <v>489.5</v>
      </c>
      <c r="W767" s="2631"/>
      <c r="X767" s="2632"/>
      <c r="Y767" s="2633"/>
    </row>
    <row r="768" spans="2:25" s="299" customFormat="1" ht="48" customHeight="1">
      <c r="B768" s="358">
        <v>0.5</v>
      </c>
      <c r="C768" s="326"/>
      <c r="D768" s="359">
        <v>35</v>
      </c>
      <c r="E768" s="360">
        <v>1402</v>
      </c>
      <c r="F768" s="359">
        <v>43</v>
      </c>
      <c r="G768" s="360">
        <v>3625</v>
      </c>
      <c r="H768" s="363"/>
      <c r="I768" s="364"/>
      <c r="J768" s="365">
        <f t="shared" si="65"/>
        <v>5027</v>
      </c>
      <c r="K768" s="366">
        <f t="shared" si="66"/>
        <v>11.171111111111111</v>
      </c>
      <c r="L768" s="365">
        <v>1</v>
      </c>
      <c r="M768" s="376" t="s">
        <v>6</v>
      </c>
      <c r="N768" s="377">
        <v>14</v>
      </c>
      <c r="O768" s="2692" t="s">
        <v>220</v>
      </c>
      <c r="P768" s="2693"/>
      <c r="Q768" s="446">
        <v>1</v>
      </c>
      <c r="R768" s="407">
        <v>0</v>
      </c>
      <c r="S768" s="591" t="s">
        <v>221</v>
      </c>
      <c r="T768" s="407">
        <v>184422</v>
      </c>
      <c r="U768" s="307"/>
      <c r="V768" s="2630">
        <f>VLOOKUP(M768,'[1]TABELA FRETE'!$A$6:$B$12,2,0)</f>
        <v>489.5</v>
      </c>
      <c r="W768" s="2631"/>
      <c r="X768" s="2632"/>
      <c r="Y768" s="2633"/>
    </row>
    <row r="769" spans="2:25" s="299" customFormat="1" ht="48" customHeight="1">
      <c r="B769" s="358">
        <v>0.5</v>
      </c>
      <c r="C769" s="326"/>
      <c r="D769" s="359">
        <v>45</v>
      </c>
      <c r="E769" s="360">
        <v>2650</v>
      </c>
      <c r="F769" s="359">
        <v>47</v>
      </c>
      <c r="G769" s="360">
        <v>1849</v>
      </c>
      <c r="H769" s="363"/>
      <c r="I769" s="364"/>
      <c r="J769" s="365">
        <f t="shared" si="65"/>
        <v>4499</v>
      </c>
      <c r="K769" s="366">
        <f t="shared" si="66"/>
        <v>9.9977777777777774</v>
      </c>
      <c r="L769" s="365">
        <v>1</v>
      </c>
      <c r="M769" s="376" t="s">
        <v>7</v>
      </c>
      <c r="N769" s="377">
        <v>12</v>
      </c>
      <c r="O769" s="2692" t="s">
        <v>62</v>
      </c>
      <c r="P769" s="2693"/>
      <c r="Q769" s="387">
        <v>2</v>
      </c>
      <c r="R769" s="407">
        <v>0</v>
      </c>
      <c r="S769" s="591" t="s">
        <v>63</v>
      </c>
      <c r="T769" s="407">
        <v>740</v>
      </c>
      <c r="U769" s="307"/>
      <c r="V769" s="2630">
        <f>VLOOKUP(M769,'[1]TABELA FRETE'!$A$6:$B$12,2,0)</f>
        <v>466.4</v>
      </c>
      <c r="W769" s="2631"/>
      <c r="X769" s="2632"/>
      <c r="Y769" s="2633"/>
    </row>
    <row r="770" spans="2:25" s="299" customFormat="1" ht="48" customHeight="1">
      <c r="B770" s="408">
        <v>0.5</v>
      </c>
      <c r="C770" s="326"/>
      <c r="D770" s="409">
        <v>19</v>
      </c>
      <c r="E770" s="410">
        <v>3652</v>
      </c>
      <c r="F770" s="411"/>
      <c r="G770" s="410"/>
      <c r="H770" s="412"/>
      <c r="I770" s="410"/>
      <c r="J770" s="413">
        <f t="shared" si="65"/>
        <v>3652</v>
      </c>
      <c r="K770" s="414">
        <f t="shared" si="66"/>
        <v>8.1155555555555559</v>
      </c>
      <c r="L770" s="413">
        <v>1</v>
      </c>
      <c r="M770" s="667">
        <v>1016</v>
      </c>
      <c r="N770" s="668">
        <v>10</v>
      </c>
      <c r="O770" s="2931" t="s">
        <v>81</v>
      </c>
      <c r="P770" s="2932"/>
      <c r="Q770" s="671">
        <v>2</v>
      </c>
      <c r="R770" s="672">
        <v>0</v>
      </c>
      <c r="S770" s="673" t="s">
        <v>82</v>
      </c>
      <c r="T770" s="672">
        <v>606</v>
      </c>
      <c r="U770" s="307"/>
      <c r="V770" s="2630">
        <f>VLOOKUP(M770,'[1]TABELA FRETE'!$A$6:$B$12,2,0)</f>
        <v>425.7</v>
      </c>
      <c r="W770" s="2631"/>
      <c r="X770" s="2694"/>
      <c r="Y770" s="2695"/>
    </row>
    <row r="771" spans="2:25" s="301" customFormat="1" ht="6" customHeight="1">
      <c r="B771" s="326"/>
      <c r="C771" s="326"/>
      <c r="D771" s="421"/>
      <c r="E771" s="422"/>
      <c r="F771" s="421"/>
      <c r="G771" s="423"/>
      <c r="H771" s="424"/>
      <c r="I771" s="423"/>
      <c r="J771" s="423"/>
      <c r="K771" s="425"/>
      <c r="L771" s="423"/>
      <c r="M771" s="426"/>
      <c r="N771" s="427"/>
      <c r="O771" s="428"/>
      <c r="P771" s="428"/>
      <c r="Q771" s="429"/>
      <c r="R771" s="429"/>
      <c r="S771" s="430"/>
      <c r="T771" s="431"/>
      <c r="U771" s="432"/>
      <c r="V771" s="433"/>
      <c r="W771" s="433"/>
      <c r="X771" s="434"/>
      <c r="Y771" s="434"/>
    </row>
    <row r="772" spans="2:25" s="299" customFormat="1" ht="48" customHeight="1">
      <c r="B772" s="325">
        <v>0.58333333333333304</v>
      </c>
      <c r="C772" s="326"/>
      <c r="D772" s="435">
        <v>5</v>
      </c>
      <c r="E772" s="328">
        <v>1436</v>
      </c>
      <c r="F772" s="1560">
        <v>20</v>
      </c>
      <c r="G772" s="1561">
        <v>2753</v>
      </c>
      <c r="H772" s="714"/>
      <c r="I772" s="713"/>
      <c r="J772" s="332">
        <f t="shared" si="65"/>
        <v>4189</v>
      </c>
      <c r="K772" s="333">
        <f t="shared" si="66"/>
        <v>9.3088888888888892</v>
      </c>
      <c r="L772" s="332">
        <v>1</v>
      </c>
      <c r="M772" s="622" t="s">
        <v>7</v>
      </c>
      <c r="N772" s="438">
        <v>11</v>
      </c>
      <c r="O772" s="3051" t="s">
        <v>42</v>
      </c>
      <c r="P772" s="3052"/>
      <c r="Q772" s="493">
        <v>3</v>
      </c>
      <c r="R772" s="328">
        <v>0</v>
      </c>
      <c r="S772" s="625" t="s">
        <v>43</v>
      </c>
      <c r="T772" s="626">
        <v>479</v>
      </c>
      <c r="U772" s="307"/>
      <c r="V772" s="2630">
        <f>VLOOKUP(M772,'[1]TABELA FRETE'!$A$6:$B$12,2,0)</f>
        <v>466.4</v>
      </c>
      <c r="W772" s="2631"/>
      <c r="X772" s="2632"/>
      <c r="Y772" s="2633"/>
    </row>
    <row r="773" spans="2:25" s="299" customFormat="1" ht="48" customHeight="1">
      <c r="B773" s="343">
        <v>0.58333333333333304</v>
      </c>
      <c r="C773" s="326"/>
      <c r="D773" s="444">
        <v>25</v>
      </c>
      <c r="E773" s="375">
        <v>3627</v>
      </c>
      <c r="F773" s="393">
        <v>22</v>
      </c>
      <c r="G773" s="360">
        <v>1647</v>
      </c>
      <c r="H773" s="465"/>
      <c r="I773" s="392"/>
      <c r="J773" s="365">
        <f t="shared" si="65"/>
        <v>5274</v>
      </c>
      <c r="K773" s="366">
        <f t="shared" si="66"/>
        <v>11.72</v>
      </c>
      <c r="L773" s="396">
        <v>1</v>
      </c>
      <c r="M773" s="367" t="s">
        <v>6</v>
      </c>
      <c r="N773" s="368">
        <v>14</v>
      </c>
      <c r="O773" s="2692" t="s">
        <v>143</v>
      </c>
      <c r="P773" s="2693"/>
      <c r="Q773" s="387">
        <v>1</v>
      </c>
      <c r="R773" s="390">
        <v>1</v>
      </c>
      <c r="S773" s="663" t="s">
        <v>69</v>
      </c>
      <c r="T773" s="407">
        <v>184422</v>
      </c>
      <c r="U773" s="307"/>
      <c r="V773" s="2630">
        <f>VLOOKUP(M773,'[1]TABELA FRETE'!$A$6:$B$12,2,0)</f>
        <v>489.5</v>
      </c>
      <c r="W773" s="2631"/>
      <c r="X773" s="3039"/>
      <c r="Y773" s="3040"/>
    </row>
    <row r="774" spans="2:25" s="299" customFormat="1" ht="48" customHeight="1">
      <c r="B774" s="343">
        <v>0.58333333333333304</v>
      </c>
      <c r="C774" s="326"/>
      <c r="D774" s="695">
        <v>6</v>
      </c>
      <c r="E774" s="360">
        <v>1533</v>
      </c>
      <c r="F774" s="444">
        <v>31</v>
      </c>
      <c r="G774" s="375">
        <v>2471</v>
      </c>
      <c r="H774" s="445"/>
      <c r="I774" s="360"/>
      <c r="J774" s="365">
        <f t="shared" si="65"/>
        <v>4004</v>
      </c>
      <c r="K774" s="366">
        <f t="shared" si="66"/>
        <v>8.8977777777777778</v>
      </c>
      <c r="L774" s="365">
        <v>1</v>
      </c>
      <c r="M774" s="1562" t="s">
        <v>7</v>
      </c>
      <c r="N774" s="1563">
        <v>12</v>
      </c>
      <c r="O774" s="2628" t="s">
        <v>66</v>
      </c>
      <c r="P774" s="2629"/>
      <c r="Q774" s="446">
        <v>2</v>
      </c>
      <c r="R774" s="407">
        <v>0</v>
      </c>
      <c r="S774" s="591" t="s">
        <v>67</v>
      </c>
      <c r="T774" s="407">
        <v>184461</v>
      </c>
      <c r="U774" s="307"/>
      <c r="V774" s="2630">
        <f>VLOOKUP(M774,'[1]TABELA FRETE'!$A$6:$B$12,2,0)</f>
        <v>466.4</v>
      </c>
      <c r="W774" s="2631"/>
      <c r="X774" s="2694"/>
      <c r="Y774" s="2695"/>
    </row>
    <row r="775" spans="2:25" s="299" customFormat="1" ht="48" customHeight="1">
      <c r="B775" s="343">
        <v>0.58333333333333304</v>
      </c>
      <c r="C775" s="326"/>
      <c r="D775" s="453">
        <v>17</v>
      </c>
      <c r="E775" s="345">
        <v>2996</v>
      </c>
      <c r="F775" s="454"/>
      <c r="G775" s="345"/>
      <c r="H775" s="348"/>
      <c r="I775" s="455"/>
      <c r="J775" s="350">
        <f t="shared" si="65"/>
        <v>2996</v>
      </c>
      <c r="K775" s="351">
        <f t="shared" si="66"/>
        <v>6.6577777777777776</v>
      </c>
      <c r="L775" s="756">
        <v>1</v>
      </c>
      <c r="M775" s="533">
        <v>1016</v>
      </c>
      <c r="N775" s="534">
        <v>8</v>
      </c>
      <c r="O775" s="2692" t="s">
        <v>90</v>
      </c>
      <c r="P775" s="2693"/>
      <c r="Q775" s="354">
        <v>2</v>
      </c>
      <c r="R775" s="510">
        <v>0</v>
      </c>
      <c r="S775" s="1564" t="s">
        <v>91</v>
      </c>
      <c r="T775" s="357">
        <v>674</v>
      </c>
      <c r="U775" s="307"/>
      <c r="V775" s="2630">
        <f>VLOOKUP(M775,'[1]TABELA FRETE'!$A$6:$B$12,2,0)</f>
        <v>425.7</v>
      </c>
      <c r="W775" s="2631"/>
      <c r="X775" s="2632"/>
      <c r="Y775" s="2633"/>
    </row>
    <row r="776" spans="2:25" s="299" customFormat="1" ht="48" customHeight="1">
      <c r="B776" s="343">
        <v>0.58333333333333304</v>
      </c>
      <c r="C776" s="326"/>
      <c r="D776" s="458">
        <v>23</v>
      </c>
      <c r="E776" s="392">
        <v>2621</v>
      </c>
      <c r="F776" s="464">
        <v>44</v>
      </c>
      <c r="G776" s="392">
        <v>1130</v>
      </c>
      <c r="H776" s="394"/>
      <c r="I776" s="395"/>
      <c r="J776" s="396">
        <f t="shared" si="65"/>
        <v>3751</v>
      </c>
      <c r="K776" s="461">
        <f t="shared" si="66"/>
        <v>8.3355555555555547</v>
      </c>
      <c r="L776" s="396">
        <v>1</v>
      </c>
      <c r="M776" s="367">
        <v>1016</v>
      </c>
      <c r="N776" s="368">
        <v>10</v>
      </c>
      <c r="O776" s="2692" t="s">
        <v>72</v>
      </c>
      <c r="P776" s="2693"/>
      <c r="Q776" s="387">
        <v>2</v>
      </c>
      <c r="R776" s="388">
        <v>0</v>
      </c>
      <c r="S776" s="663" t="s">
        <v>73</v>
      </c>
      <c r="T776" s="390">
        <v>184090</v>
      </c>
      <c r="U776" s="307"/>
      <c r="V776" s="2630">
        <f>VLOOKUP(M776,'[1]TABELA FRETE'!$A$6:$B$12,2,0)</f>
        <v>425.7</v>
      </c>
      <c r="W776" s="2631"/>
      <c r="X776" s="2632"/>
      <c r="Y776" s="2633"/>
    </row>
    <row r="777" spans="2:25" s="299" customFormat="1" ht="48" customHeight="1">
      <c r="B777" s="358">
        <v>0.58333333333333304</v>
      </c>
      <c r="C777" s="326"/>
      <c r="D777" s="458">
        <v>10</v>
      </c>
      <c r="E777" s="392">
        <v>4570</v>
      </c>
      <c r="F777" s="393"/>
      <c r="G777" s="360"/>
      <c r="H777" s="363"/>
      <c r="I777" s="375"/>
      <c r="J777" s="365">
        <f t="shared" si="65"/>
        <v>4570</v>
      </c>
      <c r="K777" s="366">
        <f t="shared" si="66"/>
        <v>10.155555555555555</v>
      </c>
      <c r="L777" s="365">
        <v>1</v>
      </c>
      <c r="M777" s="367" t="s">
        <v>7</v>
      </c>
      <c r="N777" s="368">
        <v>12</v>
      </c>
      <c r="O777" s="2628" t="s">
        <v>146</v>
      </c>
      <c r="P777" s="2629"/>
      <c r="Q777" s="387">
        <v>1</v>
      </c>
      <c r="R777" s="388">
        <v>0</v>
      </c>
      <c r="S777" s="663" t="s">
        <v>147</v>
      </c>
      <c r="T777" s="390">
        <v>91</v>
      </c>
      <c r="U777" s="307"/>
      <c r="V777" s="2630">
        <f>VLOOKUP(M777,'[1]TABELA FRETE'!$A$6:$B$12,2,0)</f>
        <v>466.4</v>
      </c>
      <c r="W777" s="2631"/>
      <c r="X777" s="2632"/>
      <c r="Y777" s="2633"/>
    </row>
    <row r="778" spans="2:25" s="299" customFormat="1" ht="63" customHeight="1">
      <c r="B778" s="358">
        <v>0.58333333333333304</v>
      </c>
      <c r="C778" s="326"/>
      <c r="D778" s="462" t="s">
        <v>78</v>
      </c>
      <c r="E778" s="360">
        <v>3680</v>
      </c>
      <c r="F778" s="393"/>
      <c r="G778" s="360"/>
      <c r="H778" s="363"/>
      <c r="I778" s="375"/>
      <c r="J778" s="365">
        <f t="shared" si="65"/>
        <v>3680</v>
      </c>
      <c r="K778" s="366">
        <f t="shared" si="66"/>
        <v>8.1777777777777771</v>
      </c>
      <c r="L778" s="365">
        <v>1</v>
      </c>
      <c r="M778" s="367">
        <v>1016</v>
      </c>
      <c r="N778" s="368">
        <v>8</v>
      </c>
      <c r="O778" s="2692" t="s">
        <v>159</v>
      </c>
      <c r="P778" s="2693"/>
      <c r="Q778" s="387">
        <v>1</v>
      </c>
      <c r="R778" s="388">
        <v>0</v>
      </c>
      <c r="S778" s="591" t="s">
        <v>160</v>
      </c>
      <c r="T778" s="457">
        <v>456</v>
      </c>
      <c r="U778" s="307"/>
      <c r="V778" s="2630">
        <f>VLOOKUP(M778,'[1]TABELA FRETE'!$A$6:$B$12,2,0)</f>
        <v>425.7</v>
      </c>
      <c r="W778" s="2631"/>
      <c r="X778" s="2632"/>
      <c r="Y778" s="2633"/>
    </row>
    <row r="779" spans="2:25" s="299" customFormat="1" ht="48" customHeight="1">
      <c r="B779" s="463">
        <v>0.58333333333333304</v>
      </c>
      <c r="C779" s="326"/>
      <c r="D779" s="458">
        <v>40</v>
      </c>
      <c r="E779" s="392">
        <v>3363</v>
      </c>
      <c r="F779" s="458"/>
      <c r="G779" s="392"/>
      <c r="H779" s="465"/>
      <c r="I779" s="392"/>
      <c r="J779" s="365">
        <f t="shared" si="65"/>
        <v>3363</v>
      </c>
      <c r="K779" s="366">
        <f t="shared" si="66"/>
        <v>7.4733333333333336</v>
      </c>
      <c r="L779" s="396">
        <v>1</v>
      </c>
      <c r="M779" s="376">
        <v>1016</v>
      </c>
      <c r="N779" s="377">
        <v>8</v>
      </c>
      <c r="O779" s="2628" t="s">
        <v>85</v>
      </c>
      <c r="P779" s="2629"/>
      <c r="Q779" s="387">
        <v>2</v>
      </c>
      <c r="R779" s="407">
        <v>0</v>
      </c>
      <c r="S779" s="591" t="s">
        <v>86</v>
      </c>
      <c r="T779" s="407">
        <v>714</v>
      </c>
      <c r="U779" s="307"/>
      <c r="V779" s="2630">
        <f>VLOOKUP(M779,'[1]TABELA FRETE'!$A$6:$B$12,2,0)</f>
        <v>425.7</v>
      </c>
      <c r="W779" s="2631"/>
      <c r="X779" s="2632"/>
      <c r="Y779" s="2633"/>
    </row>
    <row r="780" spans="2:25" s="299" customFormat="1" ht="48" customHeight="1">
      <c r="B780" s="358">
        <v>0.58333333333333304</v>
      </c>
      <c r="C780" s="326"/>
      <c r="D780" s="472">
        <v>32</v>
      </c>
      <c r="E780" s="360">
        <v>2064</v>
      </c>
      <c r="F780" s="393">
        <v>42</v>
      </c>
      <c r="G780" s="360">
        <v>2279</v>
      </c>
      <c r="H780" s="445"/>
      <c r="I780" s="360"/>
      <c r="J780" s="365">
        <f t="shared" si="65"/>
        <v>4343</v>
      </c>
      <c r="K780" s="366">
        <f t="shared" si="66"/>
        <v>9.6511111111111116</v>
      </c>
      <c r="L780" s="365">
        <v>1</v>
      </c>
      <c r="M780" s="367" t="s">
        <v>7</v>
      </c>
      <c r="N780" s="368">
        <v>11</v>
      </c>
      <c r="O780" s="2628" t="s">
        <v>52</v>
      </c>
      <c r="P780" s="2629"/>
      <c r="Q780" s="387">
        <v>1</v>
      </c>
      <c r="R780" s="390">
        <v>0</v>
      </c>
      <c r="S780" s="1008" t="s">
        <v>53</v>
      </c>
      <c r="T780" s="407">
        <v>633</v>
      </c>
      <c r="U780" s="307"/>
      <c r="V780" s="2630">
        <f>VLOOKUP(M780,'[1]TABELA FRETE'!$A$6:$B$12,2,0)</f>
        <v>466.4</v>
      </c>
      <c r="W780" s="2631"/>
      <c r="X780" s="2632"/>
      <c r="Y780" s="2633"/>
    </row>
    <row r="781" spans="2:25" s="299" customFormat="1" ht="63" customHeight="1">
      <c r="B781" s="755">
        <v>0.58333333333333304</v>
      </c>
      <c r="C781" s="326"/>
      <c r="D781" s="1565" t="s">
        <v>198</v>
      </c>
      <c r="E781" s="460">
        <v>4934</v>
      </c>
      <c r="F781" s="458">
        <v>26</v>
      </c>
      <c r="G781" s="392">
        <v>1495</v>
      </c>
      <c r="H781" s="969"/>
      <c r="I781" s="460"/>
      <c r="J781" s="350">
        <f t="shared" si="65"/>
        <v>6429</v>
      </c>
      <c r="K781" s="351">
        <f t="shared" si="66"/>
        <v>14.286666666666667</v>
      </c>
      <c r="L781" s="756">
        <v>1</v>
      </c>
      <c r="M781" s="533" t="s">
        <v>6</v>
      </c>
      <c r="N781" s="534">
        <v>14</v>
      </c>
      <c r="O781" s="2628" t="s">
        <v>64</v>
      </c>
      <c r="P781" s="2629"/>
      <c r="Q781" s="354">
        <v>1</v>
      </c>
      <c r="R781" s="357">
        <v>0</v>
      </c>
      <c r="S781" s="1566" t="s">
        <v>65</v>
      </c>
      <c r="T781" s="357">
        <v>598</v>
      </c>
      <c r="U781" s="307"/>
      <c r="V781" s="2630">
        <f>VLOOKUP(M781,'[1]TABELA FRETE'!$D$25:$E$29,2,0)</f>
        <v>326.7</v>
      </c>
      <c r="W781" s="2631"/>
      <c r="X781" s="3039"/>
      <c r="Y781" s="3040"/>
    </row>
    <row r="782" spans="2:25" s="299" customFormat="1" ht="48" customHeight="1">
      <c r="B782" s="408">
        <v>0.58333333333333304</v>
      </c>
      <c r="C782" s="326"/>
      <c r="D782" s="703">
        <v>1129</v>
      </c>
      <c r="E782" s="544">
        <v>2956</v>
      </c>
      <c r="F782" s="411">
        <v>46</v>
      </c>
      <c r="G782" s="410">
        <v>2753</v>
      </c>
      <c r="H782" s="412"/>
      <c r="I782" s="410"/>
      <c r="J782" s="413">
        <f t="shared" si="65"/>
        <v>5709</v>
      </c>
      <c r="K782" s="414">
        <v>12</v>
      </c>
      <c r="L782" s="413">
        <v>1</v>
      </c>
      <c r="M782" s="1567" t="s">
        <v>7</v>
      </c>
      <c r="N782" s="1568">
        <v>12</v>
      </c>
      <c r="O782" s="2855" t="s">
        <v>153</v>
      </c>
      <c r="P782" s="2856"/>
      <c r="Q782" s="708">
        <v>1</v>
      </c>
      <c r="R782" s="710">
        <v>0</v>
      </c>
      <c r="S782" s="1569" t="s">
        <v>154</v>
      </c>
      <c r="T782" s="710">
        <v>664</v>
      </c>
      <c r="U782" s="307"/>
      <c r="V782" s="2630">
        <f>VLOOKUP(M782,'[1]TABELA FRETE'!$A$6:$B$12,2,0)</f>
        <v>466.4</v>
      </c>
      <c r="W782" s="2631"/>
      <c r="X782" s="2694"/>
      <c r="Y782" s="2695"/>
    </row>
    <row r="783" spans="2:25" s="301" customFormat="1" ht="6" customHeight="1">
      <c r="B783" s="326"/>
      <c r="C783" s="326"/>
      <c r="D783" s="487"/>
      <c r="E783" s="423"/>
      <c r="F783" s="488"/>
      <c r="G783" s="423"/>
      <c r="H783" s="424"/>
      <c r="I783" s="423"/>
      <c r="J783" s="423"/>
      <c r="K783" s="425"/>
      <c r="L783" s="423"/>
      <c r="M783" s="426"/>
      <c r="N783" s="427"/>
      <c r="O783" s="431"/>
      <c r="P783" s="431"/>
      <c r="Q783" s="431"/>
      <c r="R783" s="431"/>
      <c r="S783" s="489"/>
      <c r="T783" s="431"/>
      <c r="U783" s="432"/>
      <c r="V783" s="433"/>
      <c r="W783" s="433"/>
      <c r="X783" s="434"/>
      <c r="Y783" s="434"/>
    </row>
    <row r="784" spans="2:25" s="299" customFormat="1" ht="48" customHeight="1">
      <c r="B784" s="325">
        <v>0.70833333333333304</v>
      </c>
      <c r="C784" s="326"/>
      <c r="D784" s="990">
        <v>36</v>
      </c>
      <c r="E784" s="328">
        <v>1949</v>
      </c>
      <c r="F784" s="491">
        <v>33</v>
      </c>
      <c r="G784" s="328">
        <v>2248</v>
      </c>
      <c r="H784" s="438"/>
      <c r="I784" s="492"/>
      <c r="J784" s="493">
        <f t="shared" ref="J784:J793" si="69">E784+G784+I784</f>
        <v>4197</v>
      </c>
      <c r="K784" s="494">
        <f t="shared" ref="K784:K792" si="70">J784/450</f>
        <v>9.3266666666666662</v>
      </c>
      <c r="L784" s="716">
        <v>1</v>
      </c>
      <c r="M784" s="439" t="s">
        <v>7</v>
      </c>
      <c r="N784" s="440">
        <v>12</v>
      </c>
      <c r="O784" s="2940" t="s">
        <v>50</v>
      </c>
      <c r="P784" s="2941"/>
      <c r="Q784" s="441">
        <v>2</v>
      </c>
      <c r="R784" s="442">
        <v>2</v>
      </c>
      <c r="S784" s="1570" t="s">
        <v>105</v>
      </c>
      <c r="T784" s="442">
        <v>612</v>
      </c>
      <c r="U784" s="307"/>
      <c r="V784" s="2630">
        <f>VLOOKUP(M784,'[1]TABELA FRETE'!$A$6:$B$12,2,0)</f>
        <v>466.4</v>
      </c>
      <c r="W784" s="2631"/>
      <c r="X784" s="2632"/>
      <c r="Y784" s="2633"/>
    </row>
    <row r="785" spans="2:25" s="299" customFormat="1" ht="48" customHeight="1">
      <c r="B785" s="358">
        <v>0.70833333333333304</v>
      </c>
      <c r="C785" s="326"/>
      <c r="D785" s="998">
        <v>30</v>
      </c>
      <c r="E785" s="360">
        <v>1758</v>
      </c>
      <c r="F785" s="521"/>
      <c r="G785" s="345"/>
      <c r="H785" s="474"/>
      <c r="I785" s="360"/>
      <c r="J785" s="467">
        <f t="shared" si="69"/>
        <v>1758</v>
      </c>
      <c r="K785" s="475">
        <f t="shared" si="70"/>
        <v>3.9066666666666667</v>
      </c>
      <c r="L785" s="467">
        <v>1</v>
      </c>
      <c r="M785" s="376">
        <v>1016</v>
      </c>
      <c r="N785" s="377">
        <v>8</v>
      </c>
      <c r="O785" s="2628" t="s">
        <v>44</v>
      </c>
      <c r="P785" s="2629"/>
      <c r="Q785" s="387">
        <v>2</v>
      </c>
      <c r="R785" s="407">
        <v>2</v>
      </c>
      <c r="S785" s="591" t="s">
        <v>103</v>
      </c>
      <c r="T785" s="407">
        <v>674</v>
      </c>
      <c r="U785" s="307"/>
      <c r="V785" s="2630">
        <f>VLOOKUP(M785,'[1]TABELA FRETE'!$A$6:$B$12,2,0)</f>
        <v>425.7</v>
      </c>
      <c r="W785" s="2631"/>
      <c r="X785" s="2632"/>
      <c r="Y785" s="2633"/>
    </row>
    <row r="786" spans="2:25" s="299" customFormat="1" ht="48" customHeight="1">
      <c r="B786" s="463">
        <v>0.70833333333333304</v>
      </c>
      <c r="C786" s="326"/>
      <c r="D786" s="998">
        <v>21</v>
      </c>
      <c r="E786" s="360">
        <v>2283</v>
      </c>
      <c r="F786" s="1571"/>
      <c r="G786" s="360"/>
      <c r="H786" s="474"/>
      <c r="I786" s="360"/>
      <c r="J786" s="467">
        <f t="shared" si="69"/>
        <v>2283</v>
      </c>
      <c r="K786" s="475">
        <f t="shared" si="70"/>
        <v>5.0733333333333333</v>
      </c>
      <c r="L786" s="467">
        <v>1</v>
      </c>
      <c r="M786" s="376">
        <v>1016</v>
      </c>
      <c r="N786" s="377">
        <v>8</v>
      </c>
      <c r="O786" s="2628" t="s">
        <v>85</v>
      </c>
      <c r="P786" s="2629"/>
      <c r="Q786" s="387">
        <v>2</v>
      </c>
      <c r="R786" s="407">
        <v>3</v>
      </c>
      <c r="S786" s="591" t="s">
        <v>86</v>
      </c>
      <c r="T786" s="407">
        <v>714</v>
      </c>
      <c r="U786" s="307"/>
      <c r="V786" s="2630">
        <f>VLOOKUP(M786,'[1]TABELA FRETE'!$A$6:$B$12,2,0)</f>
        <v>425.7</v>
      </c>
      <c r="W786" s="2631"/>
      <c r="X786" s="2632"/>
      <c r="Y786" s="2633"/>
    </row>
    <row r="787" spans="2:25" s="299" customFormat="1" ht="48" customHeight="1">
      <c r="B787" s="358">
        <v>0.70833333333333304</v>
      </c>
      <c r="C787" s="326"/>
      <c r="D787" s="998">
        <v>4</v>
      </c>
      <c r="E787" s="360">
        <v>1586</v>
      </c>
      <c r="F787" s="1572"/>
      <c r="G787" s="345"/>
      <c r="H787" s="525"/>
      <c r="I787" s="360"/>
      <c r="J787" s="467">
        <f t="shared" si="69"/>
        <v>1586</v>
      </c>
      <c r="K787" s="475">
        <f t="shared" si="70"/>
        <v>3.5244444444444443</v>
      </c>
      <c r="L787" s="467">
        <v>1</v>
      </c>
      <c r="M787" s="376">
        <v>1016</v>
      </c>
      <c r="N787" s="377">
        <v>8</v>
      </c>
      <c r="O787" s="2628" t="s">
        <v>92</v>
      </c>
      <c r="P787" s="2629"/>
      <c r="Q787" s="446">
        <v>2</v>
      </c>
      <c r="R787" s="407">
        <v>2</v>
      </c>
      <c r="S787" s="591" t="s">
        <v>104</v>
      </c>
      <c r="T787" s="407">
        <v>576</v>
      </c>
      <c r="U787" s="432"/>
      <c r="V787" s="2630">
        <f>VLOOKUP(M787,'[1]TABELA FRETE'!$A$6:$B$12,2,0)</f>
        <v>425.7</v>
      </c>
      <c r="W787" s="2631"/>
      <c r="X787" s="2632"/>
      <c r="Y787" s="2633"/>
    </row>
    <row r="788" spans="2:25" s="299" customFormat="1" ht="48" customHeight="1">
      <c r="B788" s="358">
        <v>0.70833333333333304</v>
      </c>
      <c r="C788" s="326"/>
      <c r="D788" s="998">
        <v>18</v>
      </c>
      <c r="E788" s="360">
        <v>1767</v>
      </c>
      <c r="F788" s="1572"/>
      <c r="G788" s="345"/>
      <c r="H788" s="525"/>
      <c r="I788" s="360"/>
      <c r="J788" s="467">
        <f t="shared" si="69"/>
        <v>1767</v>
      </c>
      <c r="K788" s="475">
        <f t="shared" si="70"/>
        <v>3.9266666666666667</v>
      </c>
      <c r="L788" s="467">
        <v>1</v>
      </c>
      <c r="M788" s="367">
        <v>1016</v>
      </c>
      <c r="N788" s="1573">
        <v>7</v>
      </c>
      <c r="O788" s="3058" t="s">
        <v>56</v>
      </c>
      <c r="P788" s="3059"/>
      <c r="Q788" s="387">
        <v>1</v>
      </c>
      <c r="R788" s="388">
        <v>0</v>
      </c>
      <c r="S788" s="1277" t="s">
        <v>57</v>
      </c>
      <c r="T788" s="390">
        <v>663</v>
      </c>
      <c r="U788" s="432"/>
      <c r="V788" s="2630">
        <f>VLOOKUP(M788,'[1]TABELA FRETE'!$A$6:$B$12,2,0)</f>
        <v>425.7</v>
      </c>
      <c r="W788" s="2631"/>
      <c r="X788" s="2632"/>
      <c r="Y788" s="2633"/>
    </row>
    <row r="789" spans="2:25" s="299" customFormat="1" ht="48" customHeight="1">
      <c r="B789" s="463">
        <v>0.70833333333333304</v>
      </c>
      <c r="C789" s="326"/>
      <c r="D789" s="998">
        <v>27</v>
      </c>
      <c r="E789" s="360">
        <v>1694</v>
      </c>
      <c r="F789" s="524" t="s">
        <v>201</v>
      </c>
      <c r="G789" s="360">
        <v>2224</v>
      </c>
      <c r="H789" s="474"/>
      <c r="I789" s="360"/>
      <c r="J789" s="467">
        <f t="shared" si="69"/>
        <v>3918</v>
      </c>
      <c r="K789" s="475">
        <f t="shared" si="70"/>
        <v>8.706666666666667</v>
      </c>
      <c r="L789" s="467">
        <v>1</v>
      </c>
      <c r="M789" s="376">
        <v>1016</v>
      </c>
      <c r="N789" s="377">
        <v>10</v>
      </c>
      <c r="O789" s="2628" t="s">
        <v>81</v>
      </c>
      <c r="P789" s="2629"/>
      <c r="Q789" s="446">
        <v>2</v>
      </c>
      <c r="R789" s="407">
        <v>0</v>
      </c>
      <c r="S789" s="591" t="s">
        <v>82</v>
      </c>
      <c r="T789" s="407">
        <v>606</v>
      </c>
      <c r="U789" s="307"/>
      <c r="V789" s="2630">
        <f>VLOOKUP(M789,'[1]TABELA FRETE'!$A$6:$B$12,2,0)</f>
        <v>425.7</v>
      </c>
      <c r="W789" s="2631"/>
      <c r="X789" s="2632"/>
      <c r="Y789" s="2633"/>
    </row>
    <row r="790" spans="2:25" s="299" customFormat="1" ht="48" customHeight="1">
      <c r="B790" s="463">
        <v>0.70833333333333304</v>
      </c>
      <c r="C790" s="326"/>
      <c r="D790" s="998">
        <v>7</v>
      </c>
      <c r="E790" s="375">
        <v>2088</v>
      </c>
      <c r="F790" s="524"/>
      <c r="G790" s="360"/>
      <c r="H790" s="525"/>
      <c r="I790" s="360"/>
      <c r="J790" s="396">
        <f t="shared" si="69"/>
        <v>2088</v>
      </c>
      <c r="K790" s="461">
        <f t="shared" si="70"/>
        <v>4.6399999999999997</v>
      </c>
      <c r="L790" s="396">
        <v>1</v>
      </c>
      <c r="M790" s="376">
        <v>1016</v>
      </c>
      <c r="N790" s="377">
        <v>7</v>
      </c>
      <c r="O790" s="2628" t="s">
        <v>141</v>
      </c>
      <c r="P790" s="2629"/>
      <c r="Q790" s="446">
        <v>2</v>
      </c>
      <c r="R790" s="407">
        <v>0</v>
      </c>
      <c r="S790" s="591" t="s">
        <v>142</v>
      </c>
      <c r="T790" s="407">
        <v>605</v>
      </c>
      <c r="U790" s="432"/>
      <c r="V790" s="2630">
        <f>VLOOKUP(M790,'[1]TABELA FRETE'!$A$6:$B$12,2,0)</f>
        <v>425.7</v>
      </c>
      <c r="W790" s="2631"/>
      <c r="X790" s="2632"/>
      <c r="Y790" s="2633"/>
    </row>
    <row r="791" spans="2:25" s="299" customFormat="1" ht="48" customHeight="1">
      <c r="B791" s="358">
        <v>0.70833333333333304</v>
      </c>
      <c r="C791" s="326"/>
      <c r="D791" s="1574">
        <v>48</v>
      </c>
      <c r="E791" s="360">
        <v>2207</v>
      </c>
      <c r="F791" s="539"/>
      <c r="G791" s="360"/>
      <c r="H791" s="363"/>
      <c r="I791" s="375"/>
      <c r="J791" s="365">
        <f t="shared" si="69"/>
        <v>2207</v>
      </c>
      <c r="K791" s="366">
        <f t="shared" si="70"/>
        <v>4.9044444444444446</v>
      </c>
      <c r="L791" s="365">
        <v>1</v>
      </c>
      <c r="M791" s="367">
        <v>1016</v>
      </c>
      <c r="N791" s="368">
        <v>8</v>
      </c>
      <c r="O791" s="2692" t="s">
        <v>88</v>
      </c>
      <c r="P791" s="2693"/>
      <c r="Q791" s="387">
        <v>1</v>
      </c>
      <c r="R791" s="388">
        <v>0</v>
      </c>
      <c r="S791" s="1277" t="s">
        <v>184</v>
      </c>
      <c r="T791" s="390">
        <v>799</v>
      </c>
      <c r="U791" s="307"/>
      <c r="V791" s="2630">
        <f>VLOOKUP(M791,'[1]TABELA FRETE'!$A$6:$B$12,2,0)</f>
        <v>425.7</v>
      </c>
      <c r="W791" s="2631"/>
      <c r="X791" s="2632"/>
      <c r="Y791" s="2633"/>
    </row>
    <row r="792" spans="2:25" s="299" customFormat="1" ht="48" customHeight="1">
      <c r="B792" s="408">
        <v>0.70833333333333304</v>
      </c>
      <c r="C792" s="326"/>
      <c r="D792" s="1023">
        <v>13</v>
      </c>
      <c r="E792" s="410">
        <v>3218</v>
      </c>
      <c r="F792" s="543"/>
      <c r="G792" s="544"/>
      <c r="H792" s="545"/>
      <c r="I792" s="544"/>
      <c r="J792" s="546">
        <f t="shared" si="69"/>
        <v>3218</v>
      </c>
      <c r="K792" s="547">
        <f t="shared" si="70"/>
        <v>7.1511111111111108</v>
      </c>
      <c r="L792" s="546">
        <v>1</v>
      </c>
      <c r="M792" s="667" t="s">
        <v>7</v>
      </c>
      <c r="N792" s="707">
        <v>12</v>
      </c>
      <c r="O792" s="2929" t="s">
        <v>68</v>
      </c>
      <c r="P792" s="2939"/>
      <c r="Q792" s="708">
        <v>1</v>
      </c>
      <c r="R792" s="710">
        <v>1</v>
      </c>
      <c r="S792" s="1569" t="s">
        <v>174</v>
      </c>
      <c r="T792" s="710">
        <v>808</v>
      </c>
      <c r="U792" s="307"/>
      <c r="V792" s="2630">
        <f>VLOOKUP(M792,'[1]TABELA FRETE'!$D$7:$E$12,2,0)</f>
        <v>1161.5999999999999</v>
      </c>
      <c r="W792" s="2631"/>
      <c r="X792" s="2632"/>
      <c r="Y792" s="2633"/>
    </row>
    <row r="793" spans="2:25" s="299" customFormat="1" ht="46.5" customHeight="1">
      <c r="B793" s="554" t="s">
        <v>108</v>
      </c>
      <c r="C793" s="555"/>
      <c r="D793" s="556"/>
      <c r="E793" s="557">
        <f>SUM(E755:E792)</f>
        <v>87400</v>
      </c>
      <c r="F793" s="557" t="s">
        <v>109</v>
      </c>
      <c r="G793" s="557">
        <f>SUM(G755:G792)</f>
        <v>31875</v>
      </c>
      <c r="H793" s="557" t="s">
        <v>109</v>
      </c>
      <c r="I793" s="319">
        <f>SUM(I755:I792)</f>
        <v>0</v>
      </c>
      <c r="J793" s="319">
        <f t="shared" si="69"/>
        <v>119275</v>
      </c>
      <c r="K793" s="558">
        <f>SUM(K755:K792)</f>
        <v>264.36888888888888</v>
      </c>
      <c r="L793" s="559">
        <f>SUM(L755:L792)</f>
        <v>35</v>
      </c>
      <c r="M793" s="560" t="s">
        <v>110</v>
      </c>
      <c r="N793" s="554">
        <f>SUM(N755:N792)</f>
        <v>324</v>
      </c>
      <c r="O793" s="557" t="s">
        <v>32</v>
      </c>
      <c r="P793" s="557"/>
      <c r="Q793" s="319"/>
      <c r="R793" s="561">
        <f>SUM(R755:R792)</f>
        <v>12</v>
      </c>
      <c r="S793" s="562" t="s">
        <v>111</v>
      </c>
      <c r="T793" s="563"/>
      <c r="U793" s="307"/>
      <c r="V793" s="2558">
        <f>SUM(V755:W792)</f>
        <v>15464.900000000005</v>
      </c>
      <c r="W793" s="2559"/>
      <c r="X793" s="2564">
        <f>COUNT(X755:Y792)</f>
        <v>0</v>
      </c>
      <c r="Y793" s="2565"/>
    </row>
    <row r="794" spans="2:25" s="299" customFormat="1" ht="39" customHeight="1">
      <c r="B794" s="2853" t="s">
        <v>112</v>
      </c>
      <c r="C794" s="2899"/>
      <c r="D794" s="2899"/>
      <c r="E794" s="2899"/>
      <c r="F794" s="2899"/>
      <c r="G794" s="2899"/>
      <c r="H794" s="2899"/>
      <c r="I794" s="2899"/>
      <c r="J794" s="2899"/>
      <c r="K794" s="564">
        <v>44</v>
      </c>
      <c r="L794" s="2899" t="s">
        <v>113</v>
      </c>
      <c r="M794" s="2854"/>
      <c r="N794" s="2915" t="s">
        <v>114</v>
      </c>
      <c r="O794" s="2916"/>
      <c r="P794" s="2916"/>
      <c r="Q794" s="2916"/>
      <c r="R794" s="2917"/>
      <c r="S794" s="2915" t="s">
        <v>115</v>
      </c>
      <c r="T794" s="2917"/>
      <c r="U794" s="307"/>
      <c r="V794" s="2560"/>
      <c r="W794" s="2561"/>
      <c r="X794" s="2566"/>
      <c r="Y794" s="2567"/>
    </row>
    <row r="795" spans="2:25" s="299" customFormat="1" ht="6.75" customHeight="1">
      <c r="B795" s="2570" t="s">
        <v>116</v>
      </c>
      <c r="C795" s="2571"/>
      <c r="D795" s="2571"/>
      <c r="E795" s="2574">
        <f>L793</f>
        <v>35</v>
      </c>
      <c r="F795" s="2570" t="s">
        <v>30</v>
      </c>
      <c r="G795" s="2571"/>
      <c r="H795" s="2574">
        <f>J793</f>
        <v>119275</v>
      </c>
      <c r="I795" s="2575"/>
      <c r="J795" s="2571" t="s">
        <v>117</v>
      </c>
      <c r="K795" s="2575">
        <f>H795/E795</f>
        <v>3407.8571428571427</v>
      </c>
      <c r="L795" s="2574" t="s">
        <v>118</v>
      </c>
      <c r="M795" s="2574"/>
      <c r="N795" s="2574"/>
      <c r="O795" s="2575">
        <v>44</v>
      </c>
      <c r="P795" s="565"/>
      <c r="Q795" s="565"/>
      <c r="R795" s="565"/>
      <c r="S795" s="565"/>
      <c r="T795" s="566"/>
      <c r="U795" s="307"/>
      <c r="V795" s="2562"/>
      <c r="W795" s="2563"/>
      <c r="X795" s="2568"/>
      <c r="Y795" s="2569"/>
    </row>
    <row r="796" spans="2:25" s="299" customFormat="1" ht="34.5" customHeight="1">
      <c r="B796" s="2572"/>
      <c r="C796" s="2573"/>
      <c r="D796" s="2573"/>
      <c r="E796" s="2576"/>
      <c r="F796" s="2572"/>
      <c r="G796" s="2573"/>
      <c r="H796" s="2576"/>
      <c r="I796" s="2577"/>
      <c r="J796" s="2573"/>
      <c r="K796" s="2577"/>
      <c r="L796" s="2576"/>
      <c r="M796" s="2576"/>
      <c r="N796" s="2576"/>
      <c r="O796" s="2577"/>
      <c r="P796" s="567"/>
      <c r="Q796" s="2663" t="s">
        <v>119</v>
      </c>
      <c r="R796" s="2664"/>
      <c r="S796" s="2664"/>
      <c r="T796" s="2665"/>
      <c r="U796" s="307"/>
      <c r="V796" s="2578" t="s">
        <v>120</v>
      </c>
      <c r="W796" s="2579"/>
      <c r="X796" s="2582" t="s">
        <v>121</v>
      </c>
      <c r="Y796" s="2583"/>
    </row>
    <row r="797" spans="2:25" s="299" customFormat="1" ht="40.5" customHeight="1">
      <c r="B797" s="2883" t="s">
        <v>122</v>
      </c>
      <c r="C797" s="2537" t="s">
        <v>33</v>
      </c>
      <c r="D797" s="2538"/>
      <c r="E797" s="2541" t="s">
        <v>123</v>
      </c>
      <c r="F797" s="2542"/>
      <c r="G797" s="2542"/>
      <c r="H797" s="2542"/>
      <c r="I797" s="2542"/>
      <c r="J797" s="2542"/>
      <c r="K797" s="2542"/>
      <c r="L797" s="2542"/>
      <c r="M797" s="2542"/>
      <c r="N797" s="2542"/>
      <c r="O797" s="2543"/>
      <c r="P797" s="568"/>
      <c r="Q797" s="2680" t="s">
        <v>124</v>
      </c>
      <c r="R797" s="2681"/>
      <c r="S797" s="2681"/>
      <c r="T797" s="2682"/>
      <c r="U797" s="307"/>
      <c r="V797" s="2578"/>
      <c r="W797" s="2579"/>
      <c r="X797" s="2582"/>
      <c r="Y797" s="2583"/>
    </row>
    <row r="798" spans="2:25" s="299" customFormat="1" ht="40.5" customHeight="1">
      <c r="B798" s="2884"/>
      <c r="C798" s="2539"/>
      <c r="D798" s="2540"/>
      <c r="E798" s="2544"/>
      <c r="F798" s="2545"/>
      <c r="G798" s="2545"/>
      <c r="H798" s="2545"/>
      <c r="I798" s="2545"/>
      <c r="J798" s="2545"/>
      <c r="K798" s="2545"/>
      <c r="L798" s="2545"/>
      <c r="M798" s="2545"/>
      <c r="N798" s="2545"/>
      <c r="O798" s="2546"/>
      <c r="P798" s="569"/>
      <c r="Q798" s="2683" t="s">
        <v>125</v>
      </c>
      <c r="R798" s="2684"/>
      <c r="S798" s="2684"/>
      <c r="T798" s="2685"/>
      <c r="U798" s="307"/>
      <c r="V798" s="2580"/>
      <c r="W798" s="2581"/>
      <c r="X798" s="2584"/>
      <c r="Y798" s="2585"/>
    </row>
    <row r="799" spans="2:25" s="299" customFormat="1" ht="40.5" customHeight="1">
      <c r="B799" s="1575" t="s">
        <v>9</v>
      </c>
      <c r="C799" s="2918">
        <f>COUNTIF(M755:M792,"kia")</f>
        <v>2</v>
      </c>
      <c r="D799" s="2919"/>
      <c r="E799" s="2547"/>
      <c r="F799" s="2548"/>
      <c r="G799" s="2548"/>
      <c r="H799" s="2548"/>
      <c r="I799" s="2548"/>
      <c r="J799" s="2548"/>
      <c r="K799" s="2548"/>
      <c r="L799" s="2548"/>
      <c r="M799" s="2548"/>
      <c r="N799" s="2548"/>
      <c r="O799" s="2549"/>
      <c r="P799" s="569"/>
      <c r="Q799" s="2686" t="s">
        <v>126</v>
      </c>
      <c r="R799" s="2687"/>
      <c r="S799" s="2687"/>
      <c r="T799" s="2688"/>
      <c r="U799" s="307"/>
      <c r="V799" s="321"/>
      <c r="W799" s="321"/>
      <c r="X799" s="321"/>
      <c r="Y799" s="321"/>
    </row>
    <row r="800" spans="2:25" s="299" customFormat="1" ht="40.5" customHeight="1">
      <c r="B800" s="1576" t="s">
        <v>8</v>
      </c>
      <c r="C800" s="2920">
        <f>COUNTIF(M755:M792,"iveco")</f>
        <v>2</v>
      </c>
      <c r="D800" s="2921"/>
      <c r="E800" s="2586" t="s">
        <v>127</v>
      </c>
      <c r="F800" s="2587"/>
      <c r="G800" s="2587"/>
      <c r="H800" s="2587"/>
      <c r="I800" s="2587"/>
      <c r="J800" s="2587"/>
      <c r="K800" s="2587"/>
      <c r="L800" s="2587"/>
      <c r="M800" s="2587"/>
      <c r="N800" s="2587"/>
      <c r="O800" s="2588"/>
      <c r="P800" s="569"/>
      <c r="Q800" s="2592" t="s">
        <v>128</v>
      </c>
      <c r="R800" s="2593"/>
      <c r="S800" s="2593"/>
      <c r="T800" s="2594"/>
      <c r="U800" s="307"/>
      <c r="V800" s="2689" t="s">
        <v>129</v>
      </c>
      <c r="W800" s="2690"/>
      <c r="X800" s="2690"/>
      <c r="Y800" s="2691"/>
    </row>
    <row r="801" spans="1:25" s="299" customFormat="1" ht="40.5" customHeight="1">
      <c r="B801" s="1576">
        <v>1016</v>
      </c>
      <c r="C801" s="2920">
        <f>COUNTIF(M755:M792,"1016")</f>
        <v>17</v>
      </c>
      <c r="D801" s="2921"/>
      <c r="E801" s="2589"/>
      <c r="F801" s="2590"/>
      <c r="G801" s="2590"/>
      <c r="H801" s="2590"/>
      <c r="I801" s="2590"/>
      <c r="J801" s="2590"/>
      <c r="K801" s="2590"/>
      <c r="L801" s="2590"/>
      <c r="M801" s="2590"/>
      <c r="N801" s="2590"/>
      <c r="O801" s="2591"/>
      <c r="P801" s="569"/>
      <c r="Q801" s="2595"/>
      <c r="R801" s="2596"/>
      <c r="S801" s="2596"/>
      <c r="T801" s="2597"/>
      <c r="U801" s="307"/>
      <c r="V801" s="2601" t="s">
        <v>130</v>
      </c>
      <c r="W801" s="2602"/>
      <c r="X801" s="2602"/>
      <c r="Y801" s="2603"/>
    </row>
    <row r="802" spans="1:25" s="299" customFormat="1" ht="40.5" customHeight="1">
      <c r="B802" s="1576" t="s">
        <v>7</v>
      </c>
      <c r="C802" s="2920">
        <f>COUNTIF(M755:M792,"toco")</f>
        <v>10</v>
      </c>
      <c r="D802" s="2921"/>
      <c r="E802" s="2607" t="s">
        <v>131</v>
      </c>
      <c r="F802" s="2608"/>
      <c r="G802" s="2608"/>
      <c r="H802" s="2608"/>
      <c r="I802" s="2608"/>
      <c r="J802" s="2608"/>
      <c r="K802" s="2608"/>
      <c r="L802" s="2608"/>
      <c r="M802" s="2608"/>
      <c r="N802" s="2608"/>
      <c r="O802" s="2609"/>
      <c r="P802" s="568"/>
      <c r="Q802" s="2598"/>
      <c r="R802" s="2599"/>
      <c r="S802" s="2599"/>
      <c r="T802" s="2600"/>
      <c r="U802" s="307"/>
      <c r="V802" s="2604"/>
      <c r="W802" s="2605"/>
      <c r="X802" s="2605"/>
      <c r="Y802" s="2606"/>
    </row>
    <row r="803" spans="1:25" s="299" customFormat="1" ht="40.5" customHeight="1">
      <c r="B803" s="1577" t="s">
        <v>6</v>
      </c>
      <c r="C803" s="2922">
        <f>COUNTIF(M755:M792,"truck")</f>
        <v>4</v>
      </c>
      <c r="D803" s="2923"/>
      <c r="E803" s="2555"/>
      <c r="F803" s="2556"/>
      <c r="G803" s="2556"/>
      <c r="H803" s="2556"/>
      <c r="I803" s="2556"/>
      <c r="J803" s="2556"/>
      <c r="K803" s="2556"/>
      <c r="L803" s="2556"/>
      <c r="M803" s="2556"/>
      <c r="N803" s="2556"/>
      <c r="O803" s="2557"/>
      <c r="P803" s="568"/>
      <c r="Q803" s="2610" t="s">
        <v>132</v>
      </c>
      <c r="R803" s="2611"/>
      <c r="S803" s="2611"/>
      <c r="T803" s="2612"/>
      <c r="U803" s="307"/>
      <c r="V803" s="2616" t="s">
        <v>133</v>
      </c>
      <c r="W803" s="2617"/>
      <c r="X803" s="2622">
        <f>SUM(E755:E792,G755:G792,I755:I792)</f>
        <v>119275</v>
      </c>
      <c r="Y803" s="2623"/>
    </row>
    <row r="804" spans="1:25" s="299" customFormat="1" ht="40.5" customHeight="1">
      <c r="B804" s="2883" t="s">
        <v>134</v>
      </c>
      <c r="C804" s="2539">
        <f>SUM(C799:D803)</f>
        <v>35</v>
      </c>
      <c r="D804" s="2540"/>
      <c r="E804" s="2552" t="s">
        <v>135</v>
      </c>
      <c r="F804" s="2553"/>
      <c r="G804" s="2553"/>
      <c r="H804" s="2553"/>
      <c r="I804" s="2553"/>
      <c r="J804" s="2553"/>
      <c r="K804" s="2553"/>
      <c r="L804" s="2553"/>
      <c r="M804" s="2553"/>
      <c r="N804" s="2553"/>
      <c r="O804" s="2554"/>
      <c r="P804" s="573"/>
      <c r="Q804" s="2610"/>
      <c r="R804" s="2611"/>
      <c r="S804" s="2611"/>
      <c r="T804" s="2612"/>
      <c r="U804" s="574"/>
      <c r="V804" s="2618"/>
      <c r="W804" s="2619"/>
      <c r="X804" s="2624"/>
      <c r="Y804" s="2625"/>
    </row>
    <row r="805" spans="1:25" s="299" customFormat="1" ht="40.5" customHeight="1">
      <c r="B805" s="2884"/>
      <c r="C805" s="2550"/>
      <c r="D805" s="2551"/>
      <c r="E805" s="2555"/>
      <c r="F805" s="2556"/>
      <c r="G805" s="2556"/>
      <c r="H805" s="2556"/>
      <c r="I805" s="2556"/>
      <c r="J805" s="2556"/>
      <c r="K805" s="2556"/>
      <c r="L805" s="2556"/>
      <c r="M805" s="2556"/>
      <c r="N805" s="2556"/>
      <c r="O805" s="2557"/>
      <c r="P805" s="575"/>
      <c r="Q805" s="2610"/>
      <c r="R805" s="2611"/>
      <c r="S805" s="2611"/>
      <c r="T805" s="2612"/>
      <c r="U805" s="574"/>
      <c r="V805" s="2618"/>
      <c r="W805" s="2619"/>
      <c r="X805" s="2624"/>
      <c r="Y805" s="2625"/>
    </row>
    <row r="806" spans="1:25" s="300" customFormat="1" ht="40.5" customHeight="1">
      <c r="B806" s="1578" t="s">
        <v>136</v>
      </c>
      <c r="C806" s="2847" t="s">
        <v>137</v>
      </c>
      <c r="D806" s="2848"/>
      <c r="E806" s="2848"/>
      <c r="F806" s="2848"/>
      <c r="G806" s="2848"/>
      <c r="H806" s="2848"/>
      <c r="I806" s="2848"/>
      <c r="J806" s="2848"/>
      <c r="K806" s="2848"/>
      <c r="L806" s="2848"/>
      <c r="M806" s="2848"/>
      <c r="N806" s="2848"/>
      <c r="O806" s="2849"/>
      <c r="P806" s="575"/>
      <c r="Q806" s="2613"/>
      <c r="R806" s="2614"/>
      <c r="S806" s="2614"/>
      <c r="T806" s="2615"/>
      <c r="V806" s="2620"/>
      <c r="W806" s="2621"/>
      <c r="X806" s="2626"/>
      <c r="Y806" s="2627"/>
    </row>
    <row r="812" spans="1:25" s="299" customFormat="1" ht="42.75" customHeight="1">
      <c r="A812" s="299" t="s">
        <v>17</v>
      </c>
      <c r="B812" s="2763"/>
      <c r="C812" s="2764"/>
      <c r="D812" s="2764"/>
      <c r="E812" s="2764"/>
      <c r="F812" s="2764"/>
      <c r="G812" s="2764"/>
      <c r="H812" s="2764"/>
      <c r="I812" s="2765"/>
      <c r="J812" s="3055" t="s">
        <v>18</v>
      </c>
      <c r="K812" s="3056"/>
      <c r="L812" s="3056"/>
      <c r="M812" s="3056"/>
      <c r="N812" s="3056"/>
      <c r="O812" s="3056"/>
      <c r="P812" s="3056"/>
      <c r="Q812" s="3057"/>
      <c r="R812" s="2718">
        <v>46156</v>
      </c>
      <c r="S812" s="2719"/>
      <c r="T812" s="2720"/>
      <c r="U812" s="307"/>
      <c r="V812" s="2700" t="s">
        <v>19</v>
      </c>
      <c r="W812" s="2701"/>
      <c r="X812" s="2700" t="s">
        <v>19</v>
      </c>
      <c r="Y812" s="2701"/>
    </row>
    <row r="813" spans="1:25" s="299" customFormat="1" ht="42.75" customHeight="1">
      <c r="B813" s="2766"/>
      <c r="C813" s="2767"/>
      <c r="D813" s="2767"/>
      <c r="E813" s="2767"/>
      <c r="F813" s="2767"/>
      <c r="G813" s="2767"/>
      <c r="H813" s="2767"/>
      <c r="I813" s="2768"/>
      <c r="J813" s="2724" t="s">
        <v>20</v>
      </c>
      <c r="K813" s="2725"/>
      <c r="L813" s="2725"/>
      <c r="M813" s="2725"/>
      <c r="N813" s="2725"/>
      <c r="O813" s="2725"/>
      <c r="P813" s="2725"/>
      <c r="Q813" s="2726"/>
      <c r="R813" s="2721"/>
      <c r="S813" s="2722"/>
      <c r="T813" s="2723"/>
      <c r="U813" s="307"/>
      <c r="V813" s="2702"/>
      <c r="W813" s="2703"/>
      <c r="X813" s="2702"/>
      <c r="Y813" s="2703"/>
    </row>
    <row r="814" spans="1:25" s="299" customFormat="1" ht="6" customHeight="1">
      <c r="B814" s="1150"/>
      <c r="C814" s="1151"/>
      <c r="D814" s="1149"/>
      <c r="E814" s="1149"/>
      <c r="F814" s="1149"/>
      <c r="G814" s="1149"/>
      <c r="H814" s="1149"/>
      <c r="I814" s="1149"/>
      <c r="J814" s="2727"/>
      <c r="K814" s="2728"/>
      <c r="L814" s="2728"/>
      <c r="M814" s="2728"/>
      <c r="N814" s="2728"/>
      <c r="O814" s="2728"/>
      <c r="P814" s="2728"/>
      <c r="Q814" s="2729"/>
      <c r="R814" s="1579" t="s">
        <v>21</v>
      </c>
      <c r="S814" s="1579"/>
      <c r="T814" s="1580"/>
      <c r="U814" s="307"/>
      <c r="V814" s="309"/>
      <c r="W814" s="310"/>
      <c r="X814" s="309"/>
      <c r="Y814" s="310"/>
    </row>
    <row r="815" spans="1:25" s="299" customFormat="1" ht="54" customHeight="1">
      <c r="B815" s="2881" t="s">
        <v>22</v>
      </c>
      <c r="C815" s="315"/>
      <c r="D815" s="2853" t="s">
        <v>23</v>
      </c>
      <c r="E815" s="2854"/>
      <c r="F815" s="2853" t="s">
        <v>24</v>
      </c>
      <c r="G815" s="2854"/>
      <c r="H815" s="2853" t="s">
        <v>25</v>
      </c>
      <c r="I815" s="2854"/>
      <c r="J815" s="2730"/>
      <c r="K815" s="2731"/>
      <c r="L815" s="2731"/>
      <c r="M815" s="2731"/>
      <c r="N815" s="2731"/>
      <c r="O815" s="2731"/>
      <c r="P815" s="2731"/>
      <c r="Q815" s="2732"/>
      <c r="R815" s="2895" t="s">
        <v>26</v>
      </c>
      <c r="S815" s="2965"/>
      <c r="T815" s="1581">
        <f>L857</f>
        <v>37</v>
      </c>
      <c r="U815" s="321"/>
      <c r="V815" s="2525" t="s">
        <v>27</v>
      </c>
      <c r="W815" s="2526"/>
      <c r="X815" s="2525" t="s">
        <v>28</v>
      </c>
      <c r="Y815" s="2526"/>
    </row>
    <row r="816" spans="1:25" s="299" customFormat="1" ht="54" customHeight="1">
      <c r="B816" s="2882"/>
      <c r="C816" s="315"/>
      <c r="D816" s="323" t="s">
        <v>29</v>
      </c>
      <c r="E816" s="323" t="s">
        <v>30</v>
      </c>
      <c r="F816" s="323" t="s">
        <v>29</v>
      </c>
      <c r="G816" s="323" t="s">
        <v>30</v>
      </c>
      <c r="H816" s="323" t="s">
        <v>29</v>
      </c>
      <c r="I816" s="323" t="s">
        <v>30</v>
      </c>
      <c r="J816" s="317" t="s">
        <v>31</v>
      </c>
      <c r="K816" s="323" t="s">
        <v>32</v>
      </c>
      <c r="L816" s="323" t="s">
        <v>33</v>
      </c>
      <c r="M816" s="323" t="s">
        <v>34</v>
      </c>
      <c r="N816" s="323" t="s">
        <v>32</v>
      </c>
      <c r="O816" s="316" t="s">
        <v>35</v>
      </c>
      <c r="P816" s="317"/>
      <c r="Q816" s="323" t="s">
        <v>36</v>
      </c>
      <c r="R816" s="323" t="s">
        <v>37</v>
      </c>
      <c r="S816" s="323" t="s">
        <v>38</v>
      </c>
      <c r="T816" s="1582" t="s">
        <v>39</v>
      </c>
      <c r="U816" s="321"/>
      <c r="V816" s="2710"/>
      <c r="W816" s="2711"/>
      <c r="X816" s="2710"/>
      <c r="Y816" s="2711"/>
    </row>
    <row r="817" spans="2:25" s="300" customFormat="1" ht="48" customHeight="1">
      <c r="B817" s="325">
        <v>0.41666666666666702</v>
      </c>
      <c r="C817" s="326"/>
      <c r="D817" s="327">
        <v>28</v>
      </c>
      <c r="E817" s="328">
        <v>1321</v>
      </c>
      <c r="F817" s="329">
        <v>29</v>
      </c>
      <c r="G817" s="330">
        <v>1777</v>
      </c>
      <c r="H817" s="587"/>
      <c r="I817" s="330"/>
      <c r="J817" s="332">
        <f t="shared" ref="J817:J820" si="71">E817+G817+I817</f>
        <v>3098</v>
      </c>
      <c r="K817" s="333">
        <f t="shared" ref="K817:K820" si="72">J817/450</f>
        <v>6.8844444444444441</v>
      </c>
      <c r="L817" s="332">
        <v>1</v>
      </c>
      <c r="M817" s="439">
        <v>1016</v>
      </c>
      <c r="N817" s="377">
        <v>7</v>
      </c>
      <c r="O817" s="2940" t="s">
        <v>56</v>
      </c>
      <c r="P817" s="2941"/>
      <c r="Q817" s="446">
        <v>1</v>
      </c>
      <c r="R817" s="442">
        <v>0</v>
      </c>
      <c r="S817" s="591" t="s">
        <v>57</v>
      </c>
      <c r="T817" s="442">
        <v>663</v>
      </c>
      <c r="U817" s="307"/>
      <c r="V817" s="2630">
        <f>VLOOKUP(M817,'[1]TABELA FRETE'!$A$6:$B$12,2,0)</f>
        <v>425.7</v>
      </c>
      <c r="W817" s="2631"/>
      <c r="X817" s="2632"/>
      <c r="Y817" s="2633"/>
    </row>
    <row r="818" spans="2:25" s="300" customFormat="1" ht="63" customHeight="1">
      <c r="B818" s="463">
        <v>0.41666666666666702</v>
      </c>
      <c r="C818" s="326"/>
      <c r="D818" s="1548" t="s">
        <v>198</v>
      </c>
      <c r="E818" s="345">
        <v>1000</v>
      </c>
      <c r="F818" s="1548" t="s">
        <v>78</v>
      </c>
      <c r="G818" s="349">
        <v>1000</v>
      </c>
      <c r="H818" s="2897" t="s">
        <v>226</v>
      </c>
      <c r="I818" s="2898"/>
      <c r="J818" s="365">
        <f t="shared" si="71"/>
        <v>2000</v>
      </c>
      <c r="K818" s="366">
        <f t="shared" si="72"/>
        <v>4.4444444444444446</v>
      </c>
      <c r="L818" s="365">
        <v>1</v>
      </c>
      <c r="M818" s="594" t="s">
        <v>8</v>
      </c>
      <c r="N818" s="595">
        <v>4</v>
      </c>
      <c r="O818" s="2628" t="s">
        <v>96</v>
      </c>
      <c r="P818" s="2629"/>
      <c r="Q818" s="596">
        <v>2</v>
      </c>
      <c r="R818" s="597">
        <v>0</v>
      </c>
      <c r="S818" s="598" t="s">
        <v>97</v>
      </c>
      <c r="T818" s="597">
        <v>456</v>
      </c>
      <c r="U818" s="307"/>
      <c r="V818" s="2630">
        <f>VLOOKUP(M818,'[1]TABELA FRETE'!$A$6:$B$12,2,0)</f>
        <v>286</v>
      </c>
      <c r="W818" s="2631"/>
      <c r="X818" s="2632"/>
      <c r="Y818" s="2633"/>
    </row>
    <row r="819" spans="2:25" s="299" customFormat="1" ht="48" customHeight="1">
      <c r="B819" s="463">
        <v>0.41666666666666702</v>
      </c>
      <c r="C819" s="326"/>
      <c r="D819" s="359">
        <v>7</v>
      </c>
      <c r="E819" s="360">
        <v>1000</v>
      </c>
      <c r="F819" s="374"/>
      <c r="G819" s="375"/>
      <c r="H819" s="363"/>
      <c r="I819" s="364"/>
      <c r="J819" s="365">
        <f t="shared" si="71"/>
        <v>1000</v>
      </c>
      <c r="K819" s="366">
        <f t="shared" si="72"/>
        <v>2.2222222222222223</v>
      </c>
      <c r="L819" s="365">
        <v>1</v>
      </c>
      <c r="M819" s="1275" t="s">
        <v>9</v>
      </c>
      <c r="N819" s="1276">
        <v>3</v>
      </c>
      <c r="O819" s="3053" t="s">
        <v>189</v>
      </c>
      <c r="P819" s="3054"/>
      <c r="Q819" s="862">
        <v>1</v>
      </c>
      <c r="R819" s="863">
        <v>0</v>
      </c>
      <c r="S819" s="864" t="s">
        <v>190</v>
      </c>
      <c r="T819" s="861">
        <v>738</v>
      </c>
      <c r="U819" s="307"/>
      <c r="V819" s="2630">
        <f>VLOOKUP(M819,'[1]TABELA FRETE'!$A$6:$B$12,2,0)</f>
        <v>250.8</v>
      </c>
      <c r="W819" s="2631"/>
      <c r="X819" s="2632"/>
      <c r="Y819" s="2633"/>
    </row>
    <row r="820" spans="2:25" s="299" customFormat="1" ht="48" customHeight="1">
      <c r="B820" s="463">
        <v>0.41666666666666702</v>
      </c>
      <c r="C820" s="326"/>
      <c r="D820" s="359">
        <v>11</v>
      </c>
      <c r="E820" s="392">
        <v>3000</v>
      </c>
      <c r="F820" s="687"/>
      <c r="G820" s="395"/>
      <c r="H820" s="394"/>
      <c r="I820" s="727"/>
      <c r="J820" s="365">
        <f t="shared" si="71"/>
        <v>3000</v>
      </c>
      <c r="K820" s="366">
        <f t="shared" si="72"/>
        <v>6.666666666666667</v>
      </c>
      <c r="L820" s="365">
        <v>1</v>
      </c>
      <c r="M820" s="466">
        <v>1016</v>
      </c>
      <c r="N820" s="363">
        <v>6</v>
      </c>
      <c r="O820" s="3047" t="s">
        <v>139</v>
      </c>
      <c r="P820" s="3048"/>
      <c r="Q820" s="467">
        <v>1</v>
      </c>
      <c r="R820" s="1583">
        <v>0</v>
      </c>
      <c r="S820" s="1584" t="s">
        <v>140</v>
      </c>
      <c r="T820" s="469">
        <v>809</v>
      </c>
      <c r="U820" s="307"/>
      <c r="V820" s="2630">
        <f>VLOOKUP(M820,'[1]TABELA FRETE'!$A$6:$B$12,2,0)</f>
        <v>425.7</v>
      </c>
      <c r="W820" s="2631"/>
      <c r="X820" s="2632"/>
      <c r="Y820" s="2633"/>
    </row>
    <row r="821" spans="2:25" s="299" customFormat="1" ht="48" customHeight="1">
      <c r="B821" s="408">
        <v>0.41666666666666702</v>
      </c>
      <c r="C821" s="326"/>
      <c r="D821" s="665">
        <v>11</v>
      </c>
      <c r="E821" s="410">
        <v>1203</v>
      </c>
      <c r="F821" s="666"/>
      <c r="G821" s="544"/>
      <c r="H821" s="545"/>
      <c r="I821" s="705"/>
      <c r="J821" s="413">
        <f t="shared" ref="J821" si="73">E821+G821+I821</f>
        <v>1203</v>
      </c>
      <c r="K821" s="414">
        <f t="shared" ref="K821" si="74">J821/450</f>
        <v>2.6733333333333333</v>
      </c>
      <c r="L821" s="413">
        <v>1</v>
      </c>
      <c r="M821" s="604" t="s">
        <v>9</v>
      </c>
      <c r="N821" s="605">
        <v>3</v>
      </c>
      <c r="O821" s="2855" t="s">
        <v>98</v>
      </c>
      <c r="P821" s="2856"/>
      <c r="Q821" s="551">
        <v>1</v>
      </c>
      <c r="R821" s="607">
        <v>0</v>
      </c>
      <c r="S821" s="608" t="s">
        <v>99</v>
      </c>
      <c r="T821" s="606">
        <v>496</v>
      </c>
      <c r="U821" s="307"/>
      <c r="V821" s="2630">
        <f>VLOOKUP(M821,'[1]TABELA FRETE'!$A$6:$B$12,2,0)</f>
        <v>250.8</v>
      </c>
      <c r="W821" s="2631"/>
      <c r="X821" s="2694"/>
      <c r="Y821" s="2695"/>
    </row>
    <row r="822" spans="2:25" s="301" customFormat="1" ht="6" customHeight="1">
      <c r="B822" s="326"/>
      <c r="C822" s="326"/>
      <c r="D822" s="421"/>
      <c r="E822" s="422"/>
      <c r="F822" s="421"/>
      <c r="G822" s="423"/>
      <c r="H822" s="424"/>
      <c r="I822" s="423"/>
      <c r="J822" s="423"/>
      <c r="K822" s="425"/>
      <c r="L822" s="423"/>
      <c r="M822" s="885"/>
      <c r="N822" s="886"/>
      <c r="O822" s="428"/>
      <c r="P822" s="428"/>
      <c r="Q822" s="429"/>
      <c r="R822" s="429"/>
      <c r="S822" s="430"/>
      <c r="T822" s="428"/>
      <c r="U822" s="432"/>
      <c r="V822" s="433"/>
      <c r="W822" s="433"/>
      <c r="X822" s="434"/>
      <c r="Y822" s="434"/>
    </row>
    <row r="823" spans="2:25" s="299" customFormat="1" ht="48" customHeight="1">
      <c r="B823" s="325">
        <v>0.5</v>
      </c>
      <c r="C823" s="326"/>
      <c r="D823" s="327">
        <v>8</v>
      </c>
      <c r="E823" s="328">
        <v>5331</v>
      </c>
      <c r="F823" s="1048"/>
      <c r="G823" s="437"/>
      <c r="H823" s="438"/>
      <c r="I823" s="330"/>
      <c r="J823" s="332">
        <f t="shared" ref="J823:J846" si="75">E823+G823+I823</f>
        <v>5331</v>
      </c>
      <c r="K823" s="333">
        <f t="shared" ref="K823:K846" si="76">J823/450</f>
        <v>11.846666666666666</v>
      </c>
      <c r="L823" s="332">
        <v>1</v>
      </c>
      <c r="M823" s="495" t="s">
        <v>7</v>
      </c>
      <c r="N823" s="496">
        <v>12</v>
      </c>
      <c r="O823" s="3051" t="s">
        <v>62</v>
      </c>
      <c r="P823" s="3052"/>
      <c r="Q823" s="1559">
        <v>2</v>
      </c>
      <c r="R823" s="500">
        <v>0</v>
      </c>
      <c r="S823" s="685" t="s">
        <v>63</v>
      </c>
      <c r="T823" s="442">
        <v>740</v>
      </c>
      <c r="U823" s="307"/>
      <c r="V823" s="2630">
        <f>VLOOKUP(M823,'[1]TABELA FRETE'!$A$6:$B$12,2,0)</f>
        <v>466.4</v>
      </c>
      <c r="W823" s="2631"/>
      <c r="X823" s="2632"/>
      <c r="Y823" s="2633"/>
    </row>
    <row r="824" spans="2:25" s="299" customFormat="1" ht="48" customHeight="1">
      <c r="B824" s="343">
        <v>0.5</v>
      </c>
      <c r="C824" s="326"/>
      <c r="D824" s="344">
        <v>14</v>
      </c>
      <c r="E824" s="345">
        <v>2543</v>
      </c>
      <c r="F824" s="1585"/>
      <c r="G824" s="347"/>
      <c r="H824" s="348"/>
      <c r="I824" s="349"/>
      <c r="J824" s="350">
        <f t="shared" si="75"/>
        <v>2543</v>
      </c>
      <c r="K824" s="351">
        <f t="shared" si="76"/>
        <v>5.6511111111111108</v>
      </c>
      <c r="L824" s="350">
        <v>1</v>
      </c>
      <c r="M824" s="466">
        <v>1016</v>
      </c>
      <c r="N824" s="363">
        <v>7</v>
      </c>
      <c r="O824" s="3047" t="s">
        <v>141</v>
      </c>
      <c r="P824" s="3048"/>
      <c r="Q824" s="467">
        <v>2</v>
      </c>
      <c r="R824" s="1583">
        <v>0</v>
      </c>
      <c r="S824" s="1584" t="s">
        <v>142</v>
      </c>
      <c r="T824" s="469">
        <v>605</v>
      </c>
      <c r="U824" s="307"/>
      <c r="V824" s="2630">
        <f>VLOOKUP(M824,'[1]TABELA FRETE'!$A$6:$B$12,2,0)</f>
        <v>425.7</v>
      </c>
      <c r="W824" s="2631"/>
      <c r="X824" s="2632"/>
      <c r="Y824" s="2633"/>
    </row>
    <row r="825" spans="2:25" s="299" customFormat="1" ht="48" customHeight="1">
      <c r="B825" s="343">
        <v>0.5</v>
      </c>
      <c r="C825" s="326"/>
      <c r="D825" s="359">
        <v>12</v>
      </c>
      <c r="E825" s="364">
        <v>2424</v>
      </c>
      <c r="F825" s="374"/>
      <c r="G825" s="375"/>
      <c r="H825" s="348"/>
      <c r="I825" s="349"/>
      <c r="J825" s="365">
        <f t="shared" si="75"/>
        <v>2424</v>
      </c>
      <c r="K825" s="366">
        <f t="shared" si="76"/>
        <v>5.3866666666666667</v>
      </c>
      <c r="L825" s="365">
        <v>1</v>
      </c>
      <c r="M825" s="367">
        <v>1016</v>
      </c>
      <c r="N825" s="368">
        <v>8</v>
      </c>
      <c r="O825" s="2692" t="s">
        <v>88</v>
      </c>
      <c r="P825" s="2693"/>
      <c r="Q825" s="387">
        <v>1</v>
      </c>
      <c r="R825" s="388">
        <v>0</v>
      </c>
      <c r="S825" s="663" t="s">
        <v>89</v>
      </c>
      <c r="T825" s="390">
        <v>799</v>
      </c>
      <c r="U825" s="307"/>
      <c r="V825" s="2630">
        <f>VLOOKUP(M825,'[1]TABELA FRETE'!$A$6:$B$12,2,0)</f>
        <v>425.7</v>
      </c>
      <c r="W825" s="2631"/>
      <c r="X825" s="2632"/>
      <c r="Y825" s="2633"/>
    </row>
    <row r="826" spans="2:25" s="299" customFormat="1" ht="48" customHeight="1">
      <c r="B826" s="343">
        <v>0.5</v>
      </c>
      <c r="C826" s="326"/>
      <c r="D826" s="344">
        <v>9</v>
      </c>
      <c r="E826" s="345">
        <v>1681</v>
      </c>
      <c r="F826" s="628">
        <v>1</v>
      </c>
      <c r="G826" s="455">
        <v>2094</v>
      </c>
      <c r="H826" s="348"/>
      <c r="I826" s="364"/>
      <c r="J826" s="365">
        <f t="shared" si="75"/>
        <v>3775</v>
      </c>
      <c r="K826" s="351">
        <f t="shared" si="76"/>
        <v>8.3888888888888893</v>
      </c>
      <c r="L826" s="365">
        <v>1</v>
      </c>
      <c r="M826" s="367">
        <v>1016</v>
      </c>
      <c r="N826" s="368">
        <v>10</v>
      </c>
      <c r="O826" s="3058" t="s">
        <v>81</v>
      </c>
      <c r="P826" s="3059"/>
      <c r="Q826" s="387">
        <v>2</v>
      </c>
      <c r="R826" s="388">
        <v>0</v>
      </c>
      <c r="S826" s="663" t="s">
        <v>82</v>
      </c>
      <c r="T826" s="390">
        <v>606</v>
      </c>
      <c r="U826" s="307"/>
      <c r="V826" s="2630">
        <f>VLOOKUP(M826,'[1]TABELA FRETE'!$A$6:$B$12,2,0)</f>
        <v>425.7</v>
      </c>
      <c r="W826" s="2631"/>
      <c r="X826" s="2632"/>
      <c r="Y826" s="2633"/>
    </row>
    <row r="827" spans="2:25" s="299" customFormat="1" ht="48" customHeight="1">
      <c r="B827" s="343">
        <v>0.5</v>
      </c>
      <c r="C827" s="326"/>
      <c r="D827" s="359">
        <v>38</v>
      </c>
      <c r="E827" s="364">
        <v>3381</v>
      </c>
      <c r="F827" s="374"/>
      <c r="G827" s="375"/>
      <c r="H827" s="348"/>
      <c r="I827" s="349"/>
      <c r="J827" s="365">
        <f t="shared" si="75"/>
        <v>3381</v>
      </c>
      <c r="K827" s="366">
        <f t="shared" si="76"/>
        <v>7.5133333333333336</v>
      </c>
      <c r="L827" s="365">
        <v>1</v>
      </c>
      <c r="M827" s="376">
        <v>1016</v>
      </c>
      <c r="N827" s="377">
        <v>8</v>
      </c>
      <c r="O827" s="2628" t="s">
        <v>46</v>
      </c>
      <c r="P827" s="2629"/>
      <c r="Q827" s="446">
        <v>2</v>
      </c>
      <c r="R827" s="407">
        <v>0</v>
      </c>
      <c r="S827" s="591" t="s">
        <v>47</v>
      </c>
      <c r="T827" s="407">
        <v>48</v>
      </c>
      <c r="U827" s="307"/>
      <c r="V827" s="2630">
        <f>VLOOKUP(M827,'[1]TABELA FRETE'!$A$6:$B$12,2,0)</f>
        <v>425.7</v>
      </c>
      <c r="W827" s="2631"/>
      <c r="X827" s="2632"/>
      <c r="Y827" s="2633"/>
    </row>
    <row r="828" spans="2:25" s="299" customFormat="1" ht="48" customHeight="1">
      <c r="B828" s="343">
        <v>0.5</v>
      </c>
      <c r="C828" s="326"/>
      <c r="D828" s="359">
        <v>34</v>
      </c>
      <c r="E828" s="360">
        <v>6718</v>
      </c>
      <c r="F828" s="374"/>
      <c r="G828" s="375"/>
      <c r="H828" s="363"/>
      <c r="I828" s="364"/>
      <c r="J828" s="365">
        <f t="shared" si="75"/>
        <v>6718</v>
      </c>
      <c r="K828" s="366">
        <v>14</v>
      </c>
      <c r="L828" s="365">
        <v>1</v>
      </c>
      <c r="M828" s="367" t="s">
        <v>6</v>
      </c>
      <c r="N828" s="368">
        <v>14</v>
      </c>
      <c r="O828" s="2692" t="s">
        <v>54</v>
      </c>
      <c r="P828" s="2693"/>
      <c r="Q828" s="387">
        <v>1</v>
      </c>
      <c r="R828" s="390">
        <v>0</v>
      </c>
      <c r="S828" s="663" t="s">
        <v>55</v>
      </c>
      <c r="T828" s="407">
        <v>590</v>
      </c>
      <c r="U828" s="307"/>
      <c r="V828" s="2630">
        <f>VLOOKUP(M828,'[1]TABELA FRETE'!$A$6:$B$12,2,0)</f>
        <v>489.5</v>
      </c>
      <c r="W828" s="2631"/>
      <c r="X828" s="2632"/>
      <c r="Y828" s="2633"/>
    </row>
    <row r="829" spans="2:25" s="299" customFormat="1" ht="48" customHeight="1">
      <c r="B829" s="343">
        <v>0.5</v>
      </c>
      <c r="C829" s="326"/>
      <c r="D829" s="359">
        <v>43</v>
      </c>
      <c r="E829" s="360">
        <v>3377</v>
      </c>
      <c r="F829" s="374">
        <v>35</v>
      </c>
      <c r="G829" s="375">
        <v>2591</v>
      </c>
      <c r="H829" s="363"/>
      <c r="I829" s="364"/>
      <c r="J829" s="365">
        <f t="shared" si="75"/>
        <v>5968</v>
      </c>
      <c r="K829" s="366">
        <f t="shared" si="76"/>
        <v>13.262222222222222</v>
      </c>
      <c r="L829" s="365">
        <v>1</v>
      </c>
      <c r="M829" s="376" t="s">
        <v>6</v>
      </c>
      <c r="N829" s="377">
        <v>14</v>
      </c>
      <c r="O829" s="2628" t="s">
        <v>143</v>
      </c>
      <c r="P829" s="2629"/>
      <c r="Q829" s="387">
        <v>1</v>
      </c>
      <c r="R829" s="407">
        <v>1</v>
      </c>
      <c r="S829" s="591" t="s">
        <v>69</v>
      </c>
      <c r="T829" s="407">
        <v>184422</v>
      </c>
      <c r="U829" s="307"/>
      <c r="V829" s="2630">
        <f>VLOOKUP(M829,'[1]TABELA FRETE'!$A$6:$B$12,2,0)</f>
        <v>489.5</v>
      </c>
      <c r="W829" s="2631"/>
      <c r="X829" s="2632"/>
      <c r="Y829" s="2633"/>
    </row>
    <row r="830" spans="2:25" s="299" customFormat="1" ht="48" customHeight="1">
      <c r="B830" s="343">
        <v>0.5</v>
      </c>
      <c r="C830" s="326"/>
      <c r="D830" s="359">
        <v>45</v>
      </c>
      <c r="E830" s="360">
        <v>3867</v>
      </c>
      <c r="F830" s="346"/>
      <c r="G830" s="347"/>
      <c r="H830" s="363"/>
      <c r="I830" s="364"/>
      <c r="J830" s="365">
        <f t="shared" si="75"/>
        <v>3867</v>
      </c>
      <c r="K830" s="366">
        <f t="shared" si="76"/>
        <v>8.5933333333333337</v>
      </c>
      <c r="L830" s="365">
        <v>1</v>
      </c>
      <c r="M830" s="1586" t="s">
        <v>7</v>
      </c>
      <c r="N830" s="1587">
        <v>10</v>
      </c>
      <c r="O830" s="3064" t="s">
        <v>246</v>
      </c>
      <c r="P830" s="3065"/>
      <c r="Q830" s="1588">
        <v>1</v>
      </c>
      <c r="R830" s="1589">
        <v>0</v>
      </c>
      <c r="S830" s="1590" t="s">
        <v>41</v>
      </c>
      <c r="T830" s="1591">
        <v>353</v>
      </c>
      <c r="U830" s="307"/>
      <c r="V830" s="2630">
        <f>VLOOKUP(M830,'[1]TABELA FRETE'!$A$6:$B$12,2,0)</f>
        <v>466.4</v>
      </c>
      <c r="W830" s="2631"/>
      <c r="X830" s="2632"/>
      <c r="Y830" s="2633"/>
    </row>
    <row r="831" spans="2:25" s="299" customFormat="1" ht="48" customHeight="1">
      <c r="B831" s="343">
        <v>0.5</v>
      </c>
      <c r="C831" s="326"/>
      <c r="D831" s="359">
        <v>47</v>
      </c>
      <c r="E831" s="360">
        <v>3244</v>
      </c>
      <c r="F831" s="361"/>
      <c r="G831" s="362"/>
      <c r="H831" s="363"/>
      <c r="I831" s="364"/>
      <c r="J831" s="365">
        <f t="shared" si="75"/>
        <v>3244</v>
      </c>
      <c r="K831" s="366">
        <f t="shared" si="76"/>
        <v>7.2088888888888887</v>
      </c>
      <c r="L831" s="365">
        <v>1</v>
      </c>
      <c r="M831" s="1586" t="s">
        <v>7</v>
      </c>
      <c r="N831" s="1587">
        <v>10</v>
      </c>
      <c r="O831" s="3064" t="s">
        <v>40</v>
      </c>
      <c r="P831" s="3065"/>
      <c r="Q831" s="1588">
        <v>1</v>
      </c>
      <c r="R831" s="1589">
        <v>0</v>
      </c>
      <c r="S831" s="1590" t="s">
        <v>145</v>
      </c>
      <c r="T831" s="1591">
        <v>353</v>
      </c>
      <c r="U831" s="307"/>
      <c r="V831" s="2630">
        <f>VLOOKUP(M831,'[1]TABELA FRETE'!$A$6:$B$12,2,0)</f>
        <v>466.4</v>
      </c>
      <c r="W831" s="2631"/>
      <c r="X831" s="2632"/>
      <c r="Y831" s="2633"/>
    </row>
    <row r="832" spans="2:25" s="299" customFormat="1" ht="48" customHeight="1">
      <c r="B832" s="664">
        <v>0.5</v>
      </c>
      <c r="C832" s="326"/>
      <c r="D832" s="409">
        <v>40</v>
      </c>
      <c r="E832" s="410">
        <v>5088</v>
      </c>
      <c r="F832" s="411"/>
      <c r="G832" s="410"/>
      <c r="H832" s="412"/>
      <c r="I832" s="410"/>
      <c r="J832" s="413">
        <f t="shared" si="75"/>
        <v>5088</v>
      </c>
      <c r="K832" s="414">
        <f t="shared" si="76"/>
        <v>11.306666666666667</v>
      </c>
      <c r="L832" s="413">
        <v>1</v>
      </c>
      <c r="M832" s="415" t="s">
        <v>7</v>
      </c>
      <c r="N832" s="416">
        <v>12</v>
      </c>
      <c r="O832" s="2855" t="s">
        <v>76</v>
      </c>
      <c r="P832" s="2856"/>
      <c r="Q832" s="417">
        <v>1</v>
      </c>
      <c r="R832" s="418">
        <v>1</v>
      </c>
      <c r="S832" s="1592" t="s">
        <v>77</v>
      </c>
      <c r="T832" s="420">
        <v>184708</v>
      </c>
      <c r="U832" s="307"/>
      <c r="V832" s="2630">
        <f>VLOOKUP(M832,'[1]TABELA FRETE'!$A$6:$B$12,2,0)</f>
        <v>466.4</v>
      </c>
      <c r="W832" s="2631"/>
      <c r="X832" s="2632"/>
      <c r="Y832" s="2633"/>
    </row>
    <row r="833" spans="2:25" s="301" customFormat="1" ht="6" customHeight="1">
      <c r="B833" s="326"/>
      <c r="C833" s="326"/>
      <c r="D833" s="421"/>
      <c r="E833" s="422"/>
      <c r="F833" s="421"/>
      <c r="G833" s="423"/>
      <c r="H833" s="424"/>
      <c r="I833" s="423"/>
      <c r="J833" s="423"/>
      <c r="K833" s="425"/>
      <c r="L833" s="423"/>
      <c r="M833" s="885"/>
      <c r="N833" s="886"/>
      <c r="O833" s="428"/>
      <c r="P833" s="428"/>
      <c r="Q833" s="429"/>
      <c r="R833" s="429"/>
      <c r="S833" s="430"/>
      <c r="T833" s="428"/>
      <c r="U833" s="432"/>
      <c r="V833" s="433"/>
      <c r="W833" s="433"/>
      <c r="X833" s="434"/>
      <c r="Y833" s="434"/>
    </row>
    <row r="834" spans="2:25" s="299" customFormat="1" ht="48" customHeight="1">
      <c r="B834" s="325">
        <v>0.58333333333333304</v>
      </c>
      <c r="C834" s="326"/>
      <c r="D834" s="435">
        <v>5</v>
      </c>
      <c r="E834" s="328">
        <v>2072</v>
      </c>
      <c r="F834" s="1560">
        <v>20</v>
      </c>
      <c r="G834" s="1561">
        <v>3021</v>
      </c>
      <c r="H834" s="714"/>
      <c r="I834" s="713"/>
      <c r="J834" s="332">
        <f t="shared" si="75"/>
        <v>5093</v>
      </c>
      <c r="K834" s="333">
        <f t="shared" si="76"/>
        <v>11.317777777777778</v>
      </c>
      <c r="L834" s="332">
        <v>1</v>
      </c>
      <c r="M834" s="1593" t="s">
        <v>7</v>
      </c>
      <c r="N834" s="1594">
        <v>12</v>
      </c>
      <c r="O834" s="3051" t="s">
        <v>153</v>
      </c>
      <c r="P834" s="3052"/>
      <c r="Q834" s="441">
        <v>1</v>
      </c>
      <c r="R834" s="442">
        <v>0</v>
      </c>
      <c r="S834" s="1570" t="s">
        <v>154</v>
      </c>
      <c r="T834" s="442">
        <v>664</v>
      </c>
      <c r="U834" s="307"/>
      <c r="V834" s="2630">
        <f>VLOOKUP(M834,'[1]TABELA FRETE'!$A$6:$B$12,2,0)</f>
        <v>466.4</v>
      </c>
      <c r="W834" s="2631"/>
      <c r="X834" s="2632"/>
      <c r="Y834" s="2633"/>
    </row>
    <row r="835" spans="2:25" s="299" customFormat="1" ht="48" customHeight="1">
      <c r="B835" s="343">
        <v>0.58333333333333304</v>
      </c>
      <c r="C835" s="326"/>
      <c r="D835" s="444">
        <v>25</v>
      </c>
      <c r="E835" s="375">
        <v>3425</v>
      </c>
      <c r="F835" s="393"/>
      <c r="G835" s="360"/>
      <c r="H835" s="465"/>
      <c r="I835" s="392"/>
      <c r="J835" s="365">
        <f t="shared" si="75"/>
        <v>3425</v>
      </c>
      <c r="K835" s="366">
        <f t="shared" si="76"/>
        <v>7.6111111111111107</v>
      </c>
      <c r="L835" s="396">
        <v>1</v>
      </c>
      <c r="M835" s="367">
        <v>1016</v>
      </c>
      <c r="N835" s="368">
        <v>8</v>
      </c>
      <c r="O835" s="3049" t="s">
        <v>92</v>
      </c>
      <c r="P835" s="3050"/>
      <c r="Q835" s="369">
        <v>2</v>
      </c>
      <c r="R835" s="370">
        <v>0</v>
      </c>
      <c r="S835" s="635" t="s">
        <v>93</v>
      </c>
      <c r="T835" s="372">
        <v>576</v>
      </c>
      <c r="U835" s="307"/>
      <c r="V835" s="2630">
        <f>VLOOKUP(M835,'[1]TABELA FRETE'!$A$6:$B$12,2,0)</f>
        <v>425.7</v>
      </c>
      <c r="W835" s="2631"/>
      <c r="X835" s="3039"/>
      <c r="Y835" s="3040"/>
    </row>
    <row r="836" spans="2:25" s="299" customFormat="1" ht="48" customHeight="1">
      <c r="B836" s="343">
        <v>0.58333333333333304</v>
      </c>
      <c r="C836" s="326"/>
      <c r="D836" s="444">
        <v>22</v>
      </c>
      <c r="E836" s="375">
        <v>2648</v>
      </c>
      <c r="F836" s="393"/>
      <c r="G836" s="360"/>
      <c r="H836" s="465"/>
      <c r="I836" s="392"/>
      <c r="J836" s="365">
        <f t="shared" ref="J836" si="77">E836+G836+I836</f>
        <v>2648</v>
      </c>
      <c r="K836" s="366">
        <f t="shared" ref="K836" si="78">J836/450</f>
        <v>5.8844444444444441</v>
      </c>
      <c r="L836" s="396">
        <v>1</v>
      </c>
      <c r="M836" s="466">
        <v>1016</v>
      </c>
      <c r="N836" s="363">
        <v>8</v>
      </c>
      <c r="O836" s="3047" t="s">
        <v>90</v>
      </c>
      <c r="P836" s="3048"/>
      <c r="Q836" s="467">
        <v>2</v>
      </c>
      <c r="R836" s="1583">
        <v>0</v>
      </c>
      <c r="S836" s="1584" t="s">
        <v>91</v>
      </c>
      <c r="T836" s="469">
        <v>674</v>
      </c>
      <c r="U836" s="307"/>
      <c r="V836" s="2630">
        <f>VLOOKUP(M836,'[1]TABELA FRETE'!$A$6:$B$12,2,0)</f>
        <v>425.7</v>
      </c>
      <c r="W836" s="2631"/>
      <c r="X836" s="3039"/>
      <c r="Y836" s="3040"/>
    </row>
    <row r="837" spans="2:25" s="299" customFormat="1" ht="48" customHeight="1">
      <c r="B837" s="358">
        <v>0.58333333333333304</v>
      </c>
      <c r="C837" s="326"/>
      <c r="D837" s="472">
        <v>6</v>
      </c>
      <c r="E837" s="360">
        <v>2529</v>
      </c>
      <c r="F837" s="444">
        <v>31</v>
      </c>
      <c r="G837" s="375">
        <v>2080</v>
      </c>
      <c r="H837" s="445"/>
      <c r="I837" s="360"/>
      <c r="J837" s="365">
        <f t="shared" si="75"/>
        <v>4609</v>
      </c>
      <c r="K837" s="366">
        <f t="shared" si="76"/>
        <v>10.242222222222223</v>
      </c>
      <c r="L837" s="365">
        <v>1</v>
      </c>
      <c r="M837" s="376" t="s">
        <v>7</v>
      </c>
      <c r="N837" s="377">
        <v>11</v>
      </c>
      <c r="O837" s="2628" t="s">
        <v>52</v>
      </c>
      <c r="P837" s="2629"/>
      <c r="Q837" s="446">
        <v>1</v>
      </c>
      <c r="R837" s="407">
        <v>0</v>
      </c>
      <c r="S837" s="591" t="s">
        <v>53</v>
      </c>
      <c r="T837" s="407">
        <v>633</v>
      </c>
      <c r="U837" s="307"/>
      <c r="V837" s="2630">
        <f>VLOOKUP(M837,'[1]TABELA FRETE'!$A$6:$B$12,2,0)</f>
        <v>466.4</v>
      </c>
      <c r="W837" s="2631"/>
      <c r="X837" s="2694"/>
      <c r="Y837" s="2695"/>
    </row>
    <row r="838" spans="2:25" s="299" customFormat="1" ht="48" customHeight="1">
      <c r="B838" s="343">
        <v>0.58333333333333304</v>
      </c>
      <c r="C838" s="326"/>
      <c r="D838" s="453">
        <v>17</v>
      </c>
      <c r="E838" s="345">
        <v>3488</v>
      </c>
      <c r="F838" s="454"/>
      <c r="G838" s="345"/>
      <c r="H838" s="348"/>
      <c r="I838" s="455"/>
      <c r="J838" s="350">
        <f t="shared" si="75"/>
        <v>3488</v>
      </c>
      <c r="K838" s="351">
        <f t="shared" si="76"/>
        <v>7.7511111111111113</v>
      </c>
      <c r="L838" s="756">
        <v>1</v>
      </c>
      <c r="M838" s="533">
        <v>1016</v>
      </c>
      <c r="N838" s="1325">
        <v>8</v>
      </c>
      <c r="O838" s="3058" t="s">
        <v>159</v>
      </c>
      <c r="P838" s="3059"/>
      <c r="Q838" s="508">
        <v>1</v>
      </c>
      <c r="R838" s="1595">
        <v>0</v>
      </c>
      <c r="S838" s="1596" t="s">
        <v>160</v>
      </c>
      <c r="T838" s="1595">
        <v>456</v>
      </c>
      <c r="U838" s="307"/>
      <c r="V838" s="2630">
        <f>VLOOKUP(M838,'[1]TABELA FRETE'!$A$6:$B$12,2,0)</f>
        <v>425.7</v>
      </c>
      <c r="W838" s="2631"/>
      <c r="X838" s="2632"/>
      <c r="Y838" s="2633"/>
    </row>
    <row r="839" spans="2:25" s="299" customFormat="1" ht="48" customHeight="1">
      <c r="B839" s="343">
        <v>0.58333333333333304</v>
      </c>
      <c r="C839" s="326"/>
      <c r="D839" s="458">
        <v>23</v>
      </c>
      <c r="E839" s="392">
        <v>3281</v>
      </c>
      <c r="F839" s="464">
        <v>44</v>
      </c>
      <c r="G839" s="392">
        <v>1130</v>
      </c>
      <c r="H839" s="394"/>
      <c r="I839" s="395"/>
      <c r="J839" s="396">
        <f t="shared" si="75"/>
        <v>4411</v>
      </c>
      <c r="K839" s="461">
        <f t="shared" si="76"/>
        <v>9.8022222222222215</v>
      </c>
      <c r="L839" s="396">
        <v>1</v>
      </c>
      <c r="M839" s="533" t="s">
        <v>7</v>
      </c>
      <c r="N839" s="534">
        <v>12</v>
      </c>
      <c r="O839" s="2692" t="s">
        <v>66</v>
      </c>
      <c r="P839" s="2693"/>
      <c r="Q839" s="354">
        <v>2</v>
      </c>
      <c r="R839" s="510">
        <v>0</v>
      </c>
      <c r="S839" s="1564" t="s">
        <v>67</v>
      </c>
      <c r="T839" s="357">
        <v>184461</v>
      </c>
      <c r="U839" s="307"/>
      <c r="V839" s="2630">
        <f>VLOOKUP(M839,'[1]TABELA FRETE'!$A$6:$B$12,2,0)</f>
        <v>466.4</v>
      </c>
      <c r="W839" s="2631"/>
      <c r="X839" s="2632"/>
      <c r="Y839" s="2633"/>
    </row>
    <row r="840" spans="2:25" s="299" customFormat="1" ht="48" customHeight="1">
      <c r="B840" s="358">
        <v>0.58333333333333304</v>
      </c>
      <c r="C840" s="326"/>
      <c r="D840" s="458">
        <v>10</v>
      </c>
      <c r="E840" s="392">
        <v>3869</v>
      </c>
      <c r="F840" s="393"/>
      <c r="G840" s="360"/>
      <c r="H840" s="363"/>
      <c r="I840" s="375"/>
      <c r="J840" s="365">
        <f t="shared" si="75"/>
        <v>3869</v>
      </c>
      <c r="K840" s="366">
        <f t="shared" si="76"/>
        <v>8.5977777777777771</v>
      </c>
      <c r="L840" s="365">
        <v>1</v>
      </c>
      <c r="M840" s="376" t="s">
        <v>7</v>
      </c>
      <c r="N840" s="397">
        <v>11</v>
      </c>
      <c r="O840" s="3058" t="s">
        <v>42</v>
      </c>
      <c r="P840" s="3059"/>
      <c r="Q840" s="398">
        <v>3</v>
      </c>
      <c r="R840" s="399">
        <v>0</v>
      </c>
      <c r="S840" s="653" t="s">
        <v>43</v>
      </c>
      <c r="T840" s="399">
        <v>479</v>
      </c>
      <c r="U840" s="307"/>
      <c r="V840" s="2630">
        <f>VLOOKUP(M840,'[1]TABELA FRETE'!$A$6:$B$12,2,0)</f>
        <v>466.4</v>
      </c>
      <c r="W840" s="2631"/>
      <c r="X840" s="2632"/>
      <c r="Y840" s="2633"/>
    </row>
    <row r="841" spans="2:25" s="299" customFormat="1" ht="62.25" customHeight="1">
      <c r="B841" s="358">
        <v>0.58333333333333304</v>
      </c>
      <c r="C841" s="326"/>
      <c r="D841" s="462" t="s">
        <v>152</v>
      </c>
      <c r="E841" s="360">
        <v>4402</v>
      </c>
      <c r="F841" s="393"/>
      <c r="G841" s="360"/>
      <c r="H841" s="363"/>
      <c r="I841" s="375"/>
      <c r="J841" s="365">
        <f t="shared" si="75"/>
        <v>4402</v>
      </c>
      <c r="K841" s="366">
        <f t="shared" si="76"/>
        <v>9.7822222222222219</v>
      </c>
      <c r="L841" s="365">
        <v>1</v>
      </c>
      <c r="M841" s="367" t="s">
        <v>7</v>
      </c>
      <c r="N841" s="368">
        <v>12</v>
      </c>
      <c r="O841" s="2692" t="s">
        <v>146</v>
      </c>
      <c r="P841" s="2693"/>
      <c r="Q841" s="387">
        <v>1</v>
      </c>
      <c r="R841" s="388">
        <v>0</v>
      </c>
      <c r="S841" s="663" t="s">
        <v>147</v>
      </c>
      <c r="T841" s="390">
        <v>91</v>
      </c>
      <c r="U841" s="307"/>
      <c r="V841" s="2630">
        <f>VLOOKUP(M841,'[1]TABELA FRETE'!$A$6:$B$12,2,0)</f>
        <v>466.4</v>
      </c>
      <c r="W841" s="2631"/>
      <c r="X841" s="2632"/>
      <c r="Y841" s="2633"/>
    </row>
    <row r="842" spans="2:25" s="299" customFormat="1" ht="48" customHeight="1">
      <c r="B842" s="358">
        <v>0.58333333333333304</v>
      </c>
      <c r="C842" s="326"/>
      <c r="D842" s="453">
        <v>19</v>
      </c>
      <c r="E842" s="345">
        <v>6463</v>
      </c>
      <c r="F842" s="454"/>
      <c r="G842" s="345"/>
      <c r="H842" s="700"/>
      <c r="I842" s="345"/>
      <c r="J842" s="350">
        <f t="shared" si="75"/>
        <v>6463</v>
      </c>
      <c r="K842" s="351">
        <f t="shared" si="76"/>
        <v>14.362222222222222</v>
      </c>
      <c r="L842" s="350">
        <v>1</v>
      </c>
      <c r="M842" s="352" t="s">
        <v>6</v>
      </c>
      <c r="N842" s="353">
        <v>14</v>
      </c>
      <c r="O842" s="3062" t="s">
        <v>64</v>
      </c>
      <c r="P842" s="3063"/>
      <c r="Q842" s="354">
        <v>1</v>
      </c>
      <c r="R842" s="510">
        <v>0</v>
      </c>
      <c r="S842" s="1564" t="s">
        <v>65</v>
      </c>
      <c r="T842" s="355">
        <v>598</v>
      </c>
      <c r="U842" s="307"/>
      <c r="V842" s="2630">
        <f>VLOOKUP(M842,'[1]TABELA FRETE'!$A$6:$B$12,2,0)</f>
        <v>489.5</v>
      </c>
      <c r="W842" s="2631"/>
      <c r="X842" s="2694"/>
      <c r="Y842" s="2695"/>
    </row>
    <row r="843" spans="2:25" s="299" customFormat="1" ht="48" customHeight="1">
      <c r="B843" s="463">
        <v>0.58333333333333304</v>
      </c>
      <c r="C843" s="326"/>
      <c r="D843" s="458">
        <v>3</v>
      </c>
      <c r="E843" s="392">
        <v>1906</v>
      </c>
      <c r="F843" s="472">
        <v>26</v>
      </c>
      <c r="G843" s="360">
        <v>1804</v>
      </c>
      <c r="H843" s="465"/>
      <c r="I843" s="392"/>
      <c r="J843" s="365">
        <f t="shared" si="75"/>
        <v>3710</v>
      </c>
      <c r="K843" s="366">
        <f t="shared" si="76"/>
        <v>8.2444444444444436</v>
      </c>
      <c r="L843" s="396">
        <v>1</v>
      </c>
      <c r="M843" s="367">
        <v>1016</v>
      </c>
      <c r="N843" s="368">
        <v>10</v>
      </c>
      <c r="O843" s="2692" t="s">
        <v>72</v>
      </c>
      <c r="P843" s="2693"/>
      <c r="Q843" s="387">
        <v>2</v>
      </c>
      <c r="R843" s="388">
        <v>0</v>
      </c>
      <c r="S843" s="663" t="s">
        <v>73</v>
      </c>
      <c r="T843" s="390">
        <v>184090</v>
      </c>
      <c r="U843" s="307"/>
      <c r="V843" s="2630">
        <f>VLOOKUP(M843,'[1]TABELA FRETE'!$A$6:$B$12,2,0)</f>
        <v>425.7</v>
      </c>
      <c r="W843" s="2631"/>
      <c r="X843" s="2632"/>
      <c r="Y843" s="2633"/>
    </row>
    <row r="844" spans="2:25" s="299" customFormat="1" ht="48" customHeight="1">
      <c r="B844" s="463">
        <v>0.58333333333333304</v>
      </c>
      <c r="C844" s="326"/>
      <c r="D844" s="458">
        <v>32</v>
      </c>
      <c r="E844" s="392">
        <v>2414</v>
      </c>
      <c r="F844" s="458">
        <v>42</v>
      </c>
      <c r="G844" s="392">
        <v>2946</v>
      </c>
      <c r="H844" s="465"/>
      <c r="I844" s="392"/>
      <c r="J844" s="365">
        <f t="shared" si="75"/>
        <v>5360</v>
      </c>
      <c r="K844" s="366">
        <f t="shared" si="76"/>
        <v>11.911111111111111</v>
      </c>
      <c r="L844" s="396">
        <v>1</v>
      </c>
      <c r="M844" s="367" t="s">
        <v>7</v>
      </c>
      <c r="N844" s="368">
        <v>12</v>
      </c>
      <c r="O844" s="2692" t="s">
        <v>50</v>
      </c>
      <c r="P844" s="2693"/>
      <c r="Q844" s="387">
        <v>2</v>
      </c>
      <c r="R844" s="388">
        <v>0</v>
      </c>
      <c r="S844" s="591" t="s">
        <v>51</v>
      </c>
      <c r="T844" s="457">
        <v>612</v>
      </c>
      <c r="U844" s="307"/>
      <c r="V844" s="2630">
        <f>VLOOKUP(M844,'[1]TABELA FRETE'!$A$6:$B$12,2,0)</f>
        <v>466.4</v>
      </c>
      <c r="W844" s="2631"/>
      <c r="X844" s="2632"/>
      <c r="Y844" s="2633"/>
    </row>
    <row r="845" spans="2:25" s="299" customFormat="1" ht="48" customHeight="1">
      <c r="B845" s="358">
        <v>0.58333333333333304</v>
      </c>
      <c r="C845" s="326"/>
      <c r="D845" s="472">
        <v>1129</v>
      </c>
      <c r="E845" s="375">
        <v>1008</v>
      </c>
      <c r="F845" s="472">
        <v>46</v>
      </c>
      <c r="G845" s="375">
        <v>3523</v>
      </c>
      <c r="H845" s="445"/>
      <c r="I845" s="360"/>
      <c r="J845" s="365">
        <f t="shared" si="75"/>
        <v>4531</v>
      </c>
      <c r="K845" s="366">
        <f t="shared" si="76"/>
        <v>10.068888888888889</v>
      </c>
      <c r="L845" s="365">
        <v>1</v>
      </c>
      <c r="M845" s="376" t="s">
        <v>7</v>
      </c>
      <c r="N845" s="397">
        <v>12</v>
      </c>
      <c r="O845" s="3058" t="s">
        <v>94</v>
      </c>
      <c r="P845" s="3059"/>
      <c r="Q845" s="398">
        <v>1</v>
      </c>
      <c r="R845" s="399">
        <v>1</v>
      </c>
      <c r="S845" s="653" t="s">
        <v>95</v>
      </c>
      <c r="T845" s="399">
        <v>184422</v>
      </c>
      <c r="U845" s="307"/>
      <c r="V845" s="2630">
        <f>VLOOKUP(M845,'[1]TABELA FRETE'!$A$6:$B$12,2,0)</f>
        <v>466.4</v>
      </c>
      <c r="W845" s="2631"/>
      <c r="X845" s="2694"/>
      <c r="Y845" s="2695"/>
    </row>
    <row r="846" spans="2:25" s="299" customFormat="1" ht="62.25" customHeight="1">
      <c r="B846" s="664">
        <v>0.58333333333333304</v>
      </c>
      <c r="C846" s="326"/>
      <c r="D846" s="1133" t="s">
        <v>87</v>
      </c>
      <c r="E846" s="600">
        <v>4960</v>
      </c>
      <c r="F846" s="1495"/>
      <c r="G846" s="600"/>
      <c r="H846" s="478"/>
      <c r="I846" s="600"/>
      <c r="J846" s="480">
        <f t="shared" si="75"/>
        <v>4960</v>
      </c>
      <c r="K846" s="481">
        <f t="shared" si="76"/>
        <v>11.022222222222222</v>
      </c>
      <c r="L846" s="480">
        <v>1</v>
      </c>
      <c r="M846" s="415" t="s">
        <v>7</v>
      </c>
      <c r="N846" s="416">
        <v>12</v>
      </c>
      <c r="O846" s="2855" t="s">
        <v>224</v>
      </c>
      <c r="P846" s="2856"/>
      <c r="Q846" s="417">
        <v>1</v>
      </c>
      <c r="R846" s="418">
        <v>0</v>
      </c>
      <c r="S846" s="1592" t="s">
        <v>225</v>
      </c>
      <c r="T846" s="420">
        <v>782</v>
      </c>
      <c r="U846" s="307"/>
      <c r="V846" s="2630">
        <f>VLOOKUP(M846,'[1]TABELA FRETE'!$D$25:$E$29,2,0)</f>
        <v>286</v>
      </c>
      <c r="W846" s="2631"/>
      <c r="X846" s="3039"/>
      <c r="Y846" s="3040"/>
    </row>
    <row r="847" spans="2:25" s="301" customFormat="1" ht="6" customHeight="1">
      <c r="B847" s="326"/>
      <c r="C847" s="326"/>
      <c r="D847" s="488"/>
      <c r="E847" s="423"/>
      <c r="F847" s="488"/>
      <c r="G847" s="422"/>
      <c r="H847" s="488"/>
      <c r="I847" s="422"/>
      <c r="J847" s="423"/>
      <c r="K847" s="425"/>
      <c r="L847" s="423"/>
      <c r="M847" s="431"/>
      <c r="N847" s="1597"/>
      <c r="O847" s="431"/>
      <c r="P847" s="431"/>
      <c r="Q847" s="429"/>
      <c r="R847" s="431"/>
      <c r="S847" s="489"/>
      <c r="T847" s="431"/>
      <c r="U847" s="432"/>
      <c r="V847" s="433"/>
      <c r="W847" s="433"/>
      <c r="X847" s="434"/>
      <c r="Y847" s="434"/>
    </row>
    <row r="848" spans="2:25" s="299" customFormat="1" ht="48" customHeight="1">
      <c r="B848" s="325">
        <v>0.70833333333333304</v>
      </c>
      <c r="C848" s="326"/>
      <c r="D848" s="490">
        <v>36</v>
      </c>
      <c r="E848" s="328">
        <v>2658</v>
      </c>
      <c r="F848" s="491">
        <v>33</v>
      </c>
      <c r="G848" s="328">
        <v>2857</v>
      </c>
      <c r="H848" s="438"/>
      <c r="I848" s="492"/>
      <c r="J848" s="493">
        <f>E848+G848+I848</f>
        <v>5515</v>
      </c>
      <c r="K848" s="494">
        <f t="shared" ref="K848:K856" si="79">J848/450</f>
        <v>12.255555555555556</v>
      </c>
      <c r="L848" s="493">
        <v>1</v>
      </c>
      <c r="M848" s="622" t="s">
        <v>7</v>
      </c>
      <c r="N848" s="438">
        <v>12</v>
      </c>
      <c r="O848" s="3060" t="s">
        <v>50</v>
      </c>
      <c r="P848" s="3061"/>
      <c r="Q848" s="493">
        <v>2</v>
      </c>
      <c r="R848" s="328">
        <v>0</v>
      </c>
      <c r="S848" s="625" t="s">
        <v>105</v>
      </c>
      <c r="T848" s="626">
        <v>612</v>
      </c>
      <c r="U848" s="307"/>
      <c r="V848" s="2630">
        <f>VLOOKUP(M848,'[1]TABELA FRETE'!$A$6:$B$12,2,0)</f>
        <v>466.4</v>
      </c>
      <c r="W848" s="2631"/>
      <c r="X848" s="2632"/>
      <c r="Y848" s="2633"/>
    </row>
    <row r="849" spans="2:25" s="299" customFormat="1" ht="48" customHeight="1">
      <c r="B849" s="358">
        <v>0.70833333333333304</v>
      </c>
      <c r="C849" s="326"/>
      <c r="D849" s="516">
        <v>30</v>
      </c>
      <c r="E849" s="360">
        <v>1808</v>
      </c>
      <c r="F849" s="521"/>
      <c r="G849" s="345"/>
      <c r="H849" s="474"/>
      <c r="I849" s="360"/>
      <c r="J849" s="467">
        <f>E849+G849+I849</f>
        <v>1808</v>
      </c>
      <c r="K849" s="475">
        <f t="shared" si="79"/>
        <v>4.0177777777777779</v>
      </c>
      <c r="L849" s="467">
        <v>1</v>
      </c>
      <c r="M849" s="376">
        <v>1016</v>
      </c>
      <c r="N849" s="377">
        <v>7</v>
      </c>
      <c r="O849" s="2628" t="s">
        <v>44</v>
      </c>
      <c r="P849" s="2629"/>
      <c r="Q849" s="387">
        <v>2</v>
      </c>
      <c r="R849" s="407">
        <v>0</v>
      </c>
      <c r="S849" s="591" t="s">
        <v>103</v>
      </c>
      <c r="T849" s="407">
        <v>674</v>
      </c>
      <c r="U849" s="307"/>
      <c r="V849" s="2630">
        <f>VLOOKUP(M849,'[1]TABELA FRETE'!$A$6:$B$12,2,0)</f>
        <v>425.7</v>
      </c>
      <c r="W849" s="2631"/>
      <c r="X849" s="2632"/>
      <c r="Y849" s="2633"/>
    </row>
    <row r="850" spans="2:25" s="299" customFormat="1" ht="48" customHeight="1">
      <c r="B850" s="463">
        <v>0.70833333333333304</v>
      </c>
      <c r="C850" s="326"/>
      <c r="D850" s="516">
        <v>21</v>
      </c>
      <c r="E850" s="360">
        <v>1894</v>
      </c>
      <c r="F850" s="1571"/>
      <c r="G850" s="360"/>
      <c r="H850" s="474"/>
      <c r="I850" s="360"/>
      <c r="J850" s="467">
        <f>E850+G850+I850</f>
        <v>1894</v>
      </c>
      <c r="K850" s="475">
        <f t="shared" si="79"/>
        <v>4.2088888888888887</v>
      </c>
      <c r="L850" s="467">
        <v>1</v>
      </c>
      <c r="M850" s="367">
        <v>1016</v>
      </c>
      <c r="N850" s="368">
        <v>10</v>
      </c>
      <c r="O850" s="3058" t="s">
        <v>81</v>
      </c>
      <c r="P850" s="3059"/>
      <c r="Q850" s="387">
        <v>2</v>
      </c>
      <c r="R850" s="388">
        <v>0</v>
      </c>
      <c r="S850" s="663" t="s">
        <v>82</v>
      </c>
      <c r="T850" s="390">
        <v>606</v>
      </c>
      <c r="U850" s="307"/>
      <c r="V850" s="2630">
        <f>VLOOKUP(M850,'[1]TABELA FRETE'!$A$6:$B$12,2,0)</f>
        <v>425.7</v>
      </c>
      <c r="W850" s="2631"/>
      <c r="X850" s="2632"/>
      <c r="Y850" s="2633"/>
    </row>
    <row r="851" spans="2:25" s="299" customFormat="1" ht="48" customHeight="1">
      <c r="B851" s="358">
        <v>0.70833333333333304</v>
      </c>
      <c r="C851" s="326"/>
      <c r="D851" s="516">
        <v>27</v>
      </c>
      <c r="E851" s="360">
        <v>1095</v>
      </c>
      <c r="F851" s="524" t="s">
        <v>201</v>
      </c>
      <c r="G851" s="360">
        <v>2277</v>
      </c>
      <c r="H851" s="525"/>
      <c r="I851" s="360"/>
      <c r="J851" s="365">
        <f t="shared" ref="J851:J857" si="80">E851+G851+I851</f>
        <v>3372</v>
      </c>
      <c r="K851" s="366">
        <f t="shared" si="79"/>
        <v>7.4933333333333332</v>
      </c>
      <c r="L851" s="365">
        <v>1</v>
      </c>
      <c r="M851" s="367">
        <v>1016</v>
      </c>
      <c r="N851" s="368">
        <v>8</v>
      </c>
      <c r="O851" s="3058" t="s">
        <v>85</v>
      </c>
      <c r="P851" s="3059"/>
      <c r="Q851" s="387">
        <v>2</v>
      </c>
      <c r="R851" s="388">
        <v>0</v>
      </c>
      <c r="S851" s="663" t="s">
        <v>86</v>
      </c>
      <c r="T851" s="390">
        <v>714</v>
      </c>
      <c r="U851" s="432"/>
      <c r="V851" s="2630">
        <f>VLOOKUP(M851,'[1]TABELA FRETE'!$A$6:$B$12,2,0)</f>
        <v>425.7</v>
      </c>
      <c r="W851" s="2631"/>
      <c r="X851" s="2632"/>
      <c r="Y851" s="2633"/>
    </row>
    <row r="852" spans="2:25" s="299" customFormat="1" ht="48" customHeight="1">
      <c r="B852" s="358">
        <v>0.70833333333333304</v>
      </c>
      <c r="C852" s="326"/>
      <c r="D852" s="516">
        <v>4</v>
      </c>
      <c r="E852" s="360">
        <v>1385</v>
      </c>
      <c r="F852" s="1572"/>
      <c r="G852" s="345"/>
      <c r="H852" s="525"/>
      <c r="I852" s="360"/>
      <c r="J852" s="467">
        <f t="shared" si="80"/>
        <v>1385</v>
      </c>
      <c r="K852" s="475">
        <f t="shared" si="79"/>
        <v>3.0777777777777779</v>
      </c>
      <c r="L852" s="467">
        <v>1</v>
      </c>
      <c r="M852" s="367">
        <v>1016</v>
      </c>
      <c r="N852" s="368">
        <v>8</v>
      </c>
      <c r="O852" s="2692" t="s">
        <v>92</v>
      </c>
      <c r="P852" s="2693"/>
      <c r="Q852" s="387">
        <v>2</v>
      </c>
      <c r="R852" s="388">
        <v>0</v>
      </c>
      <c r="S852" s="1277" t="s">
        <v>104</v>
      </c>
      <c r="T852" s="390">
        <v>576</v>
      </c>
      <c r="U852" s="432"/>
      <c r="V852" s="2630">
        <f>VLOOKUP(M852,'[1]TABELA FRETE'!$A$6:$B$12,2,0)</f>
        <v>425.7</v>
      </c>
      <c r="W852" s="2631"/>
      <c r="X852" s="2632"/>
      <c r="Y852" s="2633"/>
    </row>
    <row r="853" spans="2:25" s="299" customFormat="1" ht="48" customHeight="1">
      <c r="B853" s="358">
        <v>0.70833333333333304</v>
      </c>
      <c r="C853" s="326"/>
      <c r="D853" s="516">
        <v>18</v>
      </c>
      <c r="E853" s="360">
        <v>2783</v>
      </c>
      <c r="F853" s="1572"/>
      <c r="G853" s="345"/>
      <c r="H853" s="525"/>
      <c r="I853" s="360"/>
      <c r="J853" s="467">
        <f t="shared" si="80"/>
        <v>2783</v>
      </c>
      <c r="K853" s="475">
        <f t="shared" si="79"/>
        <v>6.1844444444444449</v>
      </c>
      <c r="L853" s="467">
        <v>1</v>
      </c>
      <c r="M853" s="376">
        <v>1016</v>
      </c>
      <c r="N853" s="377">
        <v>7</v>
      </c>
      <c r="O853" s="2628" t="s">
        <v>56</v>
      </c>
      <c r="P853" s="2629"/>
      <c r="Q853" s="387">
        <v>1</v>
      </c>
      <c r="R853" s="407">
        <v>0</v>
      </c>
      <c r="S853" s="591" t="s">
        <v>57</v>
      </c>
      <c r="T853" s="407">
        <v>663</v>
      </c>
      <c r="U853" s="432"/>
      <c r="V853" s="2630">
        <f>VLOOKUP(M853,'[1]TABELA FRETE'!$A$6:$B$12,2,0)</f>
        <v>425.7</v>
      </c>
      <c r="W853" s="2631"/>
      <c r="X853" s="2632"/>
      <c r="Y853" s="2633"/>
    </row>
    <row r="854" spans="2:25" s="299" customFormat="1" ht="48" customHeight="1">
      <c r="B854" s="463">
        <v>0.70833333333333304</v>
      </c>
      <c r="C854" s="326"/>
      <c r="D854" s="516">
        <v>7</v>
      </c>
      <c r="E854" s="360">
        <v>1961</v>
      </c>
      <c r="F854" s="473"/>
      <c r="G854" s="375"/>
      <c r="H854" s="474"/>
      <c r="I854" s="360"/>
      <c r="J854" s="467">
        <f t="shared" si="80"/>
        <v>1961</v>
      </c>
      <c r="K854" s="475">
        <f t="shared" si="79"/>
        <v>4.3577777777777778</v>
      </c>
      <c r="L854" s="467">
        <v>1</v>
      </c>
      <c r="M854" s="367">
        <v>1016</v>
      </c>
      <c r="N854" s="368">
        <v>8</v>
      </c>
      <c r="O854" s="3058" t="s">
        <v>46</v>
      </c>
      <c r="P854" s="3059"/>
      <c r="Q854" s="387">
        <v>2</v>
      </c>
      <c r="R854" s="388">
        <v>0</v>
      </c>
      <c r="S854" s="1277" t="s">
        <v>102</v>
      </c>
      <c r="T854" s="390">
        <v>48</v>
      </c>
      <c r="U854" s="307"/>
      <c r="V854" s="2630">
        <f>VLOOKUP(M854,'[1]TABELA FRETE'!$A$6:$B$12,2,0)</f>
        <v>425.7</v>
      </c>
      <c r="W854" s="2631"/>
      <c r="X854" s="2632"/>
      <c r="Y854" s="2633"/>
    </row>
    <row r="855" spans="2:25" s="299" customFormat="1" ht="48" customHeight="1">
      <c r="B855" s="358">
        <v>0.58333333333333304</v>
      </c>
      <c r="C855" s="326"/>
      <c r="D855" s="1598">
        <v>48</v>
      </c>
      <c r="E855" s="460">
        <v>2698</v>
      </c>
      <c r="F855" s="504"/>
      <c r="G855" s="345"/>
      <c r="H855" s="348"/>
      <c r="I855" s="455"/>
      <c r="J855" s="350">
        <f t="shared" si="80"/>
        <v>2698</v>
      </c>
      <c r="K855" s="351">
        <f t="shared" si="79"/>
        <v>5.9955555555555557</v>
      </c>
      <c r="L855" s="350">
        <v>1</v>
      </c>
      <c r="M855" s="376">
        <v>1016</v>
      </c>
      <c r="N855" s="377">
        <v>8</v>
      </c>
      <c r="O855" s="2692" t="s">
        <v>88</v>
      </c>
      <c r="P855" s="2693"/>
      <c r="Q855" s="387">
        <v>1</v>
      </c>
      <c r="R855" s="388">
        <v>0</v>
      </c>
      <c r="S855" s="1277" t="s">
        <v>184</v>
      </c>
      <c r="T855" s="407">
        <v>799</v>
      </c>
      <c r="U855" s="307"/>
      <c r="V855" s="2630">
        <f>VLOOKUP(M855,'[1]TABELA FRETE'!$A$6:$B$12,2,0)</f>
        <v>425.7</v>
      </c>
      <c r="W855" s="2631"/>
      <c r="X855" s="2632"/>
      <c r="Y855" s="2633"/>
    </row>
    <row r="856" spans="2:25" s="299" customFormat="1" ht="48" customHeight="1">
      <c r="B856" s="408">
        <v>0.70833333333333304</v>
      </c>
      <c r="C856" s="326"/>
      <c r="D856" s="542">
        <v>13</v>
      </c>
      <c r="E856" s="410">
        <v>2916</v>
      </c>
      <c r="F856" s="543"/>
      <c r="G856" s="544"/>
      <c r="H856" s="545"/>
      <c r="I856" s="544"/>
      <c r="J856" s="546">
        <f t="shared" si="80"/>
        <v>2916</v>
      </c>
      <c r="K856" s="547">
        <f t="shared" si="79"/>
        <v>6.48</v>
      </c>
      <c r="L856" s="546">
        <v>1</v>
      </c>
      <c r="M856" s="667" t="s">
        <v>7</v>
      </c>
      <c r="N856" s="707">
        <v>12</v>
      </c>
      <c r="O856" s="2929" t="s">
        <v>68</v>
      </c>
      <c r="P856" s="2939"/>
      <c r="Q856" s="708">
        <v>1</v>
      </c>
      <c r="R856" s="710">
        <v>0</v>
      </c>
      <c r="S856" s="1569" t="s">
        <v>69</v>
      </c>
      <c r="T856" s="710">
        <v>808</v>
      </c>
      <c r="U856" s="307"/>
      <c r="V856" s="2630">
        <f>VLOOKUP(M856,'[1]TABELA FRETE'!$D$7:$E$12,2,0)</f>
        <v>1161.5999999999999</v>
      </c>
      <c r="W856" s="2631"/>
      <c r="X856" s="2632"/>
      <c r="Y856" s="2633"/>
    </row>
    <row r="857" spans="2:25" s="299" customFormat="1" ht="49.5" customHeight="1">
      <c r="B857" s="554" t="s">
        <v>108</v>
      </c>
      <c r="C857" s="555"/>
      <c r="D857" s="556"/>
      <c r="E857" s="557">
        <f>SUM(E817:E856)</f>
        <v>106841</v>
      </c>
      <c r="F857" s="557" t="s">
        <v>109</v>
      </c>
      <c r="G857" s="557">
        <f>SUM(G817:G856)</f>
        <v>27100</v>
      </c>
      <c r="H857" s="557" t="s">
        <v>109</v>
      </c>
      <c r="I857" s="319">
        <f>SUM(I817:I856)</f>
        <v>0</v>
      </c>
      <c r="J857" s="319">
        <f t="shared" si="80"/>
        <v>133941</v>
      </c>
      <c r="K857" s="558">
        <f>SUM(K817:K856)</f>
        <v>296.71777777777777</v>
      </c>
      <c r="L857" s="559">
        <f>SUM(L817:L856)</f>
        <v>37</v>
      </c>
      <c r="M857" s="560" t="s">
        <v>110</v>
      </c>
      <c r="N857" s="554">
        <f>SUM(N817:N856)</f>
        <v>350</v>
      </c>
      <c r="O857" s="557" t="s">
        <v>32</v>
      </c>
      <c r="P857" s="557"/>
      <c r="Q857" s="319"/>
      <c r="R857" s="1599">
        <f>SUM(R817:R856)</f>
        <v>3</v>
      </c>
      <c r="S857" s="562" t="s">
        <v>111</v>
      </c>
      <c r="T857" s="563"/>
      <c r="U857" s="307"/>
      <c r="V857" s="2558">
        <f>SUM(V817:W856)</f>
        <v>16537.400000000001</v>
      </c>
      <c r="W857" s="2559"/>
      <c r="X857" s="2564">
        <f>COUNT(X817:Y856)</f>
        <v>0</v>
      </c>
      <c r="Y857" s="2565"/>
    </row>
    <row r="858" spans="2:25" s="299" customFormat="1" ht="45" customHeight="1">
      <c r="B858" s="2895" t="s">
        <v>112</v>
      </c>
      <c r="C858" s="2896"/>
      <c r="D858" s="2896"/>
      <c r="E858" s="2896"/>
      <c r="F858" s="2896"/>
      <c r="G858" s="2896"/>
      <c r="H858" s="2896"/>
      <c r="I858" s="2896"/>
      <c r="J858" s="2896"/>
      <c r="K858" s="557">
        <v>44</v>
      </c>
      <c r="L858" s="2896" t="s">
        <v>113</v>
      </c>
      <c r="M858" s="2965"/>
      <c r="N858" s="3036" t="s">
        <v>114</v>
      </c>
      <c r="O858" s="3037"/>
      <c r="P858" s="3037"/>
      <c r="Q858" s="3037"/>
      <c r="R858" s="3038"/>
      <c r="S858" s="3036" t="s">
        <v>115</v>
      </c>
      <c r="T858" s="3038"/>
      <c r="U858" s="307"/>
      <c r="V858" s="2560"/>
      <c r="W858" s="2561"/>
      <c r="X858" s="2566"/>
      <c r="Y858" s="2567"/>
    </row>
    <row r="859" spans="2:25" s="299" customFormat="1" ht="6.75" customHeight="1">
      <c r="B859" s="2666" t="s">
        <v>116</v>
      </c>
      <c r="C859" s="2667"/>
      <c r="D859" s="2667"/>
      <c r="E859" s="2670">
        <f>L857</f>
        <v>37</v>
      </c>
      <c r="F859" s="2666" t="s">
        <v>30</v>
      </c>
      <c r="G859" s="2667"/>
      <c r="H859" s="2670">
        <f>J857</f>
        <v>133941</v>
      </c>
      <c r="I859" s="2671"/>
      <c r="J859" s="2667" t="s">
        <v>117</v>
      </c>
      <c r="K859" s="2671">
        <f>H859/E859</f>
        <v>3620.0270270270271</v>
      </c>
      <c r="L859" s="2670" t="s">
        <v>118</v>
      </c>
      <c r="M859" s="2670"/>
      <c r="N859" s="2670"/>
      <c r="O859" s="2671">
        <v>44</v>
      </c>
      <c r="P859" s="1184"/>
      <c r="Q859" s="1184"/>
      <c r="R859" s="1184"/>
      <c r="S859" s="1184"/>
      <c r="T859" s="1185"/>
      <c r="U859" s="307"/>
      <c r="V859" s="2562"/>
      <c r="W859" s="2563"/>
      <c r="X859" s="2568"/>
      <c r="Y859" s="2569"/>
    </row>
    <row r="860" spans="2:25" s="299" customFormat="1" ht="40.5" customHeight="1">
      <c r="B860" s="2668"/>
      <c r="C860" s="2669"/>
      <c r="D860" s="2669"/>
      <c r="E860" s="2672"/>
      <c r="F860" s="2668"/>
      <c r="G860" s="2669"/>
      <c r="H860" s="2672"/>
      <c r="I860" s="2673"/>
      <c r="J860" s="2669"/>
      <c r="K860" s="2673"/>
      <c r="L860" s="2672"/>
      <c r="M860" s="2672"/>
      <c r="N860" s="2672"/>
      <c r="O860" s="2673"/>
      <c r="P860" s="425"/>
      <c r="Q860" s="2663" t="s">
        <v>119</v>
      </c>
      <c r="R860" s="2664"/>
      <c r="S860" s="2664"/>
      <c r="T860" s="2665"/>
      <c r="U860" s="307"/>
      <c r="V860" s="2578" t="s">
        <v>120</v>
      </c>
      <c r="W860" s="2579"/>
      <c r="X860" s="2582" t="s">
        <v>121</v>
      </c>
      <c r="Y860" s="2583"/>
    </row>
    <row r="861" spans="2:25" s="299" customFormat="1" ht="43.5" customHeight="1">
      <c r="B861" s="2889" t="s">
        <v>122</v>
      </c>
      <c r="C861" s="2674" t="s">
        <v>33</v>
      </c>
      <c r="D861" s="2675"/>
      <c r="E861" s="2541" t="s">
        <v>123</v>
      </c>
      <c r="F861" s="2542"/>
      <c r="G861" s="2542"/>
      <c r="H861" s="2542"/>
      <c r="I861" s="2542"/>
      <c r="J861" s="2542"/>
      <c r="K861" s="2542"/>
      <c r="L861" s="2542"/>
      <c r="M861" s="2542"/>
      <c r="N861" s="2542"/>
      <c r="O861" s="2543"/>
      <c r="P861" s="1186"/>
      <c r="Q861" s="2680" t="s">
        <v>124</v>
      </c>
      <c r="R861" s="2681"/>
      <c r="S861" s="2681"/>
      <c r="T861" s="2682"/>
      <c r="U861" s="307"/>
      <c r="V861" s="2578"/>
      <c r="W861" s="2579"/>
      <c r="X861" s="2582"/>
      <c r="Y861" s="2583"/>
    </row>
    <row r="862" spans="2:25" s="299" customFormat="1" ht="43.5" customHeight="1">
      <c r="B862" s="2890"/>
      <c r="C862" s="2676"/>
      <c r="D862" s="2677"/>
      <c r="E862" s="2544"/>
      <c r="F862" s="2545"/>
      <c r="G862" s="2545"/>
      <c r="H862" s="2545"/>
      <c r="I862" s="2545"/>
      <c r="J862" s="2545"/>
      <c r="K862" s="2545"/>
      <c r="L862" s="2545"/>
      <c r="M862" s="2545"/>
      <c r="N862" s="2545"/>
      <c r="O862" s="2546"/>
      <c r="P862" s="1187"/>
      <c r="Q862" s="2683" t="s">
        <v>125</v>
      </c>
      <c r="R862" s="2684"/>
      <c r="S862" s="2684"/>
      <c r="T862" s="2685"/>
      <c r="U862" s="307"/>
      <c r="V862" s="2580"/>
      <c r="W862" s="2581"/>
      <c r="X862" s="2584"/>
      <c r="Y862" s="2585"/>
    </row>
    <row r="863" spans="2:25" s="299" customFormat="1" ht="43.5" customHeight="1">
      <c r="B863" s="1600" t="s">
        <v>9</v>
      </c>
      <c r="C863" s="2870">
        <f>COUNTIF(M817:M856,"kia")</f>
        <v>2</v>
      </c>
      <c r="D863" s="2871"/>
      <c r="E863" s="2547"/>
      <c r="F863" s="2548"/>
      <c r="G863" s="2548"/>
      <c r="H863" s="2548"/>
      <c r="I863" s="2548"/>
      <c r="J863" s="2548"/>
      <c r="K863" s="2548"/>
      <c r="L863" s="2548"/>
      <c r="M863" s="2548"/>
      <c r="N863" s="2548"/>
      <c r="O863" s="2549"/>
      <c r="P863" s="1187"/>
      <c r="Q863" s="2686" t="s">
        <v>126</v>
      </c>
      <c r="R863" s="2687"/>
      <c r="S863" s="2687"/>
      <c r="T863" s="2688"/>
      <c r="U863" s="307"/>
      <c r="V863" s="321"/>
      <c r="W863" s="321"/>
      <c r="X863" s="321"/>
      <c r="Y863" s="321"/>
    </row>
    <row r="864" spans="2:25" s="299" customFormat="1" ht="43.5" customHeight="1">
      <c r="B864" s="1601" t="s">
        <v>8</v>
      </c>
      <c r="C864" s="2872">
        <f>COUNTIF(M817:M856,"iveco")</f>
        <v>1</v>
      </c>
      <c r="D864" s="2873"/>
      <c r="E864" s="2586" t="s">
        <v>127</v>
      </c>
      <c r="F864" s="2587"/>
      <c r="G864" s="2587"/>
      <c r="H864" s="2587"/>
      <c r="I864" s="2587"/>
      <c r="J864" s="2587"/>
      <c r="K864" s="2587"/>
      <c r="L864" s="2587"/>
      <c r="M864" s="2587"/>
      <c r="N864" s="2587"/>
      <c r="O864" s="2588"/>
      <c r="P864" s="1187"/>
      <c r="Q864" s="2592" t="s">
        <v>128</v>
      </c>
      <c r="R864" s="2593"/>
      <c r="S864" s="2593"/>
      <c r="T864" s="2594"/>
      <c r="U864" s="307"/>
      <c r="V864" s="2689" t="s">
        <v>129</v>
      </c>
      <c r="W864" s="2690"/>
      <c r="X864" s="2690"/>
      <c r="Y864" s="2691"/>
    </row>
    <row r="865" spans="1:25" s="299" customFormat="1" ht="43.5" customHeight="1">
      <c r="B865" s="1601">
        <v>1016</v>
      </c>
      <c r="C865" s="2872">
        <f>COUNTIF(M817:M856,"1016")</f>
        <v>17</v>
      </c>
      <c r="D865" s="2873"/>
      <c r="E865" s="2589"/>
      <c r="F865" s="2590"/>
      <c r="G865" s="2590"/>
      <c r="H865" s="2590"/>
      <c r="I865" s="2590"/>
      <c r="J865" s="2590"/>
      <c r="K865" s="2590"/>
      <c r="L865" s="2590"/>
      <c r="M865" s="2590"/>
      <c r="N865" s="2590"/>
      <c r="O865" s="2591"/>
      <c r="P865" s="1187"/>
      <c r="Q865" s="2595"/>
      <c r="R865" s="2596"/>
      <c r="S865" s="2596"/>
      <c r="T865" s="2597"/>
      <c r="U865" s="307"/>
      <c r="V865" s="2601" t="s">
        <v>130</v>
      </c>
      <c r="W865" s="2602"/>
      <c r="X865" s="2602"/>
      <c r="Y865" s="2603"/>
    </row>
    <row r="866" spans="1:25" s="299" customFormat="1" ht="43.5" customHeight="1">
      <c r="B866" s="1601" t="s">
        <v>7</v>
      </c>
      <c r="C866" s="2872">
        <f>COUNTIF(M817:M856,"toco")</f>
        <v>14</v>
      </c>
      <c r="D866" s="2873"/>
      <c r="E866" s="2607" t="s">
        <v>131</v>
      </c>
      <c r="F866" s="2608"/>
      <c r="G866" s="2608"/>
      <c r="H866" s="2608"/>
      <c r="I866" s="2608"/>
      <c r="J866" s="2608"/>
      <c r="K866" s="2608"/>
      <c r="L866" s="2608"/>
      <c r="M866" s="2608"/>
      <c r="N866" s="2608"/>
      <c r="O866" s="2609"/>
      <c r="P866" s="1186"/>
      <c r="Q866" s="2598"/>
      <c r="R866" s="2599"/>
      <c r="S866" s="2599"/>
      <c r="T866" s="2600"/>
      <c r="U866" s="307"/>
      <c r="V866" s="2604"/>
      <c r="W866" s="2605"/>
      <c r="X866" s="2605"/>
      <c r="Y866" s="2606"/>
    </row>
    <row r="867" spans="1:25" s="299" customFormat="1" ht="43.5" customHeight="1">
      <c r="B867" s="1602" t="s">
        <v>6</v>
      </c>
      <c r="C867" s="2874">
        <f>COUNTIF(M817:M856,"truck")</f>
        <v>3</v>
      </c>
      <c r="D867" s="2875"/>
      <c r="E867" s="2555"/>
      <c r="F867" s="2556"/>
      <c r="G867" s="2556"/>
      <c r="H867" s="2556"/>
      <c r="I867" s="2556"/>
      <c r="J867" s="2556"/>
      <c r="K867" s="2556"/>
      <c r="L867" s="2556"/>
      <c r="M867" s="2556"/>
      <c r="N867" s="2556"/>
      <c r="O867" s="2557"/>
      <c r="P867" s="1186"/>
      <c r="Q867" s="2610" t="s">
        <v>132</v>
      </c>
      <c r="R867" s="2611"/>
      <c r="S867" s="2611"/>
      <c r="T867" s="2612"/>
      <c r="U867" s="307"/>
      <c r="V867" s="2616" t="s">
        <v>133</v>
      </c>
      <c r="W867" s="2617"/>
      <c r="X867" s="2622">
        <f>SUM(E817:E856,G817:G856,I817:I856)</f>
        <v>133941</v>
      </c>
      <c r="Y867" s="2623"/>
    </row>
    <row r="868" spans="1:25" s="299" customFormat="1" ht="43.5" customHeight="1">
      <c r="B868" s="2889" t="s">
        <v>134</v>
      </c>
      <c r="C868" s="2676">
        <f>SUM(C863:D867)</f>
        <v>37</v>
      </c>
      <c r="D868" s="2677"/>
      <c r="E868" s="2552" t="s">
        <v>135</v>
      </c>
      <c r="F868" s="2553"/>
      <c r="G868" s="2553"/>
      <c r="H868" s="2553"/>
      <c r="I868" s="2553"/>
      <c r="J868" s="2553"/>
      <c r="K868" s="2553"/>
      <c r="L868" s="2553"/>
      <c r="M868" s="2553"/>
      <c r="N868" s="2553"/>
      <c r="O868" s="2554"/>
      <c r="P868" s="1191"/>
      <c r="Q868" s="2610"/>
      <c r="R868" s="2611"/>
      <c r="S868" s="2611"/>
      <c r="T868" s="2612"/>
      <c r="U868" s="574"/>
      <c r="V868" s="2618"/>
      <c r="W868" s="2619"/>
      <c r="X868" s="2624"/>
      <c r="Y868" s="2625"/>
    </row>
    <row r="869" spans="1:25" s="299" customFormat="1" ht="43.5" customHeight="1">
      <c r="B869" s="2890"/>
      <c r="C869" s="2678"/>
      <c r="D869" s="2679"/>
      <c r="E869" s="2555"/>
      <c r="F869" s="2556"/>
      <c r="G869" s="2556"/>
      <c r="H869" s="2556"/>
      <c r="I869" s="2556"/>
      <c r="J869" s="2556"/>
      <c r="K869" s="2556"/>
      <c r="L869" s="2556"/>
      <c r="M869" s="2556"/>
      <c r="N869" s="2556"/>
      <c r="O869" s="2557"/>
      <c r="P869" s="1192"/>
      <c r="Q869" s="2610"/>
      <c r="R869" s="2611"/>
      <c r="S869" s="2611"/>
      <c r="T869" s="2612"/>
      <c r="U869" s="574"/>
      <c r="V869" s="2618"/>
      <c r="W869" s="2619"/>
      <c r="X869" s="2624"/>
      <c r="Y869" s="2625"/>
    </row>
    <row r="870" spans="1:25" s="300" customFormat="1" ht="43.5" customHeight="1">
      <c r="B870" s="1603" t="s">
        <v>136</v>
      </c>
      <c r="C870" s="2847" t="s">
        <v>137</v>
      </c>
      <c r="D870" s="2848"/>
      <c r="E870" s="2848"/>
      <c r="F870" s="2848"/>
      <c r="G870" s="2848"/>
      <c r="H870" s="2848"/>
      <c r="I870" s="2848"/>
      <c r="J870" s="2848"/>
      <c r="K870" s="2848"/>
      <c r="L870" s="2848"/>
      <c r="M870" s="2848"/>
      <c r="N870" s="2848"/>
      <c r="O870" s="2849"/>
      <c r="P870" s="1192"/>
      <c r="Q870" s="2613"/>
      <c r="R870" s="2614"/>
      <c r="S870" s="2614"/>
      <c r="T870" s="2615"/>
      <c r="V870" s="2620"/>
      <c r="W870" s="2621"/>
      <c r="X870" s="2626"/>
      <c r="Y870" s="2627"/>
    </row>
    <row r="877" spans="1:25" s="299" customFormat="1" ht="42.75" customHeight="1">
      <c r="A877" s="299" t="s">
        <v>17</v>
      </c>
      <c r="B877" s="2763"/>
      <c r="C877" s="2764"/>
      <c r="D877" s="2764"/>
      <c r="E877" s="2764"/>
      <c r="F877" s="2764"/>
      <c r="G877" s="2764"/>
      <c r="H877" s="2764"/>
      <c r="I877" s="2765"/>
      <c r="J877" s="3055" t="s">
        <v>18</v>
      </c>
      <c r="K877" s="3056"/>
      <c r="L877" s="3056"/>
      <c r="M877" s="3056"/>
      <c r="N877" s="3056"/>
      <c r="O877" s="3056"/>
      <c r="P877" s="3056"/>
      <c r="Q877" s="3057"/>
      <c r="R877" s="2718">
        <v>46157</v>
      </c>
      <c r="S877" s="2719"/>
      <c r="T877" s="2720"/>
      <c r="U877" s="307"/>
      <c r="V877" s="2700" t="s">
        <v>19</v>
      </c>
      <c r="W877" s="2701"/>
      <c r="X877" s="2700" t="s">
        <v>19</v>
      </c>
      <c r="Y877" s="2701"/>
    </row>
    <row r="878" spans="1:25" s="299" customFormat="1" ht="42.75" customHeight="1">
      <c r="B878" s="2766"/>
      <c r="C878" s="2767"/>
      <c r="D878" s="2767"/>
      <c r="E878" s="2767"/>
      <c r="F878" s="2767"/>
      <c r="G878" s="2767"/>
      <c r="H878" s="2767"/>
      <c r="I878" s="2768"/>
      <c r="J878" s="2724" t="s">
        <v>20</v>
      </c>
      <c r="K878" s="2725"/>
      <c r="L878" s="2725"/>
      <c r="M878" s="2725"/>
      <c r="N878" s="2725"/>
      <c r="O878" s="2725"/>
      <c r="P878" s="2725"/>
      <c r="Q878" s="2726"/>
      <c r="R878" s="2721"/>
      <c r="S878" s="2722"/>
      <c r="T878" s="2723"/>
      <c r="U878" s="307"/>
      <c r="V878" s="2702"/>
      <c r="W878" s="2703"/>
      <c r="X878" s="2702"/>
      <c r="Y878" s="2703"/>
    </row>
    <row r="879" spans="1:25" s="299" customFormat="1" ht="6" customHeight="1">
      <c r="B879" s="1150"/>
      <c r="C879" s="1151"/>
      <c r="D879" s="1149"/>
      <c r="E879" s="1149"/>
      <c r="F879" s="1149"/>
      <c r="G879" s="1149"/>
      <c r="H879" s="1149"/>
      <c r="I879" s="1149"/>
      <c r="J879" s="2727"/>
      <c r="K879" s="2728"/>
      <c r="L879" s="2728"/>
      <c r="M879" s="2728"/>
      <c r="N879" s="2728"/>
      <c r="O879" s="2728"/>
      <c r="P879" s="2728"/>
      <c r="Q879" s="2729"/>
      <c r="R879" s="1152" t="s">
        <v>21</v>
      </c>
      <c r="S879" s="1152"/>
      <c r="T879" s="1153"/>
      <c r="U879" s="307"/>
      <c r="V879" s="309"/>
      <c r="W879" s="310"/>
      <c r="X879" s="309"/>
      <c r="Y879" s="310"/>
    </row>
    <row r="880" spans="1:25" s="299" customFormat="1" ht="54" customHeight="1">
      <c r="B880" s="2881" t="s">
        <v>22</v>
      </c>
      <c r="C880" s="315"/>
      <c r="D880" s="2853" t="s">
        <v>23</v>
      </c>
      <c r="E880" s="2854"/>
      <c r="F880" s="2853" t="s">
        <v>24</v>
      </c>
      <c r="G880" s="2854"/>
      <c r="H880" s="2853" t="s">
        <v>25</v>
      </c>
      <c r="I880" s="2854"/>
      <c r="J880" s="2730"/>
      <c r="K880" s="2731"/>
      <c r="L880" s="2731"/>
      <c r="M880" s="2731"/>
      <c r="N880" s="2731"/>
      <c r="O880" s="2731"/>
      <c r="P880" s="2731"/>
      <c r="Q880" s="2732"/>
      <c r="R880" s="2853" t="s">
        <v>26</v>
      </c>
      <c r="S880" s="2854"/>
      <c r="T880" s="1154">
        <f>L920</f>
        <v>35</v>
      </c>
      <c r="U880" s="321"/>
      <c r="V880" s="2525" t="s">
        <v>27</v>
      </c>
      <c r="W880" s="2526"/>
      <c r="X880" s="2525" t="s">
        <v>28</v>
      </c>
      <c r="Y880" s="2526"/>
    </row>
    <row r="881" spans="2:25" s="299" customFormat="1" ht="54" customHeight="1">
      <c r="B881" s="2882"/>
      <c r="C881" s="315"/>
      <c r="D881" s="323" t="s">
        <v>29</v>
      </c>
      <c r="E881" s="323" t="s">
        <v>30</v>
      </c>
      <c r="F881" s="323" t="s">
        <v>29</v>
      </c>
      <c r="G881" s="323" t="s">
        <v>30</v>
      </c>
      <c r="H881" s="323" t="s">
        <v>29</v>
      </c>
      <c r="I881" s="323" t="s">
        <v>30</v>
      </c>
      <c r="J881" s="317" t="s">
        <v>31</v>
      </c>
      <c r="K881" s="323" t="s">
        <v>32</v>
      </c>
      <c r="L881" s="323" t="s">
        <v>33</v>
      </c>
      <c r="M881" s="323" t="s">
        <v>34</v>
      </c>
      <c r="N881" s="323" t="s">
        <v>32</v>
      </c>
      <c r="O881" s="316" t="s">
        <v>35</v>
      </c>
      <c r="P881" s="317"/>
      <c r="Q881" s="323" t="s">
        <v>36</v>
      </c>
      <c r="R881" s="323" t="s">
        <v>37</v>
      </c>
      <c r="S881" s="323" t="s">
        <v>38</v>
      </c>
      <c r="T881" s="324" t="s">
        <v>39</v>
      </c>
      <c r="U881" s="321"/>
      <c r="V881" s="2527"/>
      <c r="W881" s="2528"/>
      <c r="X881" s="2527"/>
      <c r="Y881" s="2528"/>
    </row>
    <row r="882" spans="2:25" s="300" customFormat="1" ht="48" customHeight="1">
      <c r="B882" s="325">
        <v>0.41666666666666702</v>
      </c>
      <c r="C882" s="326"/>
      <c r="D882" s="327">
        <v>28</v>
      </c>
      <c r="E882" s="328">
        <v>757</v>
      </c>
      <c r="F882" s="329">
        <v>29</v>
      </c>
      <c r="G882" s="330">
        <v>1397</v>
      </c>
      <c r="H882" s="587"/>
      <c r="I882" s="330"/>
      <c r="J882" s="332">
        <f t="shared" ref="J882:J886" si="81">E882+G882+I882</f>
        <v>2154</v>
      </c>
      <c r="K882" s="333">
        <f t="shared" ref="K882:K886" si="82">J882/450</f>
        <v>4.7866666666666671</v>
      </c>
      <c r="L882" s="332">
        <v>1</v>
      </c>
      <c r="M882" s="1593">
        <v>1016</v>
      </c>
      <c r="N882" s="1594">
        <v>6</v>
      </c>
      <c r="O882" s="3051" t="s">
        <v>139</v>
      </c>
      <c r="P882" s="3052"/>
      <c r="Q882" s="1559">
        <v>1</v>
      </c>
      <c r="R882" s="442">
        <v>0</v>
      </c>
      <c r="S882" s="1570" t="s">
        <v>140</v>
      </c>
      <c r="T882" s="442">
        <v>809</v>
      </c>
      <c r="U882" s="307"/>
      <c r="V882" s="3043">
        <f>VLOOKUP(M882,'[1]TABELA FRETE'!$A$6:$B$12,2,0)</f>
        <v>425.7</v>
      </c>
      <c r="W882" s="3044"/>
      <c r="X882" s="2632"/>
      <c r="Y882" s="2633"/>
    </row>
    <row r="883" spans="2:25" s="300" customFormat="1" ht="61.5" customHeight="1">
      <c r="B883" s="463">
        <v>0.41666666666666702</v>
      </c>
      <c r="C883" s="326"/>
      <c r="D883" s="1548" t="s">
        <v>198</v>
      </c>
      <c r="E883" s="345">
        <v>1500</v>
      </c>
      <c r="F883" s="1548" t="s">
        <v>78</v>
      </c>
      <c r="G883" s="349">
        <v>2000</v>
      </c>
      <c r="H883" s="2897" t="s">
        <v>226</v>
      </c>
      <c r="I883" s="2898"/>
      <c r="J883" s="365">
        <f t="shared" si="81"/>
        <v>3500</v>
      </c>
      <c r="K883" s="366">
        <f t="shared" si="82"/>
        <v>7.7777777777777777</v>
      </c>
      <c r="L883" s="365">
        <v>1</v>
      </c>
      <c r="M883" s="1549">
        <v>1016</v>
      </c>
      <c r="N883" s="1550">
        <v>10</v>
      </c>
      <c r="O883" s="1551" t="s">
        <v>81</v>
      </c>
      <c r="P883" s="1551"/>
      <c r="Q883" s="730">
        <v>2</v>
      </c>
      <c r="R883" s="638">
        <v>0</v>
      </c>
      <c r="S883" s="1552" t="s">
        <v>82</v>
      </c>
      <c r="T883" s="861">
        <v>606</v>
      </c>
      <c r="U883" s="307"/>
      <c r="V883" s="3043">
        <f>VLOOKUP(M883,'[1]TABELA FRETE'!$A$6:$B$12,2,0)</f>
        <v>425.7</v>
      </c>
      <c r="W883" s="3044"/>
      <c r="X883" s="2632"/>
      <c r="Y883" s="2633"/>
    </row>
    <row r="884" spans="2:25" s="299" customFormat="1" ht="48" customHeight="1">
      <c r="B884" s="463">
        <v>0.41666666666666702</v>
      </c>
      <c r="C884" s="326"/>
      <c r="D884" s="359">
        <v>7</v>
      </c>
      <c r="E884" s="360">
        <v>1000</v>
      </c>
      <c r="F884" s="374"/>
      <c r="G884" s="375"/>
      <c r="H884" s="363"/>
      <c r="I884" s="364"/>
      <c r="J884" s="365">
        <f t="shared" si="81"/>
        <v>1000</v>
      </c>
      <c r="K884" s="366">
        <f t="shared" si="82"/>
        <v>2.2222222222222223</v>
      </c>
      <c r="L884" s="365">
        <v>1</v>
      </c>
      <c r="M884" s="1275" t="s">
        <v>9</v>
      </c>
      <c r="N884" s="1276">
        <v>3</v>
      </c>
      <c r="O884" s="3053" t="s">
        <v>189</v>
      </c>
      <c r="P884" s="3054"/>
      <c r="Q884" s="862">
        <v>1</v>
      </c>
      <c r="R884" s="863">
        <v>0</v>
      </c>
      <c r="S884" s="864" t="s">
        <v>190</v>
      </c>
      <c r="T884" s="861">
        <v>738</v>
      </c>
      <c r="U884" s="307"/>
      <c r="V884" s="3043">
        <f>VLOOKUP(M884,'[1]TABELA FRETE'!$A$6:$B$12,2,0)</f>
        <v>250.8</v>
      </c>
      <c r="W884" s="3044"/>
      <c r="X884" s="2632"/>
      <c r="Y884" s="2633"/>
    </row>
    <row r="885" spans="2:25" s="299" customFormat="1" ht="48" customHeight="1">
      <c r="B885" s="463">
        <v>0.41666666666666702</v>
      </c>
      <c r="C885" s="326"/>
      <c r="D885" s="359">
        <v>11</v>
      </c>
      <c r="E885" s="360">
        <v>2000</v>
      </c>
      <c r="F885" s="374"/>
      <c r="G885" s="375"/>
      <c r="H885" s="363"/>
      <c r="I885" s="364"/>
      <c r="J885" s="365">
        <f t="shared" si="81"/>
        <v>2000</v>
      </c>
      <c r="K885" s="366">
        <f t="shared" si="82"/>
        <v>4.4444444444444446</v>
      </c>
      <c r="L885" s="365">
        <v>1</v>
      </c>
      <c r="M885" s="594" t="s">
        <v>8</v>
      </c>
      <c r="N885" s="595">
        <v>4</v>
      </c>
      <c r="O885" s="2628" t="s">
        <v>96</v>
      </c>
      <c r="P885" s="2629"/>
      <c r="Q885" s="596">
        <v>2</v>
      </c>
      <c r="R885" s="597">
        <v>0</v>
      </c>
      <c r="S885" s="598" t="s">
        <v>97</v>
      </c>
      <c r="T885" s="597">
        <v>456</v>
      </c>
      <c r="U885" s="307"/>
      <c r="V885" s="3043">
        <f>VLOOKUP(M885,'[1]TABELA FRETE'!$A$6:$B$12,2,0)</f>
        <v>286</v>
      </c>
      <c r="W885" s="3044"/>
      <c r="X885" s="2632"/>
      <c r="Y885" s="2633"/>
    </row>
    <row r="886" spans="2:25" s="299" customFormat="1" ht="48" customHeight="1">
      <c r="B886" s="408">
        <v>0.41666666666666702</v>
      </c>
      <c r="C886" s="326"/>
      <c r="D886" s="665">
        <v>11</v>
      </c>
      <c r="E886" s="410">
        <v>879</v>
      </c>
      <c r="F886" s="666"/>
      <c r="G886" s="544"/>
      <c r="H886" s="545"/>
      <c r="I886" s="705"/>
      <c r="J886" s="413">
        <f t="shared" si="81"/>
        <v>879</v>
      </c>
      <c r="K886" s="414">
        <f t="shared" si="82"/>
        <v>1.9533333333333334</v>
      </c>
      <c r="L886" s="413">
        <v>1</v>
      </c>
      <c r="M886" s="604" t="s">
        <v>9</v>
      </c>
      <c r="N886" s="605">
        <v>3</v>
      </c>
      <c r="O886" s="2855" t="s">
        <v>98</v>
      </c>
      <c r="P886" s="2856"/>
      <c r="Q886" s="551">
        <v>1</v>
      </c>
      <c r="R886" s="607">
        <v>0</v>
      </c>
      <c r="S886" s="608" t="s">
        <v>99</v>
      </c>
      <c r="T886" s="606">
        <v>496</v>
      </c>
      <c r="U886" s="307"/>
      <c r="V886" s="2630">
        <f>VLOOKUP(M886,'[1]TABELA FRETE'!$A$6:$B$12,2,0)</f>
        <v>250.8</v>
      </c>
      <c r="W886" s="2631"/>
      <c r="X886" s="2694"/>
      <c r="Y886" s="2695"/>
    </row>
    <row r="887" spans="2:25" s="301" customFormat="1" ht="6" customHeight="1">
      <c r="B887" s="326"/>
      <c r="C887" s="326"/>
      <c r="D887" s="421"/>
      <c r="E887" s="422"/>
      <c r="F887" s="421"/>
      <c r="G887" s="423"/>
      <c r="H887" s="424"/>
      <c r="I887" s="423"/>
      <c r="J887" s="423"/>
      <c r="K887" s="425"/>
      <c r="L887" s="423"/>
      <c r="M887" s="885"/>
      <c r="N887" s="886"/>
      <c r="O887" s="428"/>
      <c r="P887" s="428"/>
      <c r="Q887" s="429"/>
      <c r="R887" s="429"/>
      <c r="S887" s="430"/>
      <c r="T887" s="428"/>
      <c r="U887" s="432"/>
      <c r="V887" s="679"/>
      <c r="W887" s="679"/>
      <c r="X887" s="434"/>
      <c r="Y887" s="434"/>
    </row>
    <row r="888" spans="2:25" s="299" customFormat="1" ht="48" customHeight="1">
      <c r="B888" s="325">
        <v>0.5</v>
      </c>
      <c r="C888" s="326"/>
      <c r="D888" s="327">
        <v>8</v>
      </c>
      <c r="E888" s="328">
        <v>3169</v>
      </c>
      <c r="F888" s="1048"/>
      <c r="G888" s="437"/>
      <c r="H888" s="438"/>
      <c r="I888" s="330"/>
      <c r="J888" s="1166">
        <f t="shared" ref="J888:J910" si="83">E888+G888+I888</f>
        <v>3169</v>
      </c>
      <c r="K888" s="1167">
        <f>J888/450</f>
        <v>7.0422222222222226</v>
      </c>
      <c r="L888" s="1166">
        <v>1</v>
      </c>
      <c r="M888" s="1593">
        <v>1016</v>
      </c>
      <c r="N888" s="1594">
        <v>7</v>
      </c>
      <c r="O888" s="2940" t="s">
        <v>141</v>
      </c>
      <c r="P888" s="2941"/>
      <c r="Q888" s="441">
        <v>2</v>
      </c>
      <c r="R888" s="442">
        <v>0</v>
      </c>
      <c r="S888" s="1570" t="s">
        <v>142</v>
      </c>
      <c r="T888" s="442">
        <v>605</v>
      </c>
      <c r="U888" s="307"/>
      <c r="V888" s="2630">
        <f>VLOOKUP(M888,'[1]TABELA FRETE'!$A$6:$B$12,2,0)</f>
        <v>425.7</v>
      </c>
      <c r="W888" s="2631"/>
      <c r="X888" s="2632"/>
      <c r="Y888" s="2633"/>
    </row>
    <row r="889" spans="2:25" s="299" customFormat="1" ht="48" customHeight="1">
      <c r="B889" s="343">
        <v>0.5</v>
      </c>
      <c r="C889" s="326"/>
      <c r="D889" s="344">
        <v>14</v>
      </c>
      <c r="E889" s="349">
        <v>5082</v>
      </c>
      <c r="F889" s="628"/>
      <c r="G889" s="455"/>
      <c r="H889" s="348"/>
      <c r="I889" s="349"/>
      <c r="J889" s="365">
        <f t="shared" si="83"/>
        <v>5082</v>
      </c>
      <c r="K889" s="366">
        <f>J889/450</f>
        <v>11.293333333333333</v>
      </c>
      <c r="L889" s="396">
        <v>1</v>
      </c>
      <c r="M889" s="533" t="s">
        <v>6</v>
      </c>
      <c r="N889" s="534">
        <v>14</v>
      </c>
      <c r="O889" s="2628" t="s">
        <v>54</v>
      </c>
      <c r="P889" s="2629"/>
      <c r="Q889" s="1136">
        <v>1</v>
      </c>
      <c r="R889" s="357">
        <v>0</v>
      </c>
      <c r="S889" s="1566" t="s">
        <v>55</v>
      </c>
      <c r="T889" s="357">
        <v>590</v>
      </c>
      <c r="U889" s="307"/>
      <c r="V889" s="3043">
        <f>VLOOKUP(M889,'[1]TABELA FRETE'!$A$6:$B$12,2,0)</f>
        <v>489.5</v>
      </c>
      <c r="W889" s="3044"/>
      <c r="X889" s="2632"/>
      <c r="Y889" s="2633"/>
    </row>
    <row r="890" spans="2:25" s="299" customFormat="1" ht="48" customHeight="1">
      <c r="B890" s="358">
        <v>0.5</v>
      </c>
      <c r="C890" s="326"/>
      <c r="D890" s="359">
        <v>12</v>
      </c>
      <c r="E890" s="364">
        <v>2256</v>
      </c>
      <c r="F890" s="374">
        <v>38</v>
      </c>
      <c r="G890" s="375">
        <v>2731</v>
      </c>
      <c r="H890" s="348"/>
      <c r="I890" s="349"/>
      <c r="J890" s="365">
        <f t="shared" si="83"/>
        <v>4987</v>
      </c>
      <c r="K890" s="366">
        <f t="shared" ref="K890:K910" si="84">J890/450</f>
        <v>11.082222222222223</v>
      </c>
      <c r="L890" s="365">
        <v>1</v>
      </c>
      <c r="M890" s="376" t="s">
        <v>7</v>
      </c>
      <c r="N890" s="377">
        <v>12</v>
      </c>
      <c r="O890" s="2628" t="s">
        <v>50</v>
      </c>
      <c r="P890" s="2629"/>
      <c r="Q890" s="446">
        <v>2</v>
      </c>
      <c r="R890" s="407">
        <v>0</v>
      </c>
      <c r="S890" s="591" t="s">
        <v>51</v>
      </c>
      <c r="T890" s="407">
        <v>612</v>
      </c>
      <c r="U890" s="307"/>
      <c r="V890" s="3043">
        <f>VLOOKUP(M890,'[1]TABELA FRETE'!$A$6:$B$12,2,0)</f>
        <v>466.4</v>
      </c>
      <c r="W890" s="3044"/>
      <c r="X890" s="2632"/>
      <c r="Y890" s="2633"/>
    </row>
    <row r="891" spans="2:25" s="299" customFormat="1" ht="48" customHeight="1">
      <c r="B891" s="358">
        <v>0.5</v>
      </c>
      <c r="C891" s="326"/>
      <c r="D891" s="344">
        <v>9</v>
      </c>
      <c r="E891" s="345">
        <v>1204</v>
      </c>
      <c r="F891" s="628">
        <v>1</v>
      </c>
      <c r="G891" s="455">
        <v>1941</v>
      </c>
      <c r="H891" s="348"/>
      <c r="I891" s="364"/>
      <c r="J891" s="365">
        <f t="shared" si="83"/>
        <v>3145</v>
      </c>
      <c r="K891" s="351">
        <f t="shared" si="84"/>
        <v>6.9888888888888889</v>
      </c>
      <c r="L891" s="365">
        <v>1</v>
      </c>
      <c r="M891" s="376">
        <v>1016</v>
      </c>
      <c r="N891" s="377">
        <v>8</v>
      </c>
      <c r="O891" s="2628" t="s">
        <v>88</v>
      </c>
      <c r="P891" s="2629"/>
      <c r="Q891" s="387">
        <v>1</v>
      </c>
      <c r="R891" s="407">
        <v>0</v>
      </c>
      <c r="S891" s="591" t="s">
        <v>89</v>
      </c>
      <c r="T891" s="407">
        <v>799</v>
      </c>
      <c r="U891" s="307"/>
      <c r="V891" s="3043">
        <f>VLOOKUP(M891,'[1]TABELA FRETE'!$A$6:$B$12,2,0)</f>
        <v>425.7</v>
      </c>
      <c r="W891" s="3044"/>
      <c r="X891" s="2632"/>
      <c r="Y891" s="2633"/>
    </row>
    <row r="892" spans="2:25" s="299" customFormat="1" ht="48" customHeight="1">
      <c r="B892" s="358">
        <v>0.5</v>
      </c>
      <c r="C892" s="326"/>
      <c r="D892" s="359">
        <v>34</v>
      </c>
      <c r="E892" s="360">
        <v>5500</v>
      </c>
      <c r="F892" s="374"/>
      <c r="G892" s="375"/>
      <c r="H892" s="363"/>
      <c r="I892" s="364"/>
      <c r="J892" s="365">
        <f t="shared" si="83"/>
        <v>5500</v>
      </c>
      <c r="K892" s="366">
        <f t="shared" si="84"/>
        <v>12.222222222222221</v>
      </c>
      <c r="L892" s="365">
        <v>1</v>
      </c>
      <c r="M892" s="367" t="s">
        <v>7</v>
      </c>
      <c r="N892" s="368">
        <v>12</v>
      </c>
      <c r="O892" s="3049" t="s">
        <v>76</v>
      </c>
      <c r="P892" s="3050"/>
      <c r="Q892" s="369">
        <v>1</v>
      </c>
      <c r="R892" s="370">
        <v>1</v>
      </c>
      <c r="S892" s="635" t="s">
        <v>77</v>
      </c>
      <c r="T892" s="372">
        <v>184708</v>
      </c>
      <c r="U892" s="307"/>
      <c r="V892" s="3043">
        <f>VLOOKUP(M892,'[1]TABELA FRETE'!$A$6:$B$12,2,0)</f>
        <v>466.4</v>
      </c>
      <c r="W892" s="3044"/>
      <c r="X892" s="2632"/>
      <c r="Y892" s="2633"/>
    </row>
    <row r="893" spans="2:25" s="299" customFormat="1" ht="48" customHeight="1">
      <c r="B893" s="358">
        <v>0.5</v>
      </c>
      <c r="C893" s="326"/>
      <c r="D893" s="359">
        <v>43</v>
      </c>
      <c r="E893" s="360">
        <v>3224</v>
      </c>
      <c r="F893" s="401">
        <v>34</v>
      </c>
      <c r="G893" s="375">
        <v>1415</v>
      </c>
      <c r="H893" s="363"/>
      <c r="I893" s="364"/>
      <c r="J893" s="365">
        <f t="shared" si="83"/>
        <v>4639</v>
      </c>
      <c r="K893" s="366">
        <f t="shared" si="84"/>
        <v>10.308888888888889</v>
      </c>
      <c r="L893" s="365">
        <v>1</v>
      </c>
      <c r="M893" s="367" t="s">
        <v>7</v>
      </c>
      <c r="N893" s="368">
        <v>11</v>
      </c>
      <c r="O893" s="3049" t="s">
        <v>285</v>
      </c>
      <c r="P893" s="3050"/>
      <c r="Q893" s="369">
        <v>3</v>
      </c>
      <c r="R893" s="370">
        <v>0</v>
      </c>
      <c r="S893" s="635" t="s">
        <v>286</v>
      </c>
      <c r="T893" s="372">
        <v>184422</v>
      </c>
      <c r="U893" s="307"/>
      <c r="V893" s="3043">
        <f>VLOOKUP(M893,'[1]TABELA FRETE'!$A$6:$B$12,2,0)</f>
        <v>466.4</v>
      </c>
      <c r="W893" s="3044"/>
      <c r="X893" s="2632"/>
      <c r="Y893" s="2633"/>
    </row>
    <row r="894" spans="2:25" s="299" customFormat="1" ht="48" customHeight="1">
      <c r="B894" s="358">
        <v>0.5</v>
      </c>
      <c r="C894" s="326"/>
      <c r="D894" s="359">
        <v>35</v>
      </c>
      <c r="E894" s="360">
        <v>2912</v>
      </c>
      <c r="F894" s="374"/>
      <c r="G894" s="375"/>
      <c r="H894" s="363"/>
      <c r="I894" s="364"/>
      <c r="J894" s="365">
        <f t="shared" ref="J894" si="85">E894+G894+I894</f>
        <v>2912</v>
      </c>
      <c r="K894" s="366">
        <f t="shared" ref="K894" si="86">J894/450</f>
        <v>6.471111111111111</v>
      </c>
      <c r="L894" s="365">
        <v>1</v>
      </c>
      <c r="M894" s="367">
        <v>1016</v>
      </c>
      <c r="N894" s="368">
        <v>7</v>
      </c>
      <c r="O894" s="3049" t="s">
        <v>56</v>
      </c>
      <c r="P894" s="3050"/>
      <c r="Q894" s="369">
        <v>1</v>
      </c>
      <c r="R894" s="370">
        <v>0</v>
      </c>
      <c r="S894" s="635" t="s">
        <v>57</v>
      </c>
      <c r="T894" s="372">
        <v>663</v>
      </c>
      <c r="U894" s="307"/>
      <c r="V894" s="3043">
        <f>VLOOKUP(M894,'[1]TABELA FRETE'!$A$6:$B$12,2,0)</f>
        <v>425.7</v>
      </c>
      <c r="W894" s="3044"/>
      <c r="X894" s="2632"/>
      <c r="Y894" s="2633"/>
    </row>
    <row r="895" spans="2:25" s="299" customFormat="1" ht="48" customHeight="1">
      <c r="B895" s="358">
        <v>0.5</v>
      </c>
      <c r="C895" s="326"/>
      <c r="D895" s="359">
        <v>45</v>
      </c>
      <c r="E895" s="360">
        <v>3560</v>
      </c>
      <c r="F895" s="346"/>
      <c r="G895" s="347"/>
      <c r="H895" s="363"/>
      <c r="I895" s="364"/>
      <c r="J895" s="365">
        <f t="shared" si="83"/>
        <v>3560</v>
      </c>
      <c r="K895" s="366">
        <f t="shared" si="84"/>
        <v>7.9111111111111114</v>
      </c>
      <c r="L895" s="365">
        <v>1</v>
      </c>
      <c r="M895" s="1604" t="s">
        <v>7</v>
      </c>
      <c r="N895" s="1605">
        <v>10</v>
      </c>
      <c r="O895" s="3041" t="s">
        <v>287</v>
      </c>
      <c r="P895" s="3042"/>
      <c r="Q895" s="1588">
        <v>1</v>
      </c>
      <c r="R895" s="1606">
        <v>0</v>
      </c>
      <c r="S895" s="1607" t="s">
        <v>149</v>
      </c>
      <c r="T895" s="1606">
        <v>353</v>
      </c>
      <c r="U895" s="307"/>
      <c r="V895" s="3043">
        <f>VLOOKUP(M895,'[1]TABELA FRETE'!$A$6:$B$12,2,0)</f>
        <v>466.4</v>
      </c>
      <c r="W895" s="3044"/>
      <c r="X895" s="2632"/>
      <c r="Y895" s="2633"/>
    </row>
    <row r="896" spans="2:25" s="299" customFormat="1" ht="48" customHeight="1">
      <c r="B896" s="358">
        <v>0.5</v>
      </c>
      <c r="C896" s="326"/>
      <c r="D896" s="373">
        <v>40</v>
      </c>
      <c r="E896" s="360">
        <v>3014</v>
      </c>
      <c r="F896" s="393"/>
      <c r="G896" s="360"/>
      <c r="H896" s="445"/>
      <c r="I896" s="360"/>
      <c r="J896" s="365">
        <f t="shared" si="83"/>
        <v>3014</v>
      </c>
      <c r="K896" s="366">
        <f t="shared" si="84"/>
        <v>6.6977777777777776</v>
      </c>
      <c r="L896" s="365">
        <v>1</v>
      </c>
      <c r="M896" s="367">
        <v>1016</v>
      </c>
      <c r="N896" s="1178">
        <v>8</v>
      </c>
      <c r="O896" s="1006" t="s">
        <v>46</v>
      </c>
      <c r="P896" s="1006"/>
      <c r="Q896" s="388">
        <v>2</v>
      </c>
      <c r="R896" s="387">
        <v>0</v>
      </c>
      <c r="S896" s="1299" t="s">
        <v>47</v>
      </c>
      <c r="T896" s="1009">
        <v>48</v>
      </c>
      <c r="U896" s="307"/>
      <c r="V896" s="2630">
        <f>VLOOKUP(M896,'[1]TABELA FRETE'!$A$6:$B$12,2,0)</f>
        <v>425.7</v>
      </c>
      <c r="W896" s="2631"/>
      <c r="X896" s="2632"/>
      <c r="Y896" s="2633"/>
    </row>
    <row r="897" spans="2:25" s="299" customFormat="1" ht="48" customHeight="1">
      <c r="B897" s="408">
        <v>0.5</v>
      </c>
      <c r="C897" s="326"/>
      <c r="D897" s="599">
        <v>47</v>
      </c>
      <c r="E897" s="600">
        <v>3276</v>
      </c>
      <c r="F897" s="1608"/>
      <c r="G897" s="1609"/>
      <c r="H897" s="479"/>
      <c r="I897" s="602"/>
      <c r="J897" s="480">
        <f t="shared" si="83"/>
        <v>3276</v>
      </c>
      <c r="K897" s="481">
        <f t="shared" si="84"/>
        <v>7.28</v>
      </c>
      <c r="L897" s="480">
        <v>1</v>
      </c>
      <c r="M897" s="1610" t="s">
        <v>7</v>
      </c>
      <c r="N897" s="1611">
        <v>10</v>
      </c>
      <c r="O897" s="3045" t="s">
        <v>241</v>
      </c>
      <c r="P897" s="3046"/>
      <c r="Q897" s="1612">
        <v>1</v>
      </c>
      <c r="R897" s="1613">
        <v>0</v>
      </c>
      <c r="S897" s="1614" t="s">
        <v>145</v>
      </c>
      <c r="T897" s="1613">
        <v>353</v>
      </c>
      <c r="U897" s="307"/>
      <c r="V897" s="3043">
        <f>VLOOKUP(M897,'[1]TABELA FRETE'!$A$6:$B$12,2,0)</f>
        <v>466.4</v>
      </c>
      <c r="W897" s="3044"/>
      <c r="X897" s="2632"/>
      <c r="Y897" s="2633"/>
    </row>
    <row r="898" spans="2:25" s="301" customFormat="1" ht="6" customHeight="1">
      <c r="B898" s="326"/>
      <c r="C898" s="326"/>
      <c r="D898" s="421"/>
      <c r="E898" s="422"/>
      <c r="F898" s="421"/>
      <c r="G898" s="423"/>
      <c r="H898" s="424"/>
      <c r="I898" s="423"/>
      <c r="J898" s="423"/>
      <c r="K898" s="425"/>
      <c r="L898" s="423"/>
      <c r="M898" s="426"/>
      <c r="N898" s="427"/>
      <c r="O898" s="428"/>
      <c r="P898" s="428"/>
      <c r="Q898" s="429"/>
      <c r="R898" s="429"/>
      <c r="S898" s="430"/>
      <c r="T898" s="431"/>
      <c r="U898" s="432"/>
      <c r="V898" s="679"/>
      <c r="W898" s="679"/>
      <c r="X898" s="434"/>
      <c r="Y898" s="434"/>
    </row>
    <row r="899" spans="2:25" s="299" customFormat="1" ht="48" customHeight="1">
      <c r="B899" s="325">
        <v>0.58333333333333304</v>
      </c>
      <c r="C899" s="326"/>
      <c r="D899" s="435">
        <v>5</v>
      </c>
      <c r="E899" s="328">
        <v>1473</v>
      </c>
      <c r="F899" s="436">
        <v>20</v>
      </c>
      <c r="G899" s="437">
        <v>2862</v>
      </c>
      <c r="H899" s="438"/>
      <c r="I899" s="330"/>
      <c r="J899" s="332">
        <f t="shared" si="83"/>
        <v>4335</v>
      </c>
      <c r="K899" s="333">
        <f t="shared" si="84"/>
        <v>9.6333333333333329</v>
      </c>
      <c r="L899" s="332">
        <v>1</v>
      </c>
      <c r="M899" s="439" t="s">
        <v>7</v>
      </c>
      <c r="N899" s="440">
        <v>12</v>
      </c>
      <c r="O899" s="2940" t="s">
        <v>62</v>
      </c>
      <c r="P899" s="2941"/>
      <c r="Q899" s="1559">
        <v>2</v>
      </c>
      <c r="R899" s="442">
        <v>0</v>
      </c>
      <c r="S899" s="1570" t="s">
        <v>63</v>
      </c>
      <c r="T899" s="442">
        <v>740</v>
      </c>
      <c r="U899" s="307"/>
      <c r="V899" s="3043">
        <f>VLOOKUP(M899,'[1]TABELA FRETE'!$A$6:$B$12,2,0)</f>
        <v>466.4</v>
      </c>
      <c r="W899" s="3044"/>
      <c r="X899" s="2632"/>
      <c r="Y899" s="2633"/>
    </row>
    <row r="900" spans="2:25" s="299" customFormat="1" ht="48" customHeight="1">
      <c r="B900" s="343">
        <v>0.58333333333333304</v>
      </c>
      <c r="C900" s="326"/>
      <c r="D900" s="444">
        <v>25</v>
      </c>
      <c r="E900" s="375">
        <v>1609</v>
      </c>
      <c r="F900" s="393">
        <v>22</v>
      </c>
      <c r="G900" s="360">
        <v>2162</v>
      </c>
      <c r="H900" s="445"/>
      <c r="I900" s="360"/>
      <c r="J900" s="365">
        <f t="shared" si="83"/>
        <v>3771</v>
      </c>
      <c r="K900" s="366">
        <f t="shared" si="84"/>
        <v>8.3800000000000008</v>
      </c>
      <c r="L900" s="365">
        <v>1</v>
      </c>
      <c r="M900" s="466">
        <v>1016</v>
      </c>
      <c r="N900" s="363">
        <v>10</v>
      </c>
      <c r="O900" s="3047" t="s">
        <v>72</v>
      </c>
      <c r="P900" s="3048"/>
      <c r="Q900" s="467">
        <v>2</v>
      </c>
      <c r="R900" s="360">
        <v>0</v>
      </c>
      <c r="S900" s="1584" t="s">
        <v>73</v>
      </c>
      <c r="T900" s="469">
        <v>184090</v>
      </c>
      <c r="U900" s="307"/>
      <c r="V900" s="3030">
        <f>VLOOKUP(M900,'[1]TABELA FRETE'!$A$6:$B$12,2,0)</f>
        <v>425.7</v>
      </c>
      <c r="W900" s="3031"/>
      <c r="X900" s="3039"/>
      <c r="Y900" s="3040"/>
    </row>
    <row r="901" spans="2:25" s="299" customFormat="1" ht="48" customHeight="1">
      <c r="B901" s="343">
        <v>0.58333333333333304</v>
      </c>
      <c r="C901" s="326"/>
      <c r="D901" s="444">
        <v>6</v>
      </c>
      <c r="E901" s="360">
        <v>1172</v>
      </c>
      <c r="F901" s="444">
        <v>31</v>
      </c>
      <c r="G901" s="375">
        <v>1519</v>
      </c>
      <c r="H901" s="445"/>
      <c r="I901" s="360"/>
      <c r="J901" s="365">
        <f t="shared" si="83"/>
        <v>2691</v>
      </c>
      <c r="K901" s="366">
        <f t="shared" si="84"/>
        <v>5.98</v>
      </c>
      <c r="L901" s="365">
        <v>1</v>
      </c>
      <c r="M901" s="376">
        <v>1016</v>
      </c>
      <c r="N901" s="377">
        <v>8</v>
      </c>
      <c r="O901" s="2628" t="s">
        <v>159</v>
      </c>
      <c r="P901" s="2629"/>
      <c r="Q901" s="387">
        <v>1</v>
      </c>
      <c r="R901" s="407">
        <v>0</v>
      </c>
      <c r="S901" s="591" t="s">
        <v>160</v>
      </c>
      <c r="T901" s="407">
        <v>456</v>
      </c>
      <c r="U901" s="307"/>
      <c r="V901" s="2630">
        <f>VLOOKUP(M901,'[1]TABELA FRETE'!$A$6:$B$12,2,0)</f>
        <v>425.7</v>
      </c>
      <c r="W901" s="2631"/>
      <c r="X901" s="2694"/>
      <c r="Y901" s="2695"/>
    </row>
    <row r="902" spans="2:25" s="299" customFormat="1" ht="48" customHeight="1">
      <c r="B902" s="343">
        <v>0.58333333333333304</v>
      </c>
      <c r="C902" s="452"/>
      <c r="D902" s="453">
        <v>23</v>
      </c>
      <c r="E902" s="345">
        <v>2749</v>
      </c>
      <c r="F902" s="464">
        <v>44</v>
      </c>
      <c r="G902" s="392">
        <v>1225</v>
      </c>
      <c r="H902" s="348"/>
      <c r="I902" s="455"/>
      <c r="J902" s="350">
        <f t="shared" si="83"/>
        <v>3974</v>
      </c>
      <c r="K902" s="351">
        <f t="shared" si="84"/>
        <v>8.8311111111111114</v>
      </c>
      <c r="L902" s="756">
        <v>1</v>
      </c>
      <c r="M902" s="1615" t="s">
        <v>7</v>
      </c>
      <c r="N902" s="1616">
        <v>11</v>
      </c>
      <c r="O902" s="2935" t="s">
        <v>52</v>
      </c>
      <c r="P902" s="2936"/>
      <c r="Q902" s="1617">
        <v>1</v>
      </c>
      <c r="R902" s="1618">
        <v>0</v>
      </c>
      <c r="S902" s="1564" t="s">
        <v>53</v>
      </c>
      <c r="T902" s="1618">
        <v>633</v>
      </c>
      <c r="U902" s="307"/>
      <c r="V902" s="2630">
        <f>VLOOKUP(M902,'[1]TABELA FRETE'!$A$6:$B$12,2,0)</f>
        <v>466.4</v>
      </c>
      <c r="W902" s="2631"/>
      <c r="X902" s="2632"/>
      <c r="Y902" s="2633"/>
    </row>
    <row r="903" spans="2:25" s="299" customFormat="1" ht="48" customHeight="1">
      <c r="B903" s="343">
        <v>0.58333333333333304</v>
      </c>
      <c r="C903" s="326"/>
      <c r="D903" s="458">
        <v>17</v>
      </c>
      <c r="E903" s="392">
        <v>3310</v>
      </c>
      <c r="F903" s="464"/>
      <c r="G903" s="392"/>
      <c r="H903" s="394"/>
      <c r="I903" s="395"/>
      <c r="J903" s="396">
        <f t="shared" si="83"/>
        <v>3310</v>
      </c>
      <c r="K903" s="461">
        <f t="shared" si="84"/>
        <v>7.3555555555555552</v>
      </c>
      <c r="L903" s="396">
        <v>1</v>
      </c>
      <c r="M903" s="352">
        <v>1016</v>
      </c>
      <c r="N903" s="353">
        <v>8</v>
      </c>
      <c r="O903" s="2628" t="s">
        <v>157</v>
      </c>
      <c r="P903" s="2629"/>
      <c r="Q903" s="354">
        <v>1</v>
      </c>
      <c r="R903" s="510">
        <v>0</v>
      </c>
      <c r="S903" s="1564" t="s">
        <v>158</v>
      </c>
      <c r="T903" s="355">
        <v>642</v>
      </c>
      <c r="U903" s="307"/>
      <c r="V903" s="2630">
        <f>VLOOKUP(M903,'[1]TABELA FRETE'!$A$6:$B$12,2,0)</f>
        <v>425.7</v>
      </c>
      <c r="W903" s="2631"/>
      <c r="X903" s="2632"/>
      <c r="Y903" s="2633"/>
    </row>
    <row r="904" spans="2:25" s="299" customFormat="1" ht="48" customHeight="1">
      <c r="B904" s="358">
        <v>0.58333333333333304</v>
      </c>
      <c r="C904" s="326"/>
      <c r="D904" s="458">
        <v>10</v>
      </c>
      <c r="E904" s="392">
        <v>4756</v>
      </c>
      <c r="F904" s="393"/>
      <c r="G904" s="360"/>
      <c r="H904" s="363"/>
      <c r="I904" s="375"/>
      <c r="J904" s="365">
        <f t="shared" si="83"/>
        <v>4756</v>
      </c>
      <c r="K904" s="366">
        <f t="shared" si="84"/>
        <v>10.568888888888889</v>
      </c>
      <c r="L904" s="365">
        <v>1</v>
      </c>
      <c r="M904" s="352" t="s">
        <v>7</v>
      </c>
      <c r="N904" s="353">
        <v>12</v>
      </c>
      <c r="O904" s="2692" t="s">
        <v>58</v>
      </c>
      <c r="P904" s="2693"/>
      <c r="Q904" s="354">
        <v>2</v>
      </c>
      <c r="R904" s="510">
        <v>0</v>
      </c>
      <c r="S904" s="1564" t="s">
        <v>59</v>
      </c>
      <c r="T904" s="355">
        <v>674</v>
      </c>
      <c r="U904" s="307"/>
      <c r="V904" s="2630">
        <f>VLOOKUP(M904,'[1]TABELA FRETE'!$A$6:$B$12,2,0)</f>
        <v>466.4</v>
      </c>
      <c r="W904" s="2631"/>
      <c r="X904" s="2632"/>
      <c r="Y904" s="2633"/>
    </row>
    <row r="905" spans="2:25" s="299" customFormat="1" ht="63" customHeight="1">
      <c r="B905" s="358">
        <v>0.58333333333333304</v>
      </c>
      <c r="C905" s="326"/>
      <c r="D905" s="462" t="s">
        <v>78</v>
      </c>
      <c r="E905" s="360">
        <v>3631</v>
      </c>
      <c r="F905" s="393"/>
      <c r="G905" s="360"/>
      <c r="H905" s="363"/>
      <c r="I905" s="375"/>
      <c r="J905" s="365">
        <f t="shared" si="83"/>
        <v>3631</v>
      </c>
      <c r="K905" s="366">
        <f t="shared" si="84"/>
        <v>8.068888888888889</v>
      </c>
      <c r="L905" s="365">
        <v>1</v>
      </c>
      <c r="M905" s="376">
        <v>1016</v>
      </c>
      <c r="N905" s="377">
        <v>9</v>
      </c>
      <c r="O905" s="2628" t="s">
        <v>79</v>
      </c>
      <c r="P905" s="2629"/>
      <c r="Q905" s="387">
        <v>1</v>
      </c>
      <c r="R905" s="407">
        <v>0</v>
      </c>
      <c r="S905" s="591" t="s">
        <v>80</v>
      </c>
      <c r="T905" s="407">
        <v>184725</v>
      </c>
      <c r="U905" s="307"/>
      <c r="V905" s="2630">
        <f>VLOOKUP(M905,'[1]TABELA FRETE'!$A$6:$B$12,2,0)</f>
        <v>425.7</v>
      </c>
      <c r="W905" s="2631"/>
      <c r="X905" s="2632"/>
      <c r="Y905" s="2633"/>
    </row>
    <row r="906" spans="2:25" s="299" customFormat="1" ht="48" customHeight="1">
      <c r="B906" s="358">
        <v>0.5</v>
      </c>
      <c r="C906" s="326"/>
      <c r="D906" s="472">
        <v>3</v>
      </c>
      <c r="E906" s="360">
        <v>1372</v>
      </c>
      <c r="F906" s="472">
        <v>19</v>
      </c>
      <c r="G906" s="360">
        <v>4574</v>
      </c>
      <c r="H906" s="445"/>
      <c r="I906" s="360"/>
      <c r="J906" s="365">
        <f t="shared" si="83"/>
        <v>5946</v>
      </c>
      <c r="K906" s="366">
        <f t="shared" si="84"/>
        <v>13.213333333333333</v>
      </c>
      <c r="L906" s="365">
        <v>1</v>
      </c>
      <c r="M906" s="367" t="s">
        <v>6</v>
      </c>
      <c r="N906" s="368">
        <v>14</v>
      </c>
      <c r="O906" s="2692" t="s">
        <v>143</v>
      </c>
      <c r="P906" s="2693"/>
      <c r="Q906" s="387">
        <v>1</v>
      </c>
      <c r="R906" s="388">
        <v>1</v>
      </c>
      <c r="S906" s="591" t="s">
        <v>69</v>
      </c>
      <c r="T906" s="457">
        <v>184422</v>
      </c>
      <c r="U906" s="307"/>
      <c r="V906" s="2630">
        <f>VLOOKUP(M906,'[1]TABELA FRETE'!$A$6:$B$12,2,0)</f>
        <v>489.5</v>
      </c>
      <c r="W906" s="2631"/>
      <c r="X906" s="2632"/>
      <c r="Y906" s="2633"/>
    </row>
    <row r="907" spans="2:25" s="299" customFormat="1" ht="48" customHeight="1">
      <c r="B907" s="343">
        <v>0.58333333333333304</v>
      </c>
      <c r="C907" s="326"/>
      <c r="D907" s="459">
        <v>26</v>
      </c>
      <c r="E907" s="460">
        <v>2004</v>
      </c>
      <c r="F907" s="1173"/>
      <c r="G907" s="460"/>
      <c r="H907" s="969"/>
      <c r="I907" s="460"/>
      <c r="J907" s="350">
        <f t="shared" si="83"/>
        <v>2004</v>
      </c>
      <c r="K907" s="351">
        <f t="shared" si="84"/>
        <v>4.4533333333333331</v>
      </c>
      <c r="L907" s="350">
        <v>1</v>
      </c>
      <c r="M907" s="352">
        <v>1016</v>
      </c>
      <c r="N907" s="353">
        <v>8</v>
      </c>
      <c r="O907" s="2628" t="s">
        <v>106</v>
      </c>
      <c r="P907" s="2629"/>
      <c r="Q907" s="354">
        <v>2</v>
      </c>
      <c r="R907" s="510">
        <v>0</v>
      </c>
      <c r="S907" s="1564" t="s">
        <v>107</v>
      </c>
      <c r="T907" s="355">
        <v>606</v>
      </c>
      <c r="U907" s="307"/>
      <c r="V907" s="2630">
        <f>VLOOKUP(M907,'[1]TABELA FRETE'!$A$6:$B$12,2,0)</f>
        <v>425.7</v>
      </c>
      <c r="W907" s="2631"/>
      <c r="X907" s="2632"/>
      <c r="Y907" s="2633"/>
    </row>
    <row r="908" spans="2:25" s="299" customFormat="1" ht="52.5" customHeight="1">
      <c r="B908" s="463">
        <v>0.58333333333333304</v>
      </c>
      <c r="C908" s="326"/>
      <c r="D908" s="458">
        <v>32</v>
      </c>
      <c r="E908" s="392">
        <v>1935</v>
      </c>
      <c r="F908" s="464">
        <v>42</v>
      </c>
      <c r="G908" s="392">
        <v>2928</v>
      </c>
      <c r="H908" s="465"/>
      <c r="I908" s="392"/>
      <c r="J908" s="365">
        <f t="shared" si="83"/>
        <v>4863</v>
      </c>
      <c r="K908" s="366">
        <f t="shared" si="84"/>
        <v>10.806666666666667</v>
      </c>
      <c r="L908" s="396">
        <v>1</v>
      </c>
      <c r="M908" s="352" t="s">
        <v>7</v>
      </c>
      <c r="N908" s="353">
        <v>12</v>
      </c>
      <c r="O908" s="2692" t="s">
        <v>153</v>
      </c>
      <c r="P908" s="2693"/>
      <c r="Q908" s="354">
        <v>1</v>
      </c>
      <c r="R908" s="510">
        <v>0</v>
      </c>
      <c r="S908" s="1564" t="s">
        <v>154</v>
      </c>
      <c r="T908" s="355">
        <v>664</v>
      </c>
      <c r="U908" s="307"/>
      <c r="V908" s="2630">
        <f>VLOOKUP(M908,'[1]TABELA FRETE'!$A$6:$B$12,2,0)</f>
        <v>466.4</v>
      </c>
      <c r="W908" s="2631"/>
      <c r="X908" s="2632"/>
      <c r="Y908" s="2633"/>
    </row>
    <row r="909" spans="2:25" s="299" customFormat="1" ht="57" customHeight="1">
      <c r="B909" s="358">
        <v>0.58333333333333304</v>
      </c>
      <c r="C909" s="1619"/>
      <c r="D909" s="472">
        <v>46</v>
      </c>
      <c r="E909" s="360">
        <v>2689</v>
      </c>
      <c r="F909" s="393"/>
      <c r="G909" s="360"/>
      <c r="H909" s="445"/>
      <c r="I909" s="360"/>
      <c r="J909" s="365">
        <f t="shared" si="83"/>
        <v>2689</v>
      </c>
      <c r="K909" s="366">
        <f t="shared" si="84"/>
        <v>5.9755555555555553</v>
      </c>
      <c r="L909" s="365">
        <v>1</v>
      </c>
      <c r="M909" s="376">
        <v>1016</v>
      </c>
      <c r="N909" s="377">
        <v>8</v>
      </c>
      <c r="O909" s="2628" t="s">
        <v>90</v>
      </c>
      <c r="P909" s="2629"/>
      <c r="Q909" s="387">
        <v>2</v>
      </c>
      <c r="R909" s="407">
        <v>0</v>
      </c>
      <c r="S909" s="591" t="s">
        <v>91</v>
      </c>
      <c r="T909" s="407">
        <v>674</v>
      </c>
      <c r="U909" s="307"/>
      <c r="V909" s="2630">
        <f>VLOOKUP(M909,'[1]TABELA FRETE'!$A$6:$B$12,2,0)</f>
        <v>425.7</v>
      </c>
      <c r="W909" s="2631"/>
      <c r="X909" s="2694"/>
      <c r="Y909" s="2695"/>
    </row>
    <row r="910" spans="2:25" s="299" customFormat="1" ht="63" customHeight="1">
      <c r="B910" s="664">
        <v>0.58333333333333304</v>
      </c>
      <c r="C910" s="1174"/>
      <c r="D910" s="1133" t="s">
        <v>198</v>
      </c>
      <c r="E910" s="600">
        <v>4419</v>
      </c>
      <c r="F910" s="1495">
        <v>1129</v>
      </c>
      <c r="G910" s="600">
        <v>561</v>
      </c>
      <c r="H910" s="478"/>
      <c r="I910" s="600"/>
      <c r="J910" s="480">
        <f t="shared" si="83"/>
        <v>4980</v>
      </c>
      <c r="K910" s="481">
        <f t="shared" si="84"/>
        <v>11.066666666666666</v>
      </c>
      <c r="L910" s="480">
        <v>1</v>
      </c>
      <c r="M910" s="415" t="s">
        <v>7</v>
      </c>
      <c r="N910" s="416">
        <v>12</v>
      </c>
      <c r="O910" s="2855" t="s">
        <v>66</v>
      </c>
      <c r="P910" s="2856"/>
      <c r="Q910" s="417">
        <v>2</v>
      </c>
      <c r="R910" s="418">
        <v>0</v>
      </c>
      <c r="S910" s="1592" t="s">
        <v>67</v>
      </c>
      <c r="T910" s="420">
        <v>184461</v>
      </c>
      <c r="U910" s="307"/>
      <c r="V910" s="2630">
        <f>VLOOKUP(M910,'[1]TABELA FRETE'!$A$6:$B$12,2,0)</f>
        <v>466.4</v>
      </c>
      <c r="W910" s="2631"/>
      <c r="X910" s="3039"/>
      <c r="Y910" s="3040"/>
    </row>
    <row r="911" spans="2:25" s="301" customFormat="1" ht="6" customHeight="1">
      <c r="B911" s="326"/>
      <c r="C911" s="326"/>
      <c r="D911" s="487"/>
      <c r="E911" s="423"/>
      <c r="F911" s="488"/>
      <c r="G911" s="423"/>
      <c r="H911" s="424"/>
      <c r="I911" s="423"/>
      <c r="J911" s="423"/>
      <c r="K911" s="425"/>
      <c r="L911" s="423"/>
      <c r="M911" s="426"/>
      <c r="N911" s="427"/>
      <c r="O911" s="431"/>
      <c r="P911" s="431"/>
      <c r="Q911" s="431"/>
      <c r="R911" s="431"/>
      <c r="S911" s="489"/>
      <c r="T911" s="431"/>
      <c r="U911" s="432"/>
      <c r="V911" s="679"/>
      <c r="W911" s="679"/>
      <c r="X911" s="434"/>
      <c r="Y911" s="434"/>
    </row>
    <row r="912" spans="2:25" s="299" customFormat="1" ht="48" customHeight="1">
      <c r="B912" s="325">
        <v>0.70833333333333304</v>
      </c>
      <c r="C912" s="326"/>
      <c r="D912" s="490">
        <v>36</v>
      </c>
      <c r="E912" s="328">
        <v>2187</v>
      </c>
      <c r="F912" s="491">
        <v>33</v>
      </c>
      <c r="G912" s="328">
        <v>2873</v>
      </c>
      <c r="H912" s="438"/>
      <c r="I912" s="492"/>
      <c r="J912" s="493">
        <f t="shared" ref="J912:J920" si="87">E912+G912+I912</f>
        <v>5060</v>
      </c>
      <c r="K912" s="494">
        <f t="shared" ref="K912:K919" si="88">J912/450</f>
        <v>11.244444444444444</v>
      </c>
      <c r="L912" s="493">
        <v>1</v>
      </c>
      <c r="M912" s="439" t="s">
        <v>7</v>
      </c>
      <c r="N912" s="1176">
        <v>12</v>
      </c>
      <c r="O912" s="2940" t="s">
        <v>50</v>
      </c>
      <c r="P912" s="2941"/>
      <c r="Q912" s="498">
        <v>2</v>
      </c>
      <c r="R912" s="441">
        <v>0</v>
      </c>
      <c r="S912" s="589" t="s">
        <v>105</v>
      </c>
      <c r="T912" s="442">
        <v>612</v>
      </c>
      <c r="U912" s="307"/>
      <c r="V912" s="2630">
        <f>VLOOKUP(M912,'[1]TABELA FRETE'!$A$6:$B$12,2,0)</f>
        <v>466.4</v>
      </c>
      <c r="W912" s="2631"/>
      <c r="X912" s="2632"/>
      <c r="Y912" s="2633"/>
    </row>
    <row r="913" spans="2:25" s="299" customFormat="1" ht="48" customHeight="1">
      <c r="B913" s="358">
        <v>0.70833333333333304</v>
      </c>
      <c r="C913" s="326"/>
      <c r="D913" s="516">
        <v>30</v>
      </c>
      <c r="E913" s="360">
        <v>1994</v>
      </c>
      <c r="F913" s="521"/>
      <c r="G913" s="345"/>
      <c r="H913" s="474"/>
      <c r="I913" s="360"/>
      <c r="J913" s="467">
        <f t="shared" si="87"/>
        <v>1994</v>
      </c>
      <c r="K913" s="475">
        <f t="shared" si="88"/>
        <v>4.431111111111111</v>
      </c>
      <c r="L913" s="467">
        <v>1</v>
      </c>
      <c r="M913" s="376">
        <v>1016</v>
      </c>
      <c r="N913" s="1177">
        <v>8</v>
      </c>
      <c r="O913" s="2926" t="s">
        <v>44</v>
      </c>
      <c r="P913" s="2926"/>
      <c r="Q913" s="388">
        <v>2</v>
      </c>
      <c r="R913" s="446">
        <v>0</v>
      </c>
      <c r="S913" s="1086" t="s">
        <v>103</v>
      </c>
      <c r="T913" s="407">
        <v>674</v>
      </c>
      <c r="U913" s="307"/>
      <c r="V913" s="2630">
        <f>VLOOKUP(M913,'[1]TABELA FRETE'!$A$6:$B$12,2,0)</f>
        <v>425.7</v>
      </c>
      <c r="W913" s="2631"/>
      <c r="X913" s="2632"/>
      <c r="Y913" s="2633"/>
    </row>
    <row r="914" spans="2:25" s="299" customFormat="1" ht="48" customHeight="1">
      <c r="B914" s="358">
        <v>0.70833333333333304</v>
      </c>
      <c r="C914" s="326"/>
      <c r="D914" s="516">
        <v>21</v>
      </c>
      <c r="E914" s="360">
        <v>1922</v>
      </c>
      <c r="F914" s="521"/>
      <c r="G914" s="345"/>
      <c r="H914" s="474"/>
      <c r="I914" s="360"/>
      <c r="J914" s="467">
        <f t="shared" ref="J914" si="89">E914+G914+I914</f>
        <v>1922</v>
      </c>
      <c r="K914" s="475">
        <f t="shared" ref="K914" si="90">J914/450</f>
        <v>4.2711111111111109</v>
      </c>
      <c r="L914" s="467">
        <v>1</v>
      </c>
      <c r="M914" s="376">
        <v>1016</v>
      </c>
      <c r="N914" s="1177">
        <v>7</v>
      </c>
      <c r="O914" s="2628" t="s">
        <v>56</v>
      </c>
      <c r="P914" s="2629"/>
      <c r="Q914" s="388">
        <v>1</v>
      </c>
      <c r="R914" s="446">
        <v>0</v>
      </c>
      <c r="S914" s="1086" t="s">
        <v>57</v>
      </c>
      <c r="T914" s="407">
        <v>663</v>
      </c>
      <c r="U914" s="307"/>
      <c r="V914" s="2630">
        <f>VLOOKUP(M914,'[1]TABELA FRETE'!$A$6:$B$12,2,0)</f>
        <v>425.7</v>
      </c>
      <c r="W914" s="2631"/>
      <c r="X914" s="2632"/>
      <c r="Y914" s="2633"/>
    </row>
    <row r="915" spans="2:25" s="299" customFormat="1" ht="48" customHeight="1">
      <c r="B915" s="358">
        <v>0.70833333333333304</v>
      </c>
      <c r="C915" s="326"/>
      <c r="D915" s="516">
        <v>4</v>
      </c>
      <c r="E915" s="360">
        <v>1111</v>
      </c>
      <c r="F915" s="524"/>
      <c r="G915" s="360"/>
      <c r="H915" s="525"/>
      <c r="I915" s="360"/>
      <c r="J915" s="467">
        <f t="shared" si="87"/>
        <v>1111</v>
      </c>
      <c r="K915" s="475">
        <f t="shared" si="88"/>
        <v>2.4688888888888889</v>
      </c>
      <c r="L915" s="467">
        <v>1</v>
      </c>
      <c r="M915" s="376">
        <v>1016</v>
      </c>
      <c r="N915" s="1177">
        <v>8</v>
      </c>
      <c r="O915" s="2926" t="s">
        <v>92</v>
      </c>
      <c r="P915" s="2926"/>
      <c r="Q915" s="407">
        <v>2</v>
      </c>
      <c r="R915" s="446">
        <v>0</v>
      </c>
      <c r="S915" s="1086" t="s">
        <v>104</v>
      </c>
      <c r="T915" s="407">
        <v>576</v>
      </c>
      <c r="U915" s="432"/>
      <c r="V915" s="2630">
        <f>VLOOKUP(M915,'[1]TABELA FRETE'!$A$6:$B$12,2,0)</f>
        <v>425.7</v>
      </c>
      <c r="W915" s="2631"/>
      <c r="X915" s="2632"/>
      <c r="Y915" s="2633"/>
    </row>
    <row r="916" spans="2:25" s="299" customFormat="1" ht="48" customHeight="1">
      <c r="B916" s="358">
        <v>0.70833333333333304</v>
      </c>
      <c r="C916" s="326"/>
      <c r="D916" s="516">
        <v>18</v>
      </c>
      <c r="E916" s="360">
        <v>2091</v>
      </c>
      <c r="F916" s="524"/>
      <c r="G916" s="360"/>
      <c r="H916" s="525"/>
      <c r="I916" s="360"/>
      <c r="J916" s="467">
        <f t="shared" si="87"/>
        <v>2091</v>
      </c>
      <c r="K916" s="475">
        <f t="shared" si="88"/>
        <v>4.6466666666666665</v>
      </c>
      <c r="L916" s="467">
        <v>1</v>
      </c>
      <c r="M916" s="376">
        <v>1016</v>
      </c>
      <c r="N916" s="1177">
        <v>8</v>
      </c>
      <c r="O916" s="2628" t="s">
        <v>85</v>
      </c>
      <c r="P916" s="2629"/>
      <c r="Q916" s="388">
        <v>2</v>
      </c>
      <c r="R916" s="446">
        <v>0</v>
      </c>
      <c r="S916" s="1086" t="s">
        <v>86</v>
      </c>
      <c r="T916" s="407">
        <v>714</v>
      </c>
      <c r="U916" s="432"/>
      <c r="V916" s="2630">
        <f>VLOOKUP(M916,'[1]TABELA FRETE'!$A$6:$B$12,2,0)</f>
        <v>425.7</v>
      </c>
      <c r="W916" s="2631"/>
      <c r="X916" s="2632"/>
      <c r="Y916" s="2633"/>
    </row>
    <row r="917" spans="2:25" s="299" customFormat="1" ht="48" customHeight="1">
      <c r="B917" s="463">
        <v>0.70833333333333304</v>
      </c>
      <c r="C917" s="326"/>
      <c r="D917" s="516">
        <v>7</v>
      </c>
      <c r="E917" s="360">
        <v>4008</v>
      </c>
      <c r="F917" s="1620"/>
      <c r="G917" s="375"/>
      <c r="H917" s="474"/>
      <c r="I917" s="360"/>
      <c r="J917" s="467">
        <f t="shared" si="87"/>
        <v>4008</v>
      </c>
      <c r="K917" s="475">
        <f t="shared" si="88"/>
        <v>8.9066666666666663</v>
      </c>
      <c r="L917" s="467">
        <v>1</v>
      </c>
      <c r="M917" s="594">
        <v>1016</v>
      </c>
      <c r="N917" s="1180">
        <v>10</v>
      </c>
      <c r="O917" s="2628" t="s">
        <v>81</v>
      </c>
      <c r="P917" s="2629"/>
      <c r="Q917" s="596">
        <v>2</v>
      </c>
      <c r="R917" s="741">
        <v>0</v>
      </c>
      <c r="S917" s="1181" t="s">
        <v>82</v>
      </c>
      <c r="T917" s="407">
        <v>606</v>
      </c>
      <c r="U917" s="307"/>
      <c r="V917" s="2630">
        <f>VLOOKUP(M917,'[1]TABELA FRETE'!$A$6:$B$12,2,0)</f>
        <v>425.7</v>
      </c>
      <c r="W917" s="2631"/>
      <c r="X917" s="2632"/>
      <c r="Y917" s="2633"/>
    </row>
    <row r="918" spans="2:25" s="299" customFormat="1" ht="48" customHeight="1">
      <c r="B918" s="358">
        <v>0.58333333333333304</v>
      </c>
      <c r="C918" s="326"/>
      <c r="D918" s="522">
        <v>48</v>
      </c>
      <c r="E918" s="392">
        <v>1919</v>
      </c>
      <c r="F918" s="393"/>
      <c r="G918" s="360"/>
      <c r="H918" s="363"/>
      <c r="I918" s="375"/>
      <c r="J918" s="365">
        <f t="shared" si="87"/>
        <v>1919</v>
      </c>
      <c r="K918" s="366">
        <f t="shared" si="88"/>
        <v>4.264444444444444</v>
      </c>
      <c r="L918" s="365">
        <v>1</v>
      </c>
      <c r="M918" s="376">
        <v>1016</v>
      </c>
      <c r="N918" s="1177">
        <v>8</v>
      </c>
      <c r="O918" s="2628" t="s">
        <v>88</v>
      </c>
      <c r="P918" s="2629"/>
      <c r="Q918" s="407">
        <v>1</v>
      </c>
      <c r="R918" s="446">
        <v>0</v>
      </c>
      <c r="S918" s="1086" t="s">
        <v>89</v>
      </c>
      <c r="T918" s="407">
        <v>799</v>
      </c>
      <c r="U918" s="307"/>
      <c r="V918" s="2630">
        <f>VLOOKUP(M918,'[1]TABELA FRETE'!$A$6:$B$12,2,0)</f>
        <v>425.7</v>
      </c>
      <c r="W918" s="2631"/>
      <c r="X918" s="2632"/>
      <c r="Y918" s="2633"/>
    </row>
    <row r="919" spans="2:25" s="299" customFormat="1" ht="48" customHeight="1">
      <c r="B919" s="408">
        <v>0.70833333333333304</v>
      </c>
      <c r="C919" s="326"/>
      <c r="D919" s="542">
        <v>13</v>
      </c>
      <c r="E919" s="410">
        <v>2844</v>
      </c>
      <c r="F919" s="666"/>
      <c r="G919" s="544"/>
      <c r="H919" s="545"/>
      <c r="I919" s="544"/>
      <c r="J919" s="546">
        <f t="shared" si="87"/>
        <v>2844</v>
      </c>
      <c r="K919" s="547">
        <f t="shared" si="88"/>
        <v>6.32</v>
      </c>
      <c r="L919" s="546">
        <v>1</v>
      </c>
      <c r="M919" s="667" t="s">
        <v>7</v>
      </c>
      <c r="N919" s="841">
        <v>12</v>
      </c>
      <c r="O919" s="2930" t="s">
        <v>68</v>
      </c>
      <c r="P919" s="2930"/>
      <c r="Q919" s="551">
        <v>1</v>
      </c>
      <c r="R919" s="842">
        <v>0</v>
      </c>
      <c r="S919" s="843" t="s">
        <v>174</v>
      </c>
      <c r="T919" s="710">
        <v>808</v>
      </c>
      <c r="U919" s="307"/>
      <c r="V919" s="2630">
        <f>VLOOKUP(M919,'[1]TABELA FRETE'!$D$7:$E$12,2,0)</f>
        <v>1161.5999999999999</v>
      </c>
      <c r="W919" s="2631"/>
      <c r="X919" s="2632"/>
      <c r="Y919" s="2633"/>
    </row>
    <row r="920" spans="2:25" s="299" customFormat="1" ht="49.5" customHeight="1">
      <c r="B920" s="554" t="s">
        <v>108</v>
      </c>
      <c r="C920" s="555"/>
      <c r="D920" s="556"/>
      <c r="E920" s="557">
        <f>SUM(E882:E919)</f>
        <v>88528</v>
      </c>
      <c r="F920" s="557" t="s">
        <v>109</v>
      </c>
      <c r="G920" s="557">
        <f>SUM(G882:G919)</f>
        <v>28188</v>
      </c>
      <c r="H920" s="557" t="s">
        <v>109</v>
      </c>
      <c r="I920" s="319">
        <f>SUM(I882:I919)</f>
        <v>0</v>
      </c>
      <c r="J920" s="319">
        <f t="shared" si="87"/>
        <v>116716</v>
      </c>
      <c r="K920" s="558">
        <f>SUM(K882:K919)</f>
        <v>259.36888888888888</v>
      </c>
      <c r="L920" s="559">
        <f>SUM(L882:L919)</f>
        <v>35</v>
      </c>
      <c r="M920" s="560" t="s">
        <v>110</v>
      </c>
      <c r="N920" s="554">
        <f>SUM(N882:N919)</f>
        <v>322</v>
      </c>
      <c r="O920" s="557" t="s">
        <v>32</v>
      </c>
      <c r="P920" s="557"/>
      <c r="Q920" s="319"/>
      <c r="R920" s="561">
        <f>SUM(R882:R919)</f>
        <v>2</v>
      </c>
      <c r="S920" s="562" t="s">
        <v>111</v>
      </c>
      <c r="T920" s="563"/>
      <c r="U920" s="307"/>
      <c r="V920" s="2558">
        <f>SUM(V882:W919)</f>
        <v>15721.200000000003</v>
      </c>
      <c r="W920" s="2559"/>
      <c r="X920" s="2564">
        <f>COUNT(X882:Y919)</f>
        <v>0</v>
      </c>
      <c r="Y920" s="2565"/>
    </row>
    <row r="921" spans="2:25" s="299" customFormat="1" ht="42" customHeight="1">
      <c r="B921" s="2895" t="s">
        <v>112</v>
      </c>
      <c r="C921" s="2896"/>
      <c r="D921" s="2896"/>
      <c r="E921" s="2896"/>
      <c r="F921" s="2896"/>
      <c r="G921" s="2896"/>
      <c r="H921" s="2896"/>
      <c r="I921" s="2896"/>
      <c r="J921" s="2896"/>
      <c r="K921" s="557">
        <v>44</v>
      </c>
      <c r="L921" s="2896" t="s">
        <v>113</v>
      </c>
      <c r="M921" s="2965"/>
      <c r="N921" s="3036" t="s">
        <v>114</v>
      </c>
      <c r="O921" s="3037"/>
      <c r="P921" s="3037"/>
      <c r="Q921" s="3037"/>
      <c r="R921" s="3038"/>
      <c r="S921" s="3036" t="s">
        <v>115</v>
      </c>
      <c r="T921" s="3038"/>
      <c r="U921" s="307"/>
      <c r="V921" s="2560"/>
      <c r="W921" s="2561"/>
      <c r="X921" s="2566"/>
      <c r="Y921" s="2567"/>
    </row>
    <row r="922" spans="2:25" s="299" customFormat="1" ht="3.95" customHeight="1">
      <c r="B922" s="2666" t="s">
        <v>116</v>
      </c>
      <c r="C922" s="2667"/>
      <c r="D922" s="2667"/>
      <c r="E922" s="2670">
        <f>L920</f>
        <v>35</v>
      </c>
      <c r="F922" s="2666" t="s">
        <v>30</v>
      </c>
      <c r="G922" s="2667"/>
      <c r="H922" s="2670">
        <f>J920</f>
        <v>116716</v>
      </c>
      <c r="I922" s="2671"/>
      <c r="J922" s="2667" t="s">
        <v>117</v>
      </c>
      <c r="K922" s="2671">
        <f>H922/E922</f>
        <v>3334.7428571428572</v>
      </c>
      <c r="L922" s="2670" t="s">
        <v>118</v>
      </c>
      <c r="M922" s="2670"/>
      <c r="N922" s="2670"/>
      <c r="O922" s="2671">
        <v>44</v>
      </c>
      <c r="P922" s="1184"/>
      <c r="Q922" s="1184"/>
      <c r="R922" s="1184"/>
      <c r="S922" s="1184"/>
      <c r="T922" s="1185"/>
      <c r="U922" s="307"/>
      <c r="V922" s="2562"/>
      <c r="W922" s="2563"/>
      <c r="X922" s="2568"/>
      <c r="Y922" s="2569"/>
    </row>
    <row r="923" spans="2:25" s="299" customFormat="1" ht="39" customHeight="1">
      <c r="B923" s="2668"/>
      <c r="C923" s="2669"/>
      <c r="D923" s="2669"/>
      <c r="E923" s="2672"/>
      <c r="F923" s="2668"/>
      <c r="G923" s="2669"/>
      <c r="H923" s="2672"/>
      <c r="I923" s="2673"/>
      <c r="J923" s="2669"/>
      <c r="K923" s="2673"/>
      <c r="L923" s="2672"/>
      <c r="M923" s="2672"/>
      <c r="N923" s="2672"/>
      <c r="O923" s="2673"/>
      <c r="P923" s="425"/>
      <c r="Q923" s="2663" t="s">
        <v>119</v>
      </c>
      <c r="R923" s="2664"/>
      <c r="S923" s="2664"/>
      <c r="T923" s="2665"/>
      <c r="U923" s="307"/>
      <c r="V923" s="2578" t="s">
        <v>120</v>
      </c>
      <c r="W923" s="2579"/>
      <c r="X923" s="2582" t="s">
        <v>121</v>
      </c>
      <c r="Y923" s="2583"/>
    </row>
    <row r="924" spans="2:25" s="299" customFormat="1" ht="45" customHeight="1">
      <c r="B924" s="2889" t="s">
        <v>122</v>
      </c>
      <c r="C924" s="2674" t="s">
        <v>33</v>
      </c>
      <c r="D924" s="2675"/>
      <c r="E924" s="2541" t="s">
        <v>123</v>
      </c>
      <c r="F924" s="2542"/>
      <c r="G924" s="2542"/>
      <c r="H924" s="2542"/>
      <c r="I924" s="2542"/>
      <c r="J924" s="2542"/>
      <c r="K924" s="2542"/>
      <c r="L924" s="2542"/>
      <c r="M924" s="2542"/>
      <c r="N924" s="2542"/>
      <c r="O924" s="2543"/>
      <c r="P924" s="1186"/>
      <c r="Q924" s="2680" t="s">
        <v>124</v>
      </c>
      <c r="R924" s="2681"/>
      <c r="S924" s="2681"/>
      <c r="T924" s="2682"/>
      <c r="U924" s="307"/>
      <c r="V924" s="2578"/>
      <c r="W924" s="2579"/>
      <c r="X924" s="2582"/>
      <c r="Y924" s="2583"/>
    </row>
    <row r="925" spans="2:25" s="299" customFormat="1" ht="45" customHeight="1">
      <c r="B925" s="2890"/>
      <c r="C925" s="2676"/>
      <c r="D925" s="2677"/>
      <c r="E925" s="2544"/>
      <c r="F925" s="2545"/>
      <c r="G925" s="2545"/>
      <c r="H925" s="2545"/>
      <c r="I925" s="2545"/>
      <c r="J925" s="2545"/>
      <c r="K925" s="2545"/>
      <c r="L925" s="2545"/>
      <c r="M925" s="2545"/>
      <c r="N925" s="2545"/>
      <c r="O925" s="2546"/>
      <c r="P925" s="1187"/>
      <c r="Q925" s="2683" t="s">
        <v>125</v>
      </c>
      <c r="R925" s="2684"/>
      <c r="S925" s="2684"/>
      <c r="T925" s="2685"/>
      <c r="U925" s="307"/>
      <c r="V925" s="2580"/>
      <c r="W925" s="2581"/>
      <c r="X925" s="2584"/>
      <c r="Y925" s="2585"/>
    </row>
    <row r="926" spans="2:25" s="299" customFormat="1" ht="45" customHeight="1">
      <c r="B926" s="1600" t="s">
        <v>9</v>
      </c>
      <c r="C926" s="2870">
        <f>COUNTIF(M882:M919,"kia")</f>
        <v>2</v>
      </c>
      <c r="D926" s="2871"/>
      <c r="E926" s="2547"/>
      <c r="F926" s="2548"/>
      <c r="G926" s="2548"/>
      <c r="H926" s="2548"/>
      <c r="I926" s="2548"/>
      <c r="J926" s="2548"/>
      <c r="K926" s="2548"/>
      <c r="L926" s="2548"/>
      <c r="M926" s="2548"/>
      <c r="N926" s="2548"/>
      <c r="O926" s="2549"/>
      <c r="P926" s="1187"/>
      <c r="Q926" s="2686" t="s">
        <v>126</v>
      </c>
      <c r="R926" s="2687"/>
      <c r="S926" s="2687"/>
      <c r="T926" s="2688"/>
      <c r="U926" s="307"/>
      <c r="V926" s="321"/>
      <c r="W926" s="321"/>
      <c r="X926" s="321"/>
      <c r="Y926" s="321"/>
    </row>
    <row r="927" spans="2:25" s="299" customFormat="1" ht="45" customHeight="1">
      <c r="B927" s="1601" t="s">
        <v>8</v>
      </c>
      <c r="C927" s="2872">
        <f>COUNTIF(M882:M919,"iveco")</f>
        <v>1</v>
      </c>
      <c r="D927" s="2873"/>
      <c r="E927" s="2586" t="s">
        <v>127</v>
      </c>
      <c r="F927" s="2587"/>
      <c r="G927" s="2587"/>
      <c r="H927" s="2587"/>
      <c r="I927" s="2587"/>
      <c r="J927" s="2587"/>
      <c r="K927" s="2587"/>
      <c r="L927" s="2587"/>
      <c r="M927" s="2587"/>
      <c r="N927" s="2587"/>
      <c r="O927" s="2588"/>
      <c r="P927" s="1187"/>
      <c r="Q927" s="2592" t="s">
        <v>128</v>
      </c>
      <c r="R927" s="2593"/>
      <c r="S927" s="2593"/>
      <c r="T927" s="2594"/>
      <c r="U927" s="307"/>
      <c r="V927" s="2689" t="s">
        <v>129</v>
      </c>
      <c r="W927" s="2690"/>
      <c r="X927" s="2690"/>
      <c r="Y927" s="2691"/>
    </row>
    <row r="928" spans="2:25" s="299" customFormat="1" ht="45" customHeight="1">
      <c r="B928" s="1601">
        <v>1016</v>
      </c>
      <c r="C928" s="2872">
        <f>COUNTIF(M882:M919,"1016")</f>
        <v>18</v>
      </c>
      <c r="D928" s="2873"/>
      <c r="E928" s="2589"/>
      <c r="F928" s="2590"/>
      <c r="G928" s="2590"/>
      <c r="H928" s="2590"/>
      <c r="I928" s="2590"/>
      <c r="J928" s="2590"/>
      <c r="K928" s="2590"/>
      <c r="L928" s="2590"/>
      <c r="M928" s="2590"/>
      <c r="N928" s="2590"/>
      <c r="O928" s="2591"/>
      <c r="P928" s="1187"/>
      <c r="Q928" s="2595"/>
      <c r="R928" s="2596"/>
      <c r="S928" s="2596"/>
      <c r="T928" s="2597"/>
      <c r="U928" s="307"/>
      <c r="V928" s="2601" t="s">
        <v>130</v>
      </c>
      <c r="W928" s="2602"/>
      <c r="X928" s="2602"/>
      <c r="Y928" s="2603"/>
    </row>
    <row r="929" spans="1:26" s="299" customFormat="1" ht="45" customHeight="1">
      <c r="B929" s="1601" t="s">
        <v>7</v>
      </c>
      <c r="C929" s="2872">
        <f>COUNTIF(M882:M919,"toco")</f>
        <v>12</v>
      </c>
      <c r="D929" s="2873"/>
      <c r="E929" s="2607" t="s">
        <v>131</v>
      </c>
      <c r="F929" s="2608"/>
      <c r="G929" s="2608"/>
      <c r="H929" s="2608"/>
      <c r="I929" s="2608"/>
      <c r="J929" s="2608"/>
      <c r="K929" s="2608"/>
      <c r="L929" s="2608"/>
      <c r="M929" s="2608"/>
      <c r="N929" s="2608"/>
      <c r="O929" s="2609"/>
      <c r="P929" s="1186"/>
      <c r="Q929" s="2598"/>
      <c r="R929" s="2599"/>
      <c r="S929" s="2599"/>
      <c r="T929" s="2600"/>
      <c r="U929" s="307"/>
      <c r="V929" s="2604"/>
      <c r="W929" s="2605"/>
      <c r="X929" s="2605"/>
      <c r="Y929" s="2606"/>
    </row>
    <row r="930" spans="1:26" s="299" customFormat="1" ht="45" customHeight="1">
      <c r="B930" s="1602" t="s">
        <v>6</v>
      </c>
      <c r="C930" s="2874">
        <f>COUNTIF(M882:M919,"truck")</f>
        <v>2</v>
      </c>
      <c r="D930" s="2875"/>
      <c r="E930" s="2555"/>
      <c r="F930" s="2556"/>
      <c r="G930" s="2556"/>
      <c r="H930" s="2556"/>
      <c r="I930" s="2556"/>
      <c r="J930" s="2556"/>
      <c r="K930" s="2556"/>
      <c r="L930" s="2556"/>
      <c r="M930" s="2556"/>
      <c r="N930" s="2556"/>
      <c r="O930" s="2557"/>
      <c r="P930" s="1186"/>
      <c r="Q930" s="2610" t="s">
        <v>132</v>
      </c>
      <c r="R930" s="2611"/>
      <c r="S930" s="2611"/>
      <c r="T930" s="2612"/>
      <c r="U930" s="307"/>
      <c r="V930" s="2616" t="s">
        <v>133</v>
      </c>
      <c r="W930" s="2617"/>
      <c r="X930" s="2622">
        <f>SUM(E882:E919,G882:G919,I882:I919)</f>
        <v>116716</v>
      </c>
      <c r="Y930" s="2623"/>
    </row>
    <row r="931" spans="1:26" s="299" customFormat="1" ht="45" customHeight="1">
      <c r="B931" s="2889" t="s">
        <v>134</v>
      </c>
      <c r="C931" s="2676">
        <f>SUM(C926:D930)</f>
        <v>35</v>
      </c>
      <c r="D931" s="2677"/>
      <c r="E931" s="2552" t="s">
        <v>135</v>
      </c>
      <c r="F931" s="2553"/>
      <c r="G931" s="2553"/>
      <c r="H931" s="2553"/>
      <c r="I931" s="2553"/>
      <c r="J931" s="2553"/>
      <c r="K931" s="2553"/>
      <c r="L931" s="2553"/>
      <c r="M931" s="2553"/>
      <c r="N931" s="2553"/>
      <c r="O931" s="2554"/>
      <c r="P931" s="1191"/>
      <c r="Q931" s="2610"/>
      <c r="R931" s="2611"/>
      <c r="S931" s="2611"/>
      <c r="T931" s="2612"/>
      <c r="U931" s="574"/>
      <c r="V931" s="2618"/>
      <c r="W931" s="2619"/>
      <c r="X931" s="2624"/>
      <c r="Y931" s="2625"/>
    </row>
    <row r="932" spans="1:26" s="299" customFormat="1" ht="45" customHeight="1">
      <c r="B932" s="2890"/>
      <c r="C932" s="2678"/>
      <c r="D932" s="2679"/>
      <c r="E932" s="2555"/>
      <c r="F932" s="2556"/>
      <c r="G932" s="2556"/>
      <c r="H932" s="2556"/>
      <c r="I932" s="2556"/>
      <c r="J932" s="2556"/>
      <c r="K932" s="2556"/>
      <c r="L932" s="2556"/>
      <c r="M932" s="2556"/>
      <c r="N932" s="2556"/>
      <c r="O932" s="2557"/>
      <c r="P932" s="1192"/>
      <c r="Q932" s="2610"/>
      <c r="R932" s="2611"/>
      <c r="S932" s="2611"/>
      <c r="T932" s="2612"/>
      <c r="U932" s="574"/>
      <c r="V932" s="2618"/>
      <c r="W932" s="2619"/>
      <c r="X932" s="2624"/>
      <c r="Y932" s="2625"/>
    </row>
    <row r="933" spans="1:26" s="300" customFormat="1" ht="45" customHeight="1">
      <c r="B933" s="1603" t="s">
        <v>136</v>
      </c>
      <c r="C933" s="2847" t="s">
        <v>137</v>
      </c>
      <c r="D933" s="2848"/>
      <c r="E933" s="2848"/>
      <c r="F933" s="2848"/>
      <c r="G933" s="2848"/>
      <c r="H933" s="2848"/>
      <c r="I933" s="2848"/>
      <c r="J933" s="2848"/>
      <c r="K933" s="2848"/>
      <c r="L933" s="2848"/>
      <c r="M933" s="2848"/>
      <c r="N933" s="2848"/>
      <c r="O933" s="2849"/>
      <c r="P933" s="1192"/>
      <c r="Q933" s="2613"/>
      <c r="R933" s="2614"/>
      <c r="S933" s="2614"/>
      <c r="T933" s="2615"/>
      <c r="V933" s="2620"/>
      <c r="W933" s="2621"/>
      <c r="X933" s="2626"/>
      <c r="Y933" s="2627"/>
    </row>
    <row r="939" spans="1:26" ht="45" customHeight="1">
      <c r="A939" s="577"/>
      <c r="B939" s="2799"/>
      <c r="C939" s="2800"/>
      <c r="D939" s="2800"/>
      <c r="E939" s="2800"/>
      <c r="F939" s="2800"/>
      <c r="G939" s="2800"/>
      <c r="H939" s="2800"/>
      <c r="I939" s="2801"/>
      <c r="J939" s="2876" t="s">
        <v>18</v>
      </c>
      <c r="K939" s="2877"/>
      <c r="L939" s="2877"/>
      <c r="M939" s="2877"/>
      <c r="N939" s="2877"/>
      <c r="O939" s="2877"/>
      <c r="P939" s="2877"/>
      <c r="Q939" s="2878"/>
      <c r="R939" s="2718">
        <v>46158</v>
      </c>
      <c r="S939" s="2719"/>
      <c r="T939" s="2720"/>
      <c r="U939" s="578"/>
      <c r="V939" s="2704" t="s">
        <v>19</v>
      </c>
      <c r="W939" s="2705"/>
      <c r="X939" s="2705"/>
      <c r="Y939" s="2706"/>
      <c r="Z939" s="577"/>
    </row>
    <row r="940" spans="1:26" ht="39.950000000000003" customHeight="1">
      <c r="A940" s="577"/>
      <c r="B940" s="2802"/>
      <c r="C940" s="2803"/>
      <c r="D940" s="2803"/>
      <c r="E940" s="2803"/>
      <c r="F940" s="2803"/>
      <c r="G940" s="2803"/>
      <c r="H940" s="2803"/>
      <c r="I940" s="2804"/>
      <c r="J940" s="2724" t="s">
        <v>20</v>
      </c>
      <c r="K940" s="2725"/>
      <c r="L940" s="2725"/>
      <c r="M940" s="2725"/>
      <c r="N940" s="2725"/>
      <c r="O940" s="2725"/>
      <c r="P940" s="2725"/>
      <c r="Q940" s="2726"/>
      <c r="R940" s="2721"/>
      <c r="S940" s="2722"/>
      <c r="T940" s="2723"/>
      <c r="U940" s="578"/>
      <c r="V940" s="2707"/>
      <c r="W940" s="2708"/>
      <c r="X940" s="2708"/>
      <c r="Y940" s="2709"/>
      <c r="Z940" s="577"/>
    </row>
    <row r="941" spans="1:26" ht="6" customHeight="1">
      <c r="A941" s="577"/>
      <c r="B941" s="579"/>
      <c r="C941" s="579"/>
      <c r="D941" s="579"/>
      <c r="E941" s="579"/>
      <c r="F941" s="579"/>
      <c r="G941" s="579"/>
      <c r="H941" s="579"/>
      <c r="I941" s="579"/>
      <c r="J941" s="2727"/>
      <c r="K941" s="2728"/>
      <c r="L941" s="2728"/>
      <c r="M941" s="2728"/>
      <c r="N941" s="2728"/>
      <c r="O941" s="2728"/>
      <c r="P941" s="2728"/>
      <c r="Q941" s="2729"/>
      <c r="R941" s="580"/>
      <c r="S941" s="581"/>
      <c r="T941" s="582"/>
      <c r="U941" s="578"/>
      <c r="V941" s="583"/>
      <c r="W941" s="583"/>
      <c r="X941" s="583"/>
      <c r="Y941" s="583"/>
      <c r="Z941" s="577"/>
    </row>
    <row r="942" spans="1:26" s="302" customFormat="1" ht="48.95" customHeight="1">
      <c r="A942" s="584"/>
      <c r="B942" s="2881" t="s">
        <v>22</v>
      </c>
      <c r="C942" s="315"/>
      <c r="D942" s="2853" t="s">
        <v>23</v>
      </c>
      <c r="E942" s="2854"/>
      <c r="F942" s="2853" t="s">
        <v>24</v>
      </c>
      <c r="G942" s="2854"/>
      <c r="H942" s="2853" t="s">
        <v>25</v>
      </c>
      <c r="I942" s="2854"/>
      <c r="J942" s="2730"/>
      <c r="K942" s="2731"/>
      <c r="L942" s="2731"/>
      <c r="M942" s="2731"/>
      <c r="N942" s="2731"/>
      <c r="O942" s="2731"/>
      <c r="P942" s="2731"/>
      <c r="Q942" s="2732"/>
      <c r="R942" s="3034" t="s">
        <v>26</v>
      </c>
      <c r="S942" s="3035"/>
      <c r="T942" s="585">
        <f>L1009</f>
        <v>50</v>
      </c>
      <c r="U942" s="322"/>
      <c r="V942" s="2525" t="s">
        <v>27</v>
      </c>
      <c r="W942" s="2526"/>
      <c r="X942" s="2525" t="s">
        <v>28</v>
      </c>
      <c r="Y942" s="2526"/>
      <c r="Z942" s="583"/>
    </row>
    <row r="943" spans="1:26" s="302" customFormat="1" ht="51.95" customHeight="1">
      <c r="A943" s="584"/>
      <c r="B943" s="2882"/>
      <c r="C943" s="315"/>
      <c r="D943" s="323" t="s">
        <v>30</v>
      </c>
      <c r="E943" s="323" t="s">
        <v>29</v>
      </c>
      <c r="F943" s="323" t="s">
        <v>30</v>
      </c>
      <c r="G943" s="323" t="s">
        <v>29</v>
      </c>
      <c r="H943" s="323" t="s">
        <v>30</v>
      </c>
      <c r="I943" s="317" t="s">
        <v>138</v>
      </c>
      <c r="J943" s="317" t="s">
        <v>31</v>
      </c>
      <c r="K943" s="323" t="s">
        <v>32</v>
      </c>
      <c r="L943" s="323" t="s">
        <v>33</v>
      </c>
      <c r="M943" s="323" t="s">
        <v>34</v>
      </c>
      <c r="N943" s="323" t="s">
        <v>32</v>
      </c>
      <c r="O943" s="2853" t="s">
        <v>35</v>
      </c>
      <c r="P943" s="2854"/>
      <c r="Q943" s="323" t="s">
        <v>36</v>
      </c>
      <c r="R943" s="323" t="s">
        <v>37</v>
      </c>
      <c r="S943" s="323" t="s">
        <v>38</v>
      </c>
      <c r="T943" s="324" t="s">
        <v>39</v>
      </c>
      <c r="U943" s="322"/>
      <c r="V943" s="2710"/>
      <c r="W943" s="2711"/>
      <c r="X943" s="2710"/>
      <c r="Y943" s="2711"/>
      <c r="Z943" s="583"/>
    </row>
    <row r="944" spans="1:26" ht="47.25" customHeight="1">
      <c r="A944" s="577"/>
      <c r="B944" s="325">
        <v>0.41666666666666702</v>
      </c>
      <c r="C944" s="326"/>
      <c r="D944" s="327">
        <v>28</v>
      </c>
      <c r="E944" s="328">
        <v>1294</v>
      </c>
      <c r="F944" s="586"/>
      <c r="G944" s="330"/>
      <c r="H944" s="587"/>
      <c r="I944" s="330"/>
      <c r="J944" s="332">
        <f t="shared" ref="J944:J949" si="91">E944+G944+I944</f>
        <v>1294</v>
      </c>
      <c r="K944" s="333">
        <f t="shared" ref="K944:K949" si="92">J944/450</f>
        <v>2.8755555555555556</v>
      </c>
      <c r="L944" s="332">
        <v>1</v>
      </c>
      <c r="M944" s="1351">
        <v>1016</v>
      </c>
      <c r="N944" s="1352">
        <v>7</v>
      </c>
      <c r="O944" s="3016" t="s">
        <v>56</v>
      </c>
      <c r="P944" s="3017"/>
      <c r="Q944" s="1244">
        <v>1</v>
      </c>
      <c r="R944" s="1245">
        <v>1</v>
      </c>
      <c r="S944" s="1246" t="s">
        <v>57</v>
      </c>
      <c r="T944" s="1245">
        <v>663</v>
      </c>
      <c r="U944" s="590"/>
      <c r="V944" s="2630">
        <f>VLOOKUP(M944,'[1]TABELA FRETE'!$A$6:$B$12,2,0)</f>
        <v>425.7</v>
      </c>
      <c r="W944" s="2631"/>
      <c r="X944" s="2694"/>
      <c r="Y944" s="2695"/>
      <c r="Z944" s="577"/>
    </row>
    <row r="945" spans="1:26" ht="47.25" customHeight="1">
      <c r="A945" s="577"/>
      <c r="B945" s="343">
        <v>0.41666666666666702</v>
      </c>
      <c r="C945" s="326"/>
      <c r="D945" s="359">
        <v>29</v>
      </c>
      <c r="E945" s="375">
        <v>2709</v>
      </c>
      <c r="F945" s="361"/>
      <c r="G945" s="360"/>
      <c r="H945" s="363"/>
      <c r="I945" s="375"/>
      <c r="J945" s="365">
        <f t="shared" si="91"/>
        <v>2709</v>
      </c>
      <c r="K945" s="366">
        <f t="shared" si="92"/>
        <v>6.02</v>
      </c>
      <c r="L945" s="365">
        <v>1</v>
      </c>
      <c r="M945" s="1621" t="s">
        <v>7</v>
      </c>
      <c r="N945" s="1622">
        <v>10</v>
      </c>
      <c r="O945" s="3020" t="s">
        <v>246</v>
      </c>
      <c r="P945" s="3021"/>
      <c r="Q945" s="1623">
        <v>1</v>
      </c>
      <c r="R945" s="1624">
        <v>1</v>
      </c>
      <c r="S945" s="1625" t="s">
        <v>250</v>
      </c>
      <c r="T945" s="1624">
        <v>353</v>
      </c>
      <c r="U945" s="590"/>
      <c r="V945" s="2630">
        <f>VLOOKUP(M945,'[1]TABELA FRETE'!$A$6:$B$12,2,0)</f>
        <v>466.4</v>
      </c>
      <c r="W945" s="2631"/>
      <c r="X945" s="2694"/>
      <c r="Y945" s="2695"/>
      <c r="Z945" s="577"/>
    </row>
    <row r="946" spans="1:26" s="300" customFormat="1" ht="54" customHeight="1">
      <c r="B946" s="463">
        <v>0.41666666666666702</v>
      </c>
      <c r="C946" s="326"/>
      <c r="D946" s="1626" t="s">
        <v>198</v>
      </c>
      <c r="E946" s="1627"/>
      <c r="F946" s="1626" t="s">
        <v>78</v>
      </c>
      <c r="G946" s="1628"/>
      <c r="H946" s="3024" t="s">
        <v>226</v>
      </c>
      <c r="I946" s="3025"/>
      <c r="J946" s="365">
        <f t="shared" ref="J946" si="93">E946+G946+I946</f>
        <v>0</v>
      </c>
      <c r="K946" s="366">
        <v>4</v>
      </c>
      <c r="L946" s="365">
        <v>1</v>
      </c>
      <c r="M946" s="1621" t="s">
        <v>7</v>
      </c>
      <c r="N946" s="1622">
        <v>10</v>
      </c>
      <c r="O946" s="3020" t="s">
        <v>288</v>
      </c>
      <c r="P946" s="3021"/>
      <c r="Q946" s="1623">
        <v>1</v>
      </c>
      <c r="R946" s="1624">
        <v>1</v>
      </c>
      <c r="S946" s="1625" t="s">
        <v>289</v>
      </c>
      <c r="T946" s="1624">
        <v>353</v>
      </c>
      <c r="U946" s="307"/>
      <c r="V946" s="2630">
        <f>VLOOKUP(M946,'[1]TABELA FRETE'!$A$6:$B$12,2,0)</f>
        <v>466.4</v>
      </c>
      <c r="W946" s="2631"/>
      <c r="X946" s="2694"/>
      <c r="Y946" s="2695"/>
    </row>
    <row r="947" spans="1:26" ht="47.25" customHeight="1">
      <c r="A947" s="577"/>
      <c r="B947" s="463">
        <v>0.41666666666666702</v>
      </c>
      <c r="C947" s="326"/>
      <c r="D947" s="344">
        <v>11</v>
      </c>
      <c r="E947" s="345">
        <v>1900</v>
      </c>
      <c r="F947" s="592"/>
      <c r="G947" s="349"/>
      <c r="H947" s="593"/>
      <c r="I947" s="349"/>
      <c r="J947" s="365">
        <f t="shared" si="91"/>
        <v>1900</v>
      </c>
      <c r="K947" s="366">
        <f t="shared" si="92"/>
        <v>4.2222222222222223</v>
      </c>
      <c r="L947" s="350">
        <v>1</v>
      </c>
      <c r="M947" s="1629" t="s">
        <v>8</v>
      </c>
      <c r="N947" s="1630">
        <v>4</v>
      </c>
      <c r="O947" s="3026" t="s">
        <v>96</v>
      </c>
      <c r="P947" s="3027"/>
      <c r="Q947" s="1631">
        <v>2</v>
      </c>
      <c r="R947" s="1632">
        <v>2</v>
      </c>
      <c r="S947" s="1633" t="s">
        <v>290</v>
      </c>
      <c r="T947" s="1632">
        <v>456</v>
      </c>
      <c r="U947" s="590"/>
      <c r="V947" s="2630">
        <f>VLOOKUP(M947,'[1]TABELA FRETE'!$A$6:$B$12,2,0)</f>
        <v>286</v>
      </c>
      <c r="W947" s="2631"/>
      <c r="X947" s="2694"/>
      <c r="Y947" s="2695"/>
      <c r="Z947" s="577"/>
    </row>
    <row r="948" spans="1:26" ht="47.25" customHeight="1">
      <c r="A948" s="577"/>
      <c r="B948" s="463">
        <v>0.41666666666666702</v>
      </c>
      <c r="C948" s="326"/>
      <c r="D948" s="359">
        <v>11</v>
      </c>
      <c r="E948" s="360">
        <v>1400</v>
      </c>
      <c r="F948" s="1143"/>
      <c r="G948" s="364"/>
      <c r="H948" s="702"/>
      <c r="I948" s="364"/>
      <c r="J948" s="350">
        <f t="shared" si="91"/>
        <v>1400</v>
      </c>
      <c r="K948" s="351">
        <f t="shared" si="92"/>
        <v>3.1111111111111112</v>
      </c>
      <c r="L948" s="365">
        <v>1</v>
      </c>
      <c r="M948" s="1634" t="s">
        <v>9</v>
      </c>
      <c r="N948" s="1635">
        <v>3</v>
      </c>
      <c r="O948" s="3028" t="s">
        <v>98</v>
      </c>
      <c r="P948" s="3029"/>
      <c r="Q948" s="1636">
        <v>1</v>
      </c>
      <c r="R948" s="1637">
        <v>1</v>
      </c>
      <c r="S948" s="1638" t="s">
        <v>291</v>
      </c>
      <c r="T948" s="1639">
        <v>496</v>
      </c>
      <c r="U948" s="590"/>
      <c r="V948" s="3030">
        <v>212</v>
      </c>
      <c r="W948" s="3031"/>
      <c r="X948" s="2694"/>
      <c r="Y948" s="2695"/>
      <c r="Z948" s="577"/>
    </row>
    <row r="949" spans="1:26" ht="47.25" customHeight="1">
      <c r="A949" s="577"/>
      <c r="B949" s="408">
        <v>0.41666666666666702</v>
      </c>
      <c r="C949" s="326"/>
      <c r="D949" s="599">
        <v>11</v>
      </c>
      <c r="E949" s="600">
        <v>648</v>
      </c>
      <c r="F949" s="601"/>
      <c r="G949" s="602"/>
      <c r="H949" s="603"/>
      <c r="I949" s="602"/>
      <c r="J949" s="480">
        <f t="shared" si="91"/>
        <v>648</v>
      </c>
      <c r="K949" s="481">
        <f t="shared" si="92"/>
        <v>1.44</v>
      </c>
      <c r="L949" s="480">
        <v>1</v>
      </c>
      <c r="M949" s="1640" t="s">
        <v>8</v>
      </c>
      <c r="N949" s="1641">
        <v>4</v>
      </c>
      <c r="O949" s="3032" t="s">
        <v>283</v>
      </c>
      <c r="P949" s="3033"/>
      <c r="Q949" s="1642">
        <v>1</v>
      </c>
      <c r="R949" s="1643">
        <v>1</v>
      </c>
      <c r="S949" s="1644" t="s">
        <v>292</v>
      </c>
      <c r="T949" s="1643">
        <v>353</v>
      </c>
      <c r="U949" s="590"/>
      <c r="V949" s="2630">
        <f>VLOOKUP(M949,'[1]TABELA FRETE'!$A$6:$B$12,2,0)</f>
        <v>286</v>
      </c>
      <c r="W949" s="2631"/>
      <c r="X949" s="2694"/>
      <c r="Y949" s="2695"/>
      <c r="Z949" s="577"/>
    </row>
    <row r="950" spans="1:26" ht="6" customHeight="1">
      <c r="A950" s="577"/>
      <c r="B950" s="609"/>
      <c r="C950" s="609"/>
      <c r="D950" s="610"/>
      <c r="E950" s="611"/>
      <c r="F950" s="612"/>
      <c r="G950" s="613"/>
      <c r="H950" s="613"/>
      <c r="I950" s="613"/>
      <c r="J950" s="613"/>
      <c r="K950" s="614"/>
      <c r="L950" s="613"/>
      <c r="M950" s="615"/>
      <c r="N950" s="616"/>
      <c r="O950" s="615"/>
      <c r="P950" s="615"/>
      <c r="Q950" s="617"/>
      <c r="R950" s="618"/>
      <c r="S950" s="619"/>
      <c r="T950" s="620"/>
      <c r="U950" s="590"/>
      <c r="V950" s="3014"/>
      <c r="W950" s="3014"/>
      <c r="X950" s="3015"/>
      <c r="Y950" s="3015"/>
      <c r="Z950" s="577"/>
    </row>
    <row r="951" spans="1:26" ht="47.25" customHeight="1">
      <c r="A951" s="577"/>
      <c r="B951" s="343">
        <v>0.5</v>
      </c>
      <c r="C951" s="326"/>
      <c r="D951" s="621">
        <v>8</v>
      </c>
      <c r="E951" s="328">
        <v>3804</v>
      </c>
      <c r="F951" s="329"/>
      <c r="G951" s="492"/>
      <c r="H951" s="438"/>
      <c r="I951" s="492"/>
      <c r="J951" s="332">
        <f>E951+G951+I951</f>
        <v>3804</v>
      </c>
      <c r="K951" s="333">
        <f>J951/450</f>
        <v>8.4533333333333331</v>
      </c>
      <c r="L951" s="330">
        <v>1</v>
      </c>
      <c r="M951" s="1351">
        <v>1016</v>
      </c>
      <c r="N951" s="1352">
        <v>10</v>
      </c>
      <c r="O951" s="3016" t="s">
        <v>81</v>
      </c>
      <c r="P951" s="3017"/>
      <c r="Q951" s="1353">
        <v>2</v>
      </c>
      <c r="R951" s="1245">
        <v>2</v>
      </c>
      <c r="S951" s="1645" t="s">
        <v>293</v>
      </c>
      <c r="T951" s="1646">
        <v>606</v>
      </c>
      <c r="U951" s="590"/>
      <c r="V951" s="2630">
        <f>VLOOKUP(M951,'[1]TABELA FRETE'!$A$6:$B$12,2,0)</f>
        <v>425.7</v>
      </c>
      <c r="W951" s="2631"/>
      <c r="X951" s="2694"/>
      <c r="Y951" s="2695"/>
      <c r="Z951" s="577"/>
    </row>
    <row r="952" spans="1:26" ht="47.25" customHeight="1">
      <c r="A952" s="577"/>
      <c r="B952" s="343">
        <v>0.5</v>
      </c>
      <c r="C952" s="326"/>
      <c r="D952" s="627">
        <v>8</v>
      </c>
      <c r="E952" s="345">
        <v>10304</v>
      </c>
      <c r="F952" s="628"/>
      <c r="G952" s="455"/>
      <c r="H952" s="348"/>
      <c r="I952" s="455"/>
      <c r="J952" s="350">
        <f t="shared" ref="J952:J985" si="94">E952+G952+I952</f>
        <v>10304</v>
      </c>
      <c r="K952" s="351">
        <f t="shared" ref="K952:K984" si="95">J952/450</f>
        <v>22.897777777777776</v>
      </c>
      <c r="L952" s="349">
        <v>1</v>
      </c>
      <c r="M952" s="1647" t="s">
        <v>6</v>
      </c>
      <c r="N952" s="1648">
        <v>14</v>
      </c>
      <c r="O952" s="3018" t="s">
        <v>54</v>
      </c>
      <c r="P952" s="3019"/>
      <c r="Q952" s="1649">
        <v>1</v>
      </c>
      <c r="R952" s="1650">
        <v>1</v>
      </c>
      <c r="S952" s="1651" t="s">
        <v>294</v>
      </c>
      <c r="T952" s="1652">
        <v>590</v>
      </c>
      <c r="U952" s="590"/>
      <c r="V952" s="2630">
        <f>VLOOKUP(M952,'[1]TABELA FRETE'!$A$6:$B$12,2,0)</f>
        <v>489.5</v>
      </c>
      <c r="W952" s="2631"/>
      <c r="X952" s="2694"/>
      <c r="Y952" s="2695"/>
      <c r="Z952" s="577"/>
    </row>
    <row r="953" spans="1:26" ht="47.25" customHeight="1">
      <c r="A953" s="577"/>
      <c r="B953" s="343">
        <v>0.5</v>
      </c>
      <c r="C953" s="326"/>
      <c r="D953" s="662">
        <v>1</v>
      </c>
      <c r="E953" s="345">
        <v>3520</v>
      </c>
      <c r="F953" s="361"/>
      <c r="G953" s="360"/>
      <c r="H953" s="348"/>
      <c r="I953" s="455"/>
      <c r="J953" s="365">
        <f t="shared" si="94"/>
        <v>3520</v>
      </c>
      <c r="K953" s="366">
        <f t="shared" si="95"/>
        <v>7.822222222222222</v>
      </c>
      <c r="L953" s="364">
        <v>1</v>
      </c>
      <c r="M953" s="1621" t="s">
        <v>7</v>
      </c>
      <c r="N953" s="1622">
        <v>10</v>
      </c>
      <c r="O953" s="3020" t="s">
        <v>295</v>
      </c>
      <c r="P953" s="3021"/>
      <c r="Q953" s="1623">
        <v>1</v>
      </c>
      <c r="R953" s="1624">
        <v>1</v>
      </c>
      <c r="S953" s="1625" t="s">
        <v>296</v>
      </c>
      <c r="T953" s="1624">
        <v>353</v>
      </c>
      <c r="U953" s="590"/>
      <c r="V953" s="2630">
        <f>VLOOKUP(M953,'[1]TABELA FRETE'!$A$6:$B$12,2,0)</f>
        <v>466.4</v>
      </c>
      <c r="W953" s="2631"/>
      <c r="X953" s="2694"/>
      <c r="Y953" s="2695"/>
      <c r="Z953" s="577"/>
    </row>
    <row r="954" spans="1:26" ht="47.25" customHeight="1">
      <c r="A954" s="577"/>
      <c r="B954" s="343">
        <v>0.5</v>
      </c>
      <c r="C954" s="326"/>
      <c r="D954" s="662">
        <v>40</v>
      </c>
      <c r="E954" s="345">
        <v>8901</v>
      </c>
      <c r="F954" s="346"/>
      <c r="G954" s="345"/>
      <c r="H954" s="348"/>
      <c r="I954" s="455"/>
      <c r="J954" s="365">
        <f t="shared" ref="J954:J955" si="96">E954+G954+I954</f>
        <v>8901</v>
      </c>
      <c r="K954" s="366">
        <f t="shared" ref="K954:K955" si="97">J954/450</f>
        <v>19.78</v>
      </c>
      <c r="L954" s="349">
        <v>1</v>
      </c>
      <c r="M954" s="1653" t="s">
        <v>6</v>
      </c>
      <c r="N954" s="1654">
        <v>14</v>
      </c>
      <c r="O954" s="2954" t="s">
        <v>64</v>
      </c>
      <c r="P954" s="2955"/>
      <c r="Q954" s="1447">
        <v>1</v>
      </c>
      <c r="R954" s="1540">
        <v>1</v>
      </c>
      <c r="S954" s="1655" t="s">
        <v>297</v>
      </c>
      <c r="T954" s="1394">
        <v>598</v>
      </c>
      <c r="U954" s="590"/>
      <c r="V954" s="339"/>
      <c r="W954" s="340"/>
      <c r="X954" s="501"/>
      <c r="Y954" s="502"/>
      <c r="Z954" s="577"/>
    </row>
    <row r="955" spans="1:26" ht="47.25" customHeight="1">
      <c r="A955" s="577"/>
      <c r="B955" s="343">
        <v>0.5</v>
      </c>
      <c r="C955" s="326"/>
      <c r="D955" s="627">
        <v>40</v>
      </c>
      <c r="E955" s="345">
        <v>2401</v>
      </c>
      <c r="F955" s="346"/>
      <c r="G955" s="345"/>
      <c r="H955" s="348"/>
      <c r="I955" s="455"/>
      <c r="J955" s="350">
        <f t="shared" si="96"/>
        <v>2401</v>
      </c>
      <c r="K955" s="351">
        <f t="shared" si="97"/>
        <v>5.3355555555555556</v>
      </c>
      <c r="L955" s="349">
        <v>1</v>
      </c>
      <c r="M955" s="1656">
        <v>1016</v>
      </c>
      <c r="N955" s="1657">
        <v>6</v>
      </c>
      <c r="O955" s="3000" t="s">
        <v>139</v>
      </c>
      <c r="P955" s="3001"/>
      <c r="Q955" s="1362">
        <v>1</v>
      </c>
      <c r="R955" s="1363">
        <v>1</v>
      </c>
      <c r="S955" s="1658" t="s">
        <v>298</v>
      </c>
      <c r="T955" s="1394">
        <v>809</v>
      </c>
      <c r="U955" s="590"/>
      <c r="V955" s="339"/>
      <c r="W955" s="340"/>
      <c r="X955" s="501"/>
      <c r="Y955" s="502"/>
      <c r="Z955" s="577"/>
    </row>
    <row r="956" spans="1:26" ht="47.25" customHeight="1">
      <c r="A956" s="577"/>
      <c r="B956" s="343">
        <v>0.5</v>
      </c>
      <c r="C956" s="326"/>
      <c r="D956" s="662">
        <v>14</v>
      </c>
      <c r="E956" s="345">
        <v>2288</v>
      </c>
      <c r="F956" s="628"/>
      <c r="G956" s="455"/>
      <c r="H956" s="348"/>
      <c r="I956" s="455"/>
      <c r="J956" s="350">
        <f t="shared" si="94"/>
        <v>2288</v>
      </c>
      <c r="K956" s="351">
        <f t="shared" si="95"/>
        <v>5.0844444444444443</v>
      </c>
      <c r="L956" s="349">
        <v>1</v>
      </c>
      <c r="M956" s="1659">
        <v>1016</v>
      </c>
      <c r="N956" s="1660">
        <v>8</v>
      </c>
      <c r="O956" s="2954" t="s">
        <v>88</v>
      </c>
      <c r="P956" s="2955"/>
      <c r="Q956" s="1479">
        <v>1</v>
      </c>
      <c r="R956" s="1661">
        <v>1</v>
      </c>
      <c r="S956" s="1662" t="s">
        <v>89</v>
      </c>
      <c r="T956" s="1663">
        <v>799</v>
      </c>
      <c r="U956" s="590"/>
      <c r="V956" s="2630">
        <f>VLOOKUP(M956,'[1]TABELA FRETE'!$A$6:$B$12,2,0)</f>
        <v>425.7</v>
      </c>
      <c r="W956" s="2631"/>
      <c r="X956" s="2694"/>
      <c r="Y956" s="2695"/>
      <c r="Z956" s="577"/>
    </row>
    <row r="957" spans="1:26" ht="47.25" customHeight="1">
      <c r="A957" s="577"/>
      <c r="B957" s="343">
        <v>0.5</v>
      </c>
      <c r="C957" s="326"/>
      <c r="D957" s="637">
        <v>9</v>
      </c>
      <c r="E957" s="360">
        <v>3013</v>
      </c>
      <c r="F957" s="374"/>
      <c r="G957" s="375"/>
      <c r="H957" s="363"/>
      <c r="I957" s="375"/>
      <c r="J957" s="365">
        <f t="shared" si="94"/>
        <v>3013</v>
      </c>
      <c r="K957" s="366">
        <f t="shared" si="95"/>
        <v>6.6955555555555559</v>
      </c>
      <c r="L957" s="364">
        <v>1</v>
      </c>
      <c r="M957" s="1664">
        <v>1016</v>
      </c>
      <c r="N957" s="1665">
        <v>8</v>
      </c>
      <c r="O957" s="3022" t="s">
        <v>46</v>
      </c>
      <c r="P957" s="3023"/>
      <c r="Q957" s="1666">
        <v>2</v>
      </c>
      <c r="R957" s="1667">
        <v>2</v>
      </c>
      <c r="S957" s="1668" t="s">
        <v>47</v>
      </c>
      <c r="T957" s="1417">
        <v>48</v>
      </c>
      <c r="U957" s="590"/>
      <c r="V957" s="2630">
        <f>VLOOKUP(M957,'[1]TABELA FRETE'!$A$6:$B$12,2,0)</f>
        <v>425.7</v>
      </c>
      <c r="W957" s="2631"/>
      <c r="X957" s="2694"/>
      <c r="Y957" s="2695"/>
      <c r="Z957" s="577"/>
    </row>
    <row r="958" spans="1:26" ht="47.25" customHeight="1">
      <c r="A958" s="577"/>
      <c r="B958" s="343">
        <v>0.5</v>
      </c>
      <c r="C958" s="326"/>
      <c r="D958" s="637">
        <v>38</v>
      </c>
      <c r="E958" s="360">
        <v>4792</v>
      </c>
      <c r="F958" s="374"/>
      <c r="G958" s="375"/>
      <c r="H958" s="363"/>
      <c r="I958" s="375"/>
      <c r="J958" s="365">
        <f t="shared" si="94"/>
        <v>4792</v>
      </c>
      <c r="K958" s="366">
        <f t="shared" si="95"/>
        <v>10.648888888888889</v>
      </c>
      <c r="L958" s="364">
        <v>1</v>
      </c>
      <c r="M958" s="1653" t="s">
        <v>7</v>
      </c>
      <c r="N958" s="1654">
        <v>12</v>
      </c>
      <c r="O958" s="3012" t="s">
        <v>62</v>
      </c>
      <c r="P958" s="3013"/>
      <c r="Q958" s="1447">
        <v>2</v>
      </c>
      <c r="R958" s="1669">
        <v>2</v>
      </c>
      <c r="S958" s="1655" t="s">
        <v>63</v>
      </c>
      <c r="T958" s="1404">
        <v>740</v>
      </c>
      <c r="U958" s="590"/>
      <c r="V958" s="2630">
        <f>VLOOKUP(M958,'[1]TABELA FRETE'!$A$6:$B$12,2,0)</f>
        <v>466.4</v>
      </c>
      <c r="W958" s="2631"/>
      <c r="X958" s="2694"/>
      <c r="Y958" s="2695"/>
      <c r="Z958" s="577"/>
    </row>
    <row r="959" spans="1:26" ht="47.25" customHeight="1">
      <c r="A959" s="577"/>
      <c r="B959" s="343">
        <v>0.5</v>
      </c>
      <c r="C959" s="326"/>
      <c r="D959" s="637">
        <v>12</v>
      </c>
      <c r="E959" s="360">
        <v>4456</v>
      </c>
      <c r="F959" s="401"/>
      <c r="G959" s="375"/>
      <c r="H959" s="363"/>
      <c r="I959" s="375"/>
      <c r="J959" s="365">
        <f t="shared" si="94"/>
        <v>4456</v>
      </c>
      <c r="K959" s="366">
        <f t="shared" si="95"/>
        <v>9.9022222222222229</v>
      </c>
      <c r="L959" s="364">
        <v>1</v>
      </c>
      <c r="M959" s="1656" t="s">
        <v>7</v>
      </c>
      <c r="N959" s="1657">
        <v>12</v>
      </c>
      <c r="O959" s="3000" t="s">
        <v>224</v>
      </c>
      <c r="P959" s="3001"/>
      <c r="Q959" s="1362">
        <v>1</v>
      </c>
      <c r="R959" s="1363">
        <v>1</v>
      </c>
      <c r="S959" s="1658" t="s">
        <v>225</v>
      </c>
      <c r="T959" s="1394">
        <v>782</v>
      </c>
      <c r="U959" s="590"/>
      <c r="V959" s="2630">
        <f>VLOOKUP(M959,'[1]TABELA FRETE'!$A$6:$B$12,2,0)</f>
        <v>466.4</v>
      </c>
      <c r="W959" s="2631"/>
      <c r="X959" s="2694"/>
      <c r="Y959" s="2695"/>
      <c r="Z959" s="577"/>
    </row>
    <row r="960" spans="1:26" ht="47.25" customHeight="1">
      <c r="A960" s="577"/>
      <c r="B960" s="343">
        <v>0.5</v>
      </c>
      <c r="C960" s="326"/>
      <c r="D960" s="637">
        <v>34</v>
      </c>
      <c r="E960" s="360">
        <v>5500</v>
      </c>
      <c r="F960" s="374"/>
      <c r="G960" s="375"/>
      <c r="H960" s="363"/>
      <c r="I960" s="375"/>
      <c r="J960" s="365">
        <f t="shared" si="94"/>
        <v>5500</v>
      </c>
      <c r="K960" s="366">
        <f t="shared" si="95"/>
        <v>12.222222222222221</v>
      </c>
      <c r="L960" s="364">
        <v>1</v>
      </c>
      <c r="M960" s="1653" t="s">
        <v>7</v>
      </c>
      <c r="N960" s="1654">
        <v>12</v>
      </c>
      <c r="O960" s="2954" t="s">
        <v>50</v>
      </c>
      <c r="P960" s="2955"/>
      <c r="Q960" s="1447">
        <v>2</v>
      </c>
      <c r="R960" s="1669">
        <v>2</v>
      </c>
      <c r="S960" s="1655" t="s">
        <v>299</v>
      </c>
      <c r="T960" s="1404">
        <v>612</v>
      </c>
      <c r="U960" s="590"/>
      <c r="V960" s="2630">
        <f>VLOOKUP(M960,'[1]TABELA FRETE'!$A$6:$B$12,2,0)</f>
        <v>466.4</v>
      </c>
      <c r="W960" s="2631"/>
      <c r="X960" s="2694"/>
      <c r="Y960" s="2695"/>
      <c r="Z960" s="577"/>
    </row>
    <row r="961" spans="1:26" ht="47.25" customHeight="1">
      <c r="A961" s="577"/>
      <c r="B961" s="343">
        <v>0.5</v>
      </c>
      <c r="C961" s="326"/>
      <c r="D961" s="640">
        <v>34</v>
      </c>
      <c r="E961" s="360">
        <v>5243</v>
      </c>
      <c r="F961" s="374"/>
      <c r="G961" s="375"/>
      <c r="H961" s="363"/>
      <c r="I961" s="375"/>
      <c r="J961" s="365">
        <f t="shared" si="94"/>
        <v>5243</v>
      </c>
      <c r="K961" s="366">
        <f t="shared" si="95"/>
        <v>11.651111111111112</v>
      </c>
      <c r="L961" s="364">
        <v>1</v>
      </c>
      <c r="M961" s="1360" t="s">
        <v>7</v>
      </c>
      <c r="N961" s="1361">
        <v>12</v>
      </c>
      <c r="O961" s="3000" t="s">
        <v>300</v>
      </c>
      <c r="P961" s="3001"/>
      <c r="Q961" s="1362">
        <v>2</v>
      </c>
      <c r="R961" s="1363">
        <v>2</v>
      </c>
      <c r="S961" s="1658" t="s">
        <v>301</v>
      </c>
      <c r="T961" s="1394">
        <v>606</v>
      </c>
      <c r="U961" s="590"/>
      <c r="V961" s="2630">
        <f>VLOOKUP(M961,'[1]TABELA FRETE'!$A$6:$B$12,2,0)</f>
        <v>466.4</v>
      </c>
      <c r="W961" s="2631"/>
      <c r="X961" s="2694"/>
      <c r="Y961" s="2695"/>
      <c r="Z961" s="577"/>
    </row>
    <row r="962" spans="1:26" ht="47.25" customHeight="1">
      <c r="A962" s="577"/>
      <c r="B962" s="343">
        <v>0.5</v>
      </c>
      <c r="C962" s="326"/>
      <c r="D962" s="637">
        <v>43</v>
      </c>
      <c r="E962" s="360">
        <v>6588</v>
      </c>
      <c r="F962" s="374"/>
      <c r="G962" s="375"/>
      <c r="H962" s="363"/>
      <c r="I962" s="375"/>
      <c r="J962" s="365">
        <f t="shared" si="94"/>
        <v>6588</v>
      </c>
      <c r="K962" s="366">
        <f>J962/460</f>
        <v>14.321739130434782</v>
      </c>
      <c r="L962" s="364">
        <v>1</v>
      </c>
      <c r="M962" s="1360" t="s">
        <v>6</v>
      </c>
      <c r="N962" s="1361">
        <v>14</v>
      </c>
      <c r="O962" s="3000" t="s">
        <v>143</v>
      </c>
      <c r="P962" s="3001"/>
      <c r="Q962" s="1362">
        <v>1</v>
      </c>
      <c r="R962" s="1363">
        <v>1</v>
      </c>
      <c r="S962" s="1658" t="s">
        <v>69</v>
      </c>
      <c r="T962" s="1394">
        <v>184422</v>
      </c>
      <c r="U962" s="590"/>
      <c r="V962" s="2630">
        <f>VLOOKUP(M962,'[1]TABELA FRETE'!$A$6:$B$12,2,0)</f>
        <v>489.5</v>
      </c>
      <c r="W962" s="2631"/>
      <c r="X962" s="2694"/>
      <c r="Y962" s="2695"/>
      <c r="Z962" s="577"/>
    </row>
    <row r="963" spans="1:26" ht="47.25" customHeight="1">
      <c r="A963" s="577"/>
      <c r="B963" s="343">
        <v>0.5</v>
      </c>
      <c r="C963" s="326"/>
      <c r="D963" s="637">
        <v>35</v>
      </c>
      <c r="E963" s="360">
        <v>3073</v>
      </c>
      <c r="F963" s="374"/>
      <c r="G963" s="375"/>
      <c r="H963" s="363"/>
      <c r="I963" s="375"/>
      <c r="J963" s="365">
        <f t="shared" si="94"/>
        <v>3073</v>
      </c>
      <c r="K963" s="366">
        <f t="shared" si="95"/>
        <v>6.8288888888888888</v>
      </c>
      <c r="L963" s="364">
        <v>1</v>
      </c>
      <c r="M963" s="1360">
        <v>1016</v>
      </c>
      <c r="N963" s="1361">
        <v>8</v>
      </c>
      <c r="O963" s="3000" t="s">
        <v>278</v>
      </c>
      <c r="P963" s="3001"/>
      <c r="Q963" s="1362">
        <v>2</v>
      </c>
      <c r="R963" s="1363">
        <v>2</v>
      </c>
      <c r="S963" s="1658" t="s">
        <v>302</v>
      </c>
      <c r="T963" s="1394">
        <v>606</v>
      </c>
      <c r="U963" s="590"/>
      <c r="V963" s="2630">
        <f>VLOOKUP(M963,'[1]TABELA FRETE'!$A$6:$B$12,2,0)</f>
        <v>425.7</v>
      </c>
      <c r="W963" s="2631"/>
      <c r="X963" s="2694"/>
      <c r="Y963" s="2695"/>
      <c r="Z963" s="577"/>
    </row>
    <row r="964" spans="1:26" ht="47.25" customHeight="1">
      <c r="A964" s="577"/>
      <c r="B964" s="343">
        <v>0.5</v>
      </c>
      <c r="C964" s="326"/>
      <c r="D964" s="637">
        <v>45</v>
      </c>
      <c r="E964" s="360">
        <v>7000</v>
      </c>
      <c r="F964" s="374"/>
      <c r="G964" s="375"/>
      <c r="H964" s="363"/>
      <c r="I964" s="375"/>
      <c r="J964" s="365">
        <f t="shared" si="94"/>
        <v>7000</v>
      </c>
      <c r="K964" s="366">
        <f t="shared" si="95"/>
        <v>15.555555555555555</v>
      </c>
      <c r="L964" s="364">
        <v>1</v>
      </c>
      <c r="M964" s="1360" t="s">
        <v>6</v>
      </c>
      <c r="N964" s="1361">
        <v>16</v>
      </c>
      <c r="O964" s="3000" t="s">
        <v>303</v>
      </c>
      <c r="P964" s="3001"/>
      <c r="Q964" s="1362">
        <v>2</v>
      </c>
      <c r="R964" s="1363">
        <v>2</v>
      </c>
      <c r="S964" s="1658" t="s">
        <v>293</v>
      </c>
      <c r="T964" s="1394">
        <v>606</v>
      </c>
      <c r="U964" s="577"/>
      <c r="V964" s="2630">
        <f>VLOOKUP(M964,'[1]TABELA FRETE'!$A$6:$B$12,2,0)</f>
        <v>489.5</v>
      </c>
      <c r="W964" s="2631"/>
      <c r="X964" s="2694"/>
      <c r="Y964" s="2695"/>
      <c r="Z964" s="577"/>
    </row>
    <row r="965" spans="1:26" ht="47.25" customHeight="1">
      <c r="A965" s="577"/>
      <c r="B965" s="664">
        <v>0.5</v>
      </c>
      <c r="C965" s="326"/>
      <c r="D965" s="1196">
        <v>45</v>
      </c>
      <c r="E965" s="410">
        <v>3038</v>
      </c>
      <c r="F965" s="666"/>
      <c r="G965" s="544"/>
      <c r="H965" s="545"/>
      <c r="I965" s="544"/>
      <c r="J965" s="413">
        <f t="shared" si="94"/>
        <v>3038</v>
      </c>
      <c r="K965" s="414">
        <f t="shared" si="95"/>
        <v>6.7511111111111113</v>
      </c>
      <c r="L965" s="705">
        <v>1</v>
      </c>
      <c r="M965" s="1670">
        <v>1016</v>
      </c>
      <c r="N965" s="1671">
        <v>7</v>
      </c>
      <c r="O965" s="3008" t="s">
        <v>141</v>
      </c>
      <c r="P965" s="3009"/>
      <c r="Q965" s="1367">
        <v>2</v>
      </c>
      <c r="R965" s="1672">
        <v>2</v>
      </c>
      <c r="S965" s="1673" t="s">
        <v>304</v>
      </c>
      <c r="T965" s="1432">
        <v>605</v>
      </c>
      <c r="U965" s="577"/>
      <c r="V965" s="2630">
        <f>VLOOKUP(M965,'[1]TABELA FRETE'!$A$6:$B$12,2,0)</f>
        <v>425.7</v>
      </c>
      <c r="W965" s="2631"/>
      <c r="X965" s="2694"/>
      <c r="Y965" s="2695"/>
      <c r="Z965" s="577"/>
    </row>
    <row r="966" spans="1:26" ht="6" customHeight="1">
      <c r="A966" s="577"/>
      <c r="B966" s="609"/>
      <c r="C966" s="609"/>
      <c r="D966" s="612"/>
      <c r="E966" s="746"/>
      <c r="F966" s="612"/>
      <c r="G966" s="613"/>
      <c r="H966" s="1201"/>
      <c r="I966" s="613"/>
      <c r="J966" s="613"/>
      <c r="K966" s="614"/>
      <c r="L966" s="613"/>
      <c r="M966" s="1202"/>
      <c r="N966" s="1203"/>
      <c r="O966" s="1204"/>
      <c r="P966" s="1204"/>
      <c r="Q966" s="1205"/>
      <c r="R966" s="1204"/>
      <c r="S966" s="1206"/>
      <c r="T966" s="1207"/>
      <c r="U966" s="725"/>
      <c r="V966" s="3010"/>
      <c r="W966" s="3010"/>
      <c r="X966" s="3011"/>
      <c r="Y966" s="3011"/>
      <c r="Z966" s="577"/>
    </row>
    <row r="967" spans="1:26" ht="48" customHeight="1">
      <c r="A967" s="577"/>
      <c r="B967" s="325">
        <v>0.58333333333333304</v>
      </c>
      <c r="C967" s="326"/>
      <c r="D967" s="435">
        <v>3</v>
      </c>
      <c r="E967" s="1434">
        <v>1789</v>
      </c>
      <c r="F967" s="1674">
        <v>26</v>
      </c>
      <c r="G967" s="1433">
        <v>3992</v>
      </c>
      <c r="H967" s="1504"/>
      <c r="I967" s="1433"/>
      <c r="J967" s="1507">
        <f>E967+G967+I967</f>
        <v>5781</v>
      </c>
      <c r="K967" s="1506">
        <f>J967/480</f>
        <v>12.043749999999999</v>
      </c>
      <c r="L967" s="1507">
        <v>1</v>
      </c>
      <c r="M967" s="1675" t="s">
        <v>7</v>
      </c>
      <c r="N967" s="1676">
        <v>12</v>
      </c>
      <c r="O967" s="2966" t="s">
        <v>305</v>
      </c>
      <c r="P967" s="2967"/>
      <c r="Q967" s="1677">
        <v>1</v>
      </c>
      <c r="R967" s="1678">
        <v>2</v>
      </c>
      <c r="S967" s="1679" t="s">
        <v>193</v>
      </c>
      <c r="T967" s="1680">
        <v>184212</v>
      </c>
      <c r="U967" s="636"/>
      <c r="V967" s="2630">
        <f>VLOOKUP(M967,'[1]TABELA FRETE'!$A$6:$B$12,2,0)</f>
        <v>466.4</v>
      </c>
      <c r="W967" s="2631"/>
      <c r="X967" s="2694"/>
      <c r="Y967" s="2695"/>
      <c r="Z967" s="577"/>
    </row>
    <row r="968" spans="1:26" ht="48" customHeight="1">
      <c r="A968" s="577"/>
      <c r="B968" s="343">
        <v>0.58333333333333304</v>
      </c>
      <c r="C968" s="326"/>
      <c r="D968" s="444">
        <v>19</v>
      </c>
      <c r="E968" s="1442">
        <v>6500</v>
      </c>
      <c r="F968" s="1212"/>
      <c r="G968" s="1441"/>
      <c r="H968" s="1465"/>
      <c r="I968" s="1441"/>
      <c r="J968" s="1522">
        <f>E968+G968+I968</f>
        <v>6500</v>
      </c>
      <c r="K968" s="1523">
        <f>J968/450</f>
        <v>14.444444444444445</v>
      </c>
      <c r="L968" s="1522">
        <v>1</v>
      </c>
      <c r="M968" s="1681" t="s">
        <v>6</v>
      </c>
      <c r="N968" s="1682">
        <v>14</v>
      </c>
      <c r="O968" s="2954" t="s">
        <v>220</v>
      </c>
      <c r="P968" s="2955"/>
      <c r="Q968" s="1468">
        <v>1</v>
      </c>
      <c r="R968" s="1683">
        <v>1</v>
      </c>
      <c r="S968" s="1684" t="s">
        <v>306</v>
      </c>
      <c r="T968" s="1685">
        <v>184422</v>
      </c>
      <c r="U968" s="636"/>
      <c r="V968" s="2630">
        <f>VLOOKUP(M968,'[1]TABELA FRETE'!$A$6:$B$12,2,0)</f>
        <v>489.5</v>
      </c>
      <c r="W968" s="2631"/>
      <c r="X968" s="2694"/>
      <c r="Y968" s="2695"/>
      <c r="Z968" s="577"/>
    </row>
    <row r="969" spans="1:26" ht="48" customHeight="1">
      <c r="A969" s="577"/>
      <c r="B969" s="343">
        <v>0.58333333333333304</v>
      </c>
      <c r="C969" s="326"/>
      <c r="D969" s="444">
        <v>5</v>
      </c>
      <c r="E969" s="1442">
        <v>2556</v>
      </c>
      <c r="F969" s="401">
        <v>19</v>
      </c>
      <c r="G969" s="1441">
        <v>3112</v>
      </c>
      <c r="H969" s="1465"/>
      <c r="I969" s="1441"/>
      <c r="J969" s="1522">
        <f>E969+G969+I969</f>
        <v>5668</v>
      </c>
      <c r="K969" s="1523">
        <f>J969/480</f>
        <v>11.808333333333334</v>
      </c>
      <c r="L969" s="1522">
        <v>1</v>
      </c>
      <c r="M969" s="1360" t="s">
        <v>7</v>
      </c>
      <c r="N969" s="1360">
        <v>12</v>
      </c>
      <c r="O969" s="3012" t="s">
        <v>66</v>
      </c>
      <c r="P969" s="3013"/>
      <c r="Q969" s="1473">
        <v>2</v>
      </c>
      <c r="R969" s="1363">
        <v>3</v>
      </c>
      <c r="S969" s="1686" t="s">
        <v>307</v>
      </c>
      <c r="T969" s="1538">
        <v>184461</v>
      </c>
      <c r="U969" s="636"/>
      <c r="V969" s="2630">
        <f>VLOOKUP(M969,'[1]TABELA FRETE'!$A$6:$B$12,2,0)</f>
        <v>466.4</v>
      </c>
      <c r="W969" s="2631"/>
      <c r="X969" s="2694"/>
      <c r="Y969" s="2695"/>
      <c r="Z969" s="577"/>
    </row>
    <row r="970" spans="1:26" ht="48" customHeight="1">
      <c r="A970" s="577"/>
      <c r="B970" s="358">
        <v>0.58333333333333304</v>
      </c>
      <c r="C970" s="326"/>
      <c r="D970" s="686">
        <v>25</v>
      </c>
      <c r="E970" s="1460">
        <v>3001</v>
      </c>
      <c r="F970" s="687">
        <v>22</v>
      </c>
      <c r="G970" s="1460">
        <v>2488</v>
      </c>
      <c r="H970" s="1459"/>
      <c r="I970" s="1460"/>
      <c r="J970" s="1461">
        <f t="shared" si="94"/>
        <v>5489</v>
      </c>
      <c r="K970" s="1462">
        <f t="shared" si="95"/>
        <v>12.197777777777778</v>
      </c>
      <c r="L970" s="1461">
        <v>1</v>
      </c>
      <c r="M970" s="1653" t="s">
        <v>7</v>
      </c>
      <c r="N970" s="1654">
        <v>12</v>
      </c>
      <c r="O970" s="2954" t="s">
        <v>58</v>
      </c>
      <c r="P970" s="2955"/>
      <c r="Q970" s="1447">
        <v>2</v>
      </c>
      <c r="R970" s="1540">
        <v>2</v>
      </c>
      <c r="S970" s="1687" t="s">
        <v>59</v>
      </c>
      <c r="T970" s="1363">
        <v>674</v>
      </c>
      <c r="U970" s="694"/>
      <c r="V970" s="2630">
        <f>VLOOKUP(M970,'[1]TABELA FRETE'!$A$6:$B$12,2,0)</f>
        <v>466.4</v>
      </c>
      <c r="W970" s="2631"/>
      <c r="X970" s="2694"/>
      <c r="Y970" s="2695"/>
      <c r="Z970" s="577"/>
    </row>
    <row r="971" spans="1:26" ht="48" customHeight="1">
      <c r="A971" s="577"/>
      <c r="B971" s="358">
        <v>0.58333333333333304</v>
      </c>
      <c r="C971" s="326"/>
      <c r="D971" s="695">
        <v>31</v>
      </c>
      <c r="E971" s="1442">
        <v>3669</v>
      </c>
      <c r="F971" s="374"/>
      <c r="G971" s="1441"/>
      <c r="H971" s="1465"/>
      <c r="I971" s="1441"/>
      <c r="J971" s="1443">
        <f t="shared" si="94"/>
        <v>3669</v>
      </c>
      <c r="K971" s="1444">
        <f t="shared" si="95"/>
        <v>8.1533333333333342</v>
      </c>
      <c r="L971" s="1443">
        <v>1</v>
      </c>
      <c r="M971" s="1653">
        <v>1016</v>
      </c>
      <c r="N971" s="1654">
        <v>9</v>
      </c>
      <c r="O971" s="2954" t="s">
        <v>79</v>
      </c>
      <c r="P971" s="2955"/>
      <c r="Q971" s="1447">
        <v>1</v>
      </c>
      <c r="R971" s="1669">
        <v>1</v>
      </c>
      <c r="S971" s="1687" t="s">
        <v>308</v>
      </c>
      <c r="T971" s="1540">
        <v>184725</v>
      </c>
      <c r="U971" s="694"/>
      <c r="V971" s="2630">
        <f>VLOOKUP(M971,'[1]TABELA FRETE'!$A$6:$B$12,2,0)</f>
        <v>425.7</v>
      </c>
      <c r="W971" s="2631"/>
      <c r="X971" s="2694"/>
      <c r="Y971" s="2695"/>
      <c r="Z971" s="577"/>
    </row>
    <row r="972" spans="1:26" ht="48" customHeight="1">
      <c r="A972" s="577"/>
      <c r="B972" s="343">
        <v>0.58333333333333304</v>
      </c>
      <c r="C972" s="326"/>
      <c r="D972" s="472">
        <v>23</v>
      </c>
      <c r="E972" s="1442">
        <v>5390</v>
      </c>
      <c r="F972" s="393"/>
      <c r="G972" s="1441"/>
      <c r="H972" s="1465"/>
      <c r="I972" s="1441"/>
      <c r="J972" s="1522">
        <f t="shared" si="94"/>
        <v>5390</v>
      </c>
      <c r="K972" s="1523">
        <f t="shared" si="95"/>
        <v>11.977777777777778</v>
      </c>
      <c r="L972" s="1522">
        <v>1</v>
      </c>
      <c r="M972" s="1360" t="s">
        <v>7</v>
      </c>
      <c r="N972" s="1361">
        <v>12</v>
      </c>
      <c r="O972" s="3000" t="s">
        <v>94</v>
      </c>
      <c r="P972" s="3001"/>
      <c r="Q972" s="1362">
        <v>1</v>
      </c>
      <c r="R972" s="1363">
        <v>1</v>
      </c>
      <c r="S972" s="1364" t="s">
        <v>95</v>
      </c>
      <c r="T972" s="1363">
        <v>184422</v>
      </c>
      <c r="U972" s="636"/>
      <c r="V972" s="2630">
        <f>VLOOKUP(M972,'[1]TABELA FRETE'!$A$6:$B$12,2,0)</f>
        <v>466.4</v>
      </c>
      <c r="W972" s="2631"/>
      <c r="X972" s="2694"/>
      <c r="Y972" s="2695"/>
      <c r="Z972" s="577"/>
    </row>
    <row r="973" spans="1:26" ht="48" customHeight="1">
      <c r="A973" s="577"/>
      <c r="B973" s="343">
        <v>0.58333333333333304</v>
      </c>
      <c r="C973" s="326"/>
      <c r="D973" s="453">
        <v>17</v>
      </c>
      <c r="E973" s="1450">
        <v>5500</v>
      </c>
      <c r="F973" s="454"/>
      <c r="G973" s="1452"/>
      <c r="H973" s="1451"/>
      <c r="I973" s="1452"/>
      <c r="J973" s="1513">
        <f t="shared" si="94"/>
        <v>5500</v>
      </c>
      <c r="K973" s="1514">
        <f t="shared" si="95"/>
        <v>12.222222222222221</v>
      </c>
      <c r="L973" s="1513">
        <v>1</v>
      </c>
      <c r="M973" s="1653" t="s">
        <v>7</v>
      </c>
      <c r="N973" s="1654">
        <v>12</v>
      </c>
      <c r="O973" s="3000" t="s">
        <v>153</v>
      </c>
      <c r="P973" s="3001"/>
      <c r="Q973" s="1447">
        <v>1</v>
      </c>
      <c r="R973" s="1669">
        <v>1</v>
      </c>
      <c r="S973" s="1687" t="s">
        <v>309</v>
      </c>
      <c r="T973" s="1540">
        <v>664</v>
      </c>
      <c r="U973" s="636"/>
      <c r="V973" s="2630">
        <f>VLOOKUP(M973,'[1]TABELA FRETE'!$A$6:$B$12,2,0)</f>
        <v>466.4</v>
      </c>
      <c r="W973" s="2631"/>
      <c r="X973" s="2694"/>
      <c r="Y973" s="2695"/>
      <c r="Z973" s="577"/>
    </row>
    <row r="974" spans="1:26" ht="48" customHeight="1">
      <c r="A974" s="577"/>
      <c r="B974" s="343">
        <v>0.58333333333333304</v>
      </c>
      <c r="C974" s="326"/>
      <c r="D974" s="472">
        <v>44</v>
      </c>
      <c r="E974" s="1442">
        <v>1952</v>
      </c>
      <c r="F974" s="393">
        <v>17</v>
      </c>
      <c r="G974" s="1441">
        <v>1162</v>
      </c>
      <c r="H974" s="1465"/>
      <c r="I974" s="1441"/>
      <c r="J974" s="1522">
        <f t="shared" si="94"/>
        <v>3114</v>
      </c>
      <c r="K974" s="1523">
        <f t="shared" si="95"/>
        <v>6.92</v>
      </c>
      <c r="L974" s="1522">
        <v>1</v>
      </c>
      <c r="M974" s="901" t="s">
        <v>7</v>
      </c>
      <c r="N974" s="902">
        <v>10</v>
      </c>
      <c r="O974" s="3004" t="s">
        <v>253</v>
      </c>
      <c r="P974" s="3005"/>
      <c r="Q974" s="1213">
        <v>1</v>
      </c>
      <c r="R974" s="1013">
        <v>1</v>
      </c>
      <c r="S974" s="905" t="s">
        <v>310</v>
      </c>
      <c r="T974" s="917">
        <v>612</v>
      </c>
      <c r="U974" s="636"/>
      <c r="V974" s="2630">
        <f>VLOOKUP(M974,'[1]TABELA FRETE'!$A$6:$B$12,2,0)</f>
        <v>466.4</v>
      </c>
      <c r="W974" s="2631"/>
      <c r="X974" s="2694"/>
      <c r="Y974" s="2695"/>
      <c r="Z974" s="577"/>
    </row>
    <row r="975" spans="1:26" ht="48" customHeight="1">
      <c r="A975" s="577"/>
      <c r="B975" s="343">
        <v>0.58333333333333304</v>
      </c>
      <c r="C975" s="326"/>
      <c r="D975" s="472">
        <v>47</v>
      </c>
      <c r="E975" s="1442">
        <v>3061</v>
      </c>
      <c r="F975" s="393"/>
      <c r="G975" s="1441"/>
      <c r="H975" s="1465"/>
      <c r="I975" s="1441"/>
      <c r="J975" s="1522">
        <f t="shared" ref="J975" si="98">E975+G975+I975</f>
        <v>3061</v>
      </c>
      <c r="K975" s="1523">
        <f t="shared" ref="K975" si="99">J975/450</f>
        <v>6.8022222222222224</v>
      </c>
      <c r="L975" s="1522">
        <v>1</v>
      </c>
      <c r="M975" s="1688">
        <v>1016</v>
      </c>
      <c r="N975" s="1689">
        <v>8</v>
      </c>
      <c r="O975" s="3006" t="s">
        <v>159</v>
      </c>
      <c r="P975" s="3007"/>
      <c r="Q975" s="1479">
        <v>1</v>
      </c>
      <c r="R975" s="1661">
        <v>1</v>
      </c>
      <c r="S975" s="1684" t="s">
        <v>160</v>
      </c>
      <c r="T975" s="1683">
        <v>456</v>
      </c>
      <c r="U975" s="636"/>
      <c r="V975" s="339"/>
      <c r="W975" s="340"/>
      <c r="X975" s="501"/>
      <c r="Y975" s="502"/>
      <c r="Z975" s="577"/>
    </row>
    <row r="976" spans="1:26" ht="48" customHeight="1">
      <c r="A976" s="577"/>
      <c r="B976" s="343">
        <v>0.58333333333333304</v>
      </c>
      <c r="C976" s="326"/>
      <c r="D976" s="472">
        <v>10</v>
      </c>
      <c r="E976" s="1442">
        <v>5500</v>
      </c>
      <c r="F976" s="393"/>
      <c r="G976" s="1441"/>
      <c r="H976" s="1465"/>
      <c r="I976" s="1441"/>
      <c r="J976" s="1522">
        <f t="shared" si="94"/>
        <v>5500</v>
      </c>
      <c r="K976" s="1523">
        <f t="shared" si="95"/>
        <v>12.222222222222221</v>
      </c>
      <c r="L976" s="1522">
        <v>1</v>
      </c>
      <c r="M976" s="1360" t="s">
        <v>7</v>
      </c>
      <c r="N976" s="1361">
        <v>12</v>
      </c>
      <c r="O976" s="3000" t="s">
        <v>155</v>
      </c>
      <c r="P976" s="3001"/>
      <c r="Q976" s="1362">
        <v>2</v>
      </c>
      <c r="R976" s="1363">
        <v>2</v>
      </c>
      <c r="S976" s="1364" t="s">
        <v>311</v>
      </c>
      <c r="T976" s="1363">
        <v>184446</v>
      </c>
      <c r="U976" s="636"/>
      <c r="V976" s="2630">
        <f>VLOOKUP(M976,'[1]TABELA FRETE'!$A$6:$B$12,2,0)</f>
        <v>466.4</v>
      </c>
      <c r="W976" s="2631"/>
      <c r="X976" s="2694"/>
      <c r="Y976" s="2695"/>
      <c r="Z976" s="577"/>
    </row>
    <row r="977" spans="1:26" ht="60" customHeight="1">
      <c r="A977" s="577"/>
      <c r="B977" s="343">
        <v>0.58333333333333304</v>
      </c>
      <c r="C977" s="326"/>
      <c r="D977" s="1690" t="s">
        <v>78</v>
      </c>
      <c r="E977" s="1442">
        <v>5500</v>
      </c>
      <c r="F977" s="393"/>
      <c r="G977" s="1441"/>
      <c r="H977" s="1465"/>
      <c r="I977" s="1441"/>
      <c r="J977" s="1522">
        <f t="shared" si="94"/>
        <v>5500</v>
      </c>
      <c r="K977" s="1523">
        <f t="shared" si="95"/>
        <v>12.222222222222221</v>
      </c>
      <c r="L977" s="1522">
        <v>1</v>
      </c>
      <c r="M977" s="909" t="s">
        <v>7</v>
      </c>
      <c r="N977" s="910">
        <v>12</v>
      </c>
      <c r="O977" s="2998" t="s">
        <v>199</v>
      </c>
      <c r="P977" s="2999"/>
      <c r="Q977" s="963">
        <v>2</v>
      </c>
      <c r="R977" s="906">
        <v>2</v>
      </c>
      <c r="S977" s="979" t="s">
        <v>312</v>
      </c>
      <c r="T977" s="978">
        <v>804</v>
      </c>
      <c r="U977" s="636"/>
      <c r="V977" s="2630">
        <f>VLOOKUP(M977,'[1]TABELA FRETE'!$A$6:$B$12,2,0)</f>
        <v>466.4</v>
      </c>
      <c r="W977" s="2631"/>
      <c r="X977" s="2694"/>
      <c r="Y977" s="2695"/>
      <c r="Z977" s="577"/>
    </row>
    <row r="978" spans="1:26" ht="59.25" customHeight="1">
      <c r="A978" s="577"/>
      <c r="B978" s="343">
        <v>0.58333333333333304</v>
      </c>
      <c r="C978" s="326"/>
      <c r="D978" s="472">
        <v>10</v>
      </c>
      <c r="E978" s="1442">
        <v>2416</v>
      </c>
      <c r="F978" s="1691" t="s">
        <v>78</v>
      </c>
      <c r="G978" s="1441">
        <v>960</v>
      </c>
      <c r="H978" s="1465"/>
      <c r="I978" s="1441"/>
      <c r="J978" s="1522">
        <f t="shared" ref="J978:J983" si="100">E978+G978+I978</f>
        <v>3376</v>
      </c>
      <c r="K978" s="1523">
        <f t="shared" si="95"/>
        <v>7.5022222222222226</v>
      </c>
      <c r="L978" s="1522">
        <v>1</v>
      </c>
      <c r="M978" s="1360">
        <v>1016</v>
      </c>
      <c r="N978" s="1361">
        <v>8</v>
      </c>
      <c r="O978" s="3000" t="s">
        <v>157</v>
      </c>
      <c r="P978" s="3001"/>
      <c r="Q978" s="1447">
        <v>1</v>
      </c>
      <c r="R978" s="1363">
        <v>2</v>
      </c>
      <c r="S978" s="1364" t="s">
        <v>313</v>
      </c>
      <c r="T978" s="1363">
        <v>642</v>
      </c>
      <c r="U978" s="636"/>
      <c r="V978" s="2630">
        <f>VLOOKUP(M978,'[1]TABELA FRETE'!$A$6:$B$12,2,0)</f>
        <v>425.7</v>
      </c>
      <c r="W978" s="2631"/>
      <c r="X978" s="2694"/>
      <c r="Y978" s="2695"/>
      <c r="Z978" s="577"/>
    </row>
    <row r="979" spans="1:26" ht="48" customHeight="1">
      <c r="A979" s="577"/>
      <c r="B979" s="343">
        <v>0.58333333333333304</v>
      </c>
      <c r="C979" s="326"/>
      <c r="D979" s="695">
        <v>20</v>
      </c>
      <c r="E979" s="1442">
        <v>5500</v>
      </c>
      <c r="F979" s="374"/>
      <c r="G979" s="1441"/>
      <c r="H979" s="1465"/>
      <c r="I979" s="1441"/>
      <c r="J979" s="1443">
        <f t="shared" si="100"/>
        <v>5500</v>
      </c>
      <c r="K979" s="1444">
        <f t="shared" si="95"/>
        <v>12.222222222222221</v>
      </c>
      <c r="L979" s="1443">
        <v>1</v>
      </c>
      <c r="M979" s="1653" t="s">
        <v>7</v>
      </c>
      <c r="N979" s="1654">
        <v>12</v>
      </c>
      <c r="O979" s="2954" t="s">
        <v>146</v>
      </c>
      <c r="P979" s="2955"/>
      <c r="Q979" s="1447">
        <v>1</v>
      </c>
      <c r="R979" s="1669">
        <v>1</v>
      </c>
      <c r="S979" s="1364" t="s">
        <v>314</v>
      </c>
      <c r="T979" s="1692">
        <v>91</v>
      </c>
      <c r="U979" s="577"/>
      <c r="V979" s="2630">
        <f>VLOOKUP(M979,'[1]TABELA FRETE'!$A$6:$B$12,2,0)</f>
        <v>466.4</v>
      </c>
      <c r="W979" s="2631"/>
      <c r="X979" s="2694"/>
      <c r="Y979" s="2695"/>
      <c r="Z979" s="577"/>
    </row>
    <row r="980" spans="1:26" ht="48" customHeight="1">
      <c r="A980" s="577"/>
      <c r="B980" s="343">
        <v>0.58333333333333304</v>
      </c>
      <c r="C980" s="326"/>
      <c r="D980" s="695">
        <v>42</v>
      </c>
      <c r="E980" s="1442">
        <v>2930</v>
      </c>
      <c r="F980" s="374">
        <v>20</v>
      </c>
      <c r="G980" s="1441">
        <v>954</v>
      </c>
      <c r="H980" s="1465"/>
      <c r="I980" s="1441"/>
      <c r="J980" s="1443">
        <f t="shared" si="100"/>
        <v>3884</v>
      </c>
      <c r="K980" s="1444">
        <f t="shared" si="95"/>
        <v>8.6311111111111103</v>
      </c>
      <c r="L980" s="1443">
        <v>1</v>
      </c>
      <c r="M980" s="1693">
        <v>1016</v>
      </c>
      <c r="N980" s="1693">
        <v>10</v>
      </c>
      <c r="O980" s="3002" t="s">
        <v>72</v>
      </c>
      <c r="P980" s="3003"/>
      <c r="Q980" s="1694">
        <v>2</v>
      </c>
      <c r="R980" s="1695">
        <v>3</v>
      </c>
      <c r="S980" s="1696" t="s">
        <v>315</v>
      </c>
      <c r="T980" s="1697">
        <v>184090</v>
      </c>
      <c r="U980" s="577"/>
      <c r="V980" s="2630">
        <f>VLOOKUP(M980,'[1]TABELA FRETE'!$A$6:$B$12,2,0)</f>
        <v>425.7</v>
      </c>
      <c r="W980" s="2631"/>
      <c r="X980" s="2694"/>
      <c r="Y980" s="2695"/>
      <c r="Z980" s="577"/>
    </row>
    <row r="981" spans="1:26" ht="48" customHeight="1">
      <c r="A981" s="577"/>
      <c r="B981" s="343">
        <v>0.58333333333333304</v>
      </c>
      <c r="C981" s="326"/>
      <c r="D981" s="695">
        <v>32</v>
      </c>
      <c r="E981" s="1442">
        <v>3818</v>
      </c>
      <c r="F981" s="401"/>
      <c r="G981" s="1441"/>
      <c r="H981" s="1465"/>
      <c r="I981" s="1441"/>
      <c r="J981" s="1443">
        <f t="shared" si="100"/>
        <v>3818</v>
      </c>
      <c r="K981" s="1444">
        <f t="shared" si="95"/>
        <v>8.4844444444444438</v>
      </c>
      <c r="L981" s="1443">
        <v>1</v>
      </c>
      <c r="M981" s="1653" t="s">
        <v>7</v>
      </c>
      <c r="N981" s="1654">
        <v>11</v>
      </c>
      <c r="O981" s="2954" t="s">
        <v>52</v>
      </c>
      <c r="P981" s="2955"/>
      <c r="Q981" s="1447">
        <v>1</v>
      </c>
      <c r="R981" s="1669">
        <v>1</v>
      </c>
      <c r="S981" s="1687" t="s">
        <v>53</v>
      </c>
      <c r="T981" s="1540">
        <v>633</v>
      </c>
      <c r="U981" s="577"/>
      <c r="V981" s="2630">
        <f>VLOOKUP(M981,'[1]TABELA FRETE'!$A$6:$B$12,2,0)</f>
        <v>466.4</v>
      </c>
      <c r="W981" s="2631"/>
      <c r="X981" s="2694"/>
      <c r="Y981" s="2695"/>
      <c r="Z981" s="577"/>
    </row>
    <row r="982" spans="1:26" ht="48" customHeight="1">
      <c r="A982" s="577"/>
      <c r="B982" s="358">
        <v>0.58333333333333304</v>
      </c>
      <c r="C982" s="326"/>
      <c r="D982" s="444">
        <v>6</v>
      </c>
      <c r="E982" s="1442">
        <v>3371</v>
      </c>
      <c r="F982" s="1212"/>
      <c r="G982" s="1441"/>
      <c r="H982" s="1465"/>
      <c r="I982" s="1441"/>
      <c r="J982" s="1522">
        <f t="shared" si="100"/>
        <v>3371</v>
      </c>
      <c r="K982" s="1523">
        <f t="shared" si="95"/>
        <v>7.4911111111111115</v>
      </c>
      <c r="L982" s="1522">
        <v>1</v>
      </c>
      <c r="M982" s="1360">
        <v>1016</v>
      </c>
      <c r="N982" s="1361">
        <v>8</v>
      </c>
      <c r="O982" s="3000" t="s">
        <v>90</v>
      </c>
      <c r="P982" s="3001"/>
      <c r="Q982" s="1447">
        <v>2</v>
      </c>
      <c r="R982" s="1363">
        <v>2</v>
      </c>
      <c r="S982" s="1364" t="s">
        <v>91</v>
      </c>
      <c r="T982" s="1363">
        <v>674</v>
      </c>
      <c r="U982" s="636"/>
      <c r="V982" s="2630">
        <f>VLOOKUP(M982,'[1]TABELA FRETE'!$A$6:$B$12,2,0)</f>
        <v>425.7</v>
      </c>
      <c r="W982" s="2631"/>
      <c r="X982" s="2694"/>
      <c r="Y982" s="2695"/>
      <c r="Z982" s="577"/>
    </row>
    <row r="983" spans="1:26" ht="48" customHeight="1">
      <c r="A983" s="577"/>
      <c r="B983" s="358">
        <v>0.58333333333333304</v>
      </c>
      <c r="C983" s="326"/>
      <c r="D983" s="472">
        <v>46</v>
      </c>
      <c r="E983" s="1442">
        <v>4545</v>
      </c>
      <c r="F983" s="1698"/>
      <c r="G983" s="1476"/>
      <c r="H983" s="1699"/>
      <c r="I983" s="1476"/>
      <c r="J983" s="1443">
        <f t="shared" si="100"/>
        <v>4545</v>
      </c>
      <c r="K983" s="1444">
        <f t="shared" si="95"/>
        <v>10.1</v>
      </c>
      <c r="L983" s="1443">
        <v>1</v>
      </c>
      <c r="M983" s="1653" t="s">
        <v>7</v>
      </c>
      <c r="N983" s="1654">
        <v>11</v>
      </c>
      <c r="O983" s="2954" t="s">
        <v>42</v>
      </c>
      <c r="P983" s="2955"/>
      <c r="Q983" s="1447">
        <v>3</v>
      </c>
      <c r="R983" s="1669">
        <v>3</v>
      </c>
      <c r="S983" s="1364" t="s">
        <v>43</v>
      </c>
      <c r="T983" s="1692">
        <v>479</v>
      </c>
      <c r="U983" s="636"/>
      <c r="V983" s="2630">
        <f>VLOOKUP(M983,'[1]TABELA FRETE'!$A$6:$B$12,2,0)</f>
        <v>466.4</v>
      </c>
      <c r="W983" s="2631"/>
      <c r="X983" s="2694"/>
      <c r="Y983" s="2695"/>
      <c r="Z983" s="577"/>
    </row>
    <row r="984" spans="1:26" ht="63" customHeight="1">
      <c r="A984" s="577"/>
      <c r="B984" s="343">
        <v>0.58333333333333304</v>
      </c>
      <c r="C984" s="326"/>
      <c r="D984" s="1700" t="s">
        <v>87</v>
      </c>
      <c r="E984" s="1450">
        <v>3698</v>
      </c>
      <c r="F984" s="1701"/>
      <c r="G984" s="1452"/>
      <c r="H984" s="1451"/>
      <c r="I984" s="1452"/>
      <c r="J984" s="1513">
        <f t="shared" si="94"/>
        <v>3698</v>
      </c>
      <c r="K984" s="1514">
        <f t="shared" si="95"/>
        <v>8.2177777777777781</v>
      </c>
      <c r="L984" s="1513">
        <v>1</v>
      </c>
      <c r="M984" s="1702" t="s">
        <v>7</v>
      </c>
      <c r="N984" s="1703">
        <v>10</v>
      </c>
      <c r="O984" s="2990" t="s">
        <v>246</v>
      </c>
      <c r="P984" s="2991"/>
      <c r="Q984" s="1704">
        <v>1</v>
      </c>
      <c r="R984" s="1705">
        <v>1</v>
      </c>
      <c r="S984" s="1625" t="s">
        <v>316</v>
      </c>
      <c r="T984" s="1705">
        <v>353</v>
      </c>
      <c r="U984" s="636"/>
      <c r="V984" s="2630">
        <f>VLOOKUP(M984,'[1]TABELA FRETE'!$D$25:$E$29,2,0)</f>
        <v>286</v>
      </c>
      <c r="W984" s="2631"/>
      <c r="X984" s="2694"/>
      <c r="Y984" s="2695"/>
      <c r="Z984" s="577"/>
    </row>
    <row r="985" spans="1:26" ht="57" customHeight="1">
      <c r="A985" s="577"/>
      <c r="B985" s="664">
        <v>0.58333333333333304</v>
      </c>
      <c r="C985" s="326"/>
      <c r="D985" s="703">
        <v>1129</v>
      </c>
      <c r="E985" s="1480">
        <v>2628</v>
      </c>
      <c r="F985" s="1706" t="s">
        <v>198</v>
      </c>
      <c r="G985" s="1707">
        <v>2972</v>
      </c>
      <c r="H985" s="1708"/>
      <c r="I985" s="1707"/>
      <c r="J985" s="1709">
        <f t="shared" si="94"/>
        <v>5600</v>
      </c>
      <c r="K985" s="1484">
        <f>J985/460</f>
        <v>12.173913043478262</v>
      </c>
      <c r="L985" s="1709">
        <v>1</v>
      </c>
      <c r="M985" s="1710" t="s">
        <v>7</v>
      </c>
      <c r="N985" s="1711">
        <v>12</v>
      </c>
      <c r="O985" s="2992" t="s">
        <v>76</v>
      </c>
      <c r="P985" s="2993"/>
      <c r="Q985" s="1487">
        <v>1</v>
      </c>
      <c r="R985" s="1672">
        <v>1</v>
      </c>
      <c r="S985" s="1712" t="s">
        <v>317</v>
      </c>
      <c r="T985" s="1672">
        <v>184708</v>
      </c>
      <c r="U985" s="636"/>
      <c r="V985" s="2630">
        <f>VLOOKUP(M985,'[1]TABELA FRETE'!$A$6:$B$12,2,0)</f>
        <v>466.4</v>
      </c>
      <c r="W985" s="2631"/>
      <c r="X985" s="2694"/>
      <c r="Y985" s="2695"/>
      <c r="Z985" s="577"/>
    </row>
    <row r="986" spans="1:26" ht="6" customHeight="1">
      <c r="A986" s="577"/>
      <c r="B986" s="674"/>
      <c r="C986" s="674"/>
      <c r="D986" s="675"/>
      <c r="E986" s="620"/>
      <c r="F986" s="676"/>
      <c r="G986" s="615"/>
      <c r="H986" s="615"/>
      <c r="I986" s="615"/>
      <c r="J986" s="615"/>
      <c r="K986" s="677"/>
      <c r="L986" s="615"/>
      <c r="M986" s="615"/>
      <c r="N986" s="616"/>
      <c r="O986" s="615"/>
      <c r="P986" s="615"/>
      <c r="Q986" s="615"/>
      <c r="R986" s="615"/>
      <c r="S986" s="619"/>
      <c r="T986" s="678"/>
      <c r="U986" s="636"/>
      <c r="V986" s="679"/>
      <c r="W986" s="679"/>
      <c r="X986" s="434"/>
      <c r="Y986" s="434"/>
      <c r="Z986" s="577"/>
    </row>
    <row r="987" spans="1:26" ht="48" customHeight="1">
      <c r="A987" s="711"/>
      <c r="B987" s="2891">
        <v>0.70833333333333304</v>
      </c>
      <c r="C987" s="326"/>
      <c r="D987" s="2869">
        <v>18</v>
      </c>
      <c r="E987" s="2867">
        <v>3134</v>
      </c>
      <c r="F987" s="2842"/>
      <c r="G987" s="2837"/>
      <c r="H987" s="2815"/>
      <c r="I987" s="2741"/>
      <c r="J987" s="2769">
        <f t="shared" ref="J987:J991" si="101">E987+G987+I987</f>
        <v>3134</v>
      </c>
      <c r="K987" s="2757">
        <f>J987/450</f>
        <v>6.9644444444444442</v>
      </c>
      <c r="L987" s="2741">
        <v>1</v>
      </c>
      <c r="M987" s="1713">
        <v>1016</v>
      </c>
      <c r="N987" s="1714">
        <v>8</v>
      </c>
      <c r="O987" s="2975" t="s">
        <v>85</v>
      </c>
      <c r="P987" s="2976"/>
      <c r="Q987" s="1715">
        <v>2</v>
      </c>
      <c r="R987" s="1716">
        <v>2</v>
      </c>
      <c r="S987" s="1717" t="s">
        <v>86</v>
      </c>
      <c r="T987" s="1718">
        <v>714</v>
      </c>
      <c r="U987" s="636"/>
      <c r="V987" s="2529">
        <f>VLOOKUP(M987,'[1]TABELA FRETE'!$A$6:$B$12,2,0)</f>
        <v>425.7</v>
      </c>
      <c r="W987" s="2530"/>
      <c r="X987" s="2533"/>
      <c r="Y987" s="2534"/>
      <c r="Z987" s="577"/>
    </row>
    <row r="988" spans="1:26" ht="30" customHeight="1">
      <c r="A988" s="577"/>
      <c r="B988" s="2892"/>
      <c r="C988" s="326"/>
      <c r="D988" s="2657"/>
      <c r="E988" s="2864"/>
      <c r="F988" s="2843"/>
      <c r="G988" s="2744"/>
      <c r="H988" s="2816"/>
      <c r="I988" s="2742"/>
      <c r="J988" s="2770"/>
      <c r="K988" s="2758"/>
      <c r="L988" s="2742"/>
      <c r="M988" s="2984" t="s">
        <v>259</v>
      </c>
      <c r="N988" s="2985"/>
      <c r="O988" s="2986"/>
      <c r="P988" s="2985"/>
      <c r="Q988" s="2984"/>
      <c r="R988" s="2985"/>
      <c r="S988" s="2985"/>
      <c r="T988" s="2986"/>
      <c r="U988" s="725"/>
      <c r="V988" s="2531"/>
      <c r="W988" s="2532"/>
      <c r="X988" s="2535"/>
      <c r="Y988" s="2536"/>
      <c r="Z988" s="577"/>
    </row>
    <row r="989" spans="1:26" ht="48" customHeight="1">
      <c r="A989" s="577"/>
      <c r="B989" s="2893">
        <v>0.70833333333333304</v>
      </c>
      <c r="C989" s="326"/>
      <c r="D989" s="2866">
        <v>4</v>
      </c>
      <c r="E989" s="2820">
        <v>3061</v>
      </c>
      <c r="F989" s="2844"/>
      <c r="G989" s="2795"/>
      <c r="H989" s="2805"/>
      <c r="I989" s="2795"/>
      <c r="J989" s="2771">
        <f t="shared" ref="J989" si="102">E989+G989+I989</f>
        <v>3061</v>
      </c>
      <c r="K989" s="2759">
        <f>J989/450</f>
        <v>6.8022222222222224</v>
      </c>
      <c r="L989" s="2743">
        <v>1</v>
      </c>
      <c r="M989" s="1719">
        <v>1016</v>
      </c>
      <c r="N989" s="1720">
        <v>8</v>
      </c>
      <c r="O989" s="2994" t="s">
        <v>92</v>
      </c>
      <c r="P989" s="2995"/>
      <c r="Q989" s="1721">
        <v>2</v>
      </c>
      <c r="R989" s="1722">
        <v>2</v>
      </c>
      <c r="S989" s="1723" t="s">
        <v>104</v>
      </c>
      <c r="T989" s="1722">
        <v>576</v>
      </c>
      <c r="U989" s="725"/>
      <c r="V989" s="2529">
        <f>VLOOKUP(M989,'[1]TABELA FRETE'!$A$6:$B$12,2,0)</f>
        <v>425.7</v>
      </c>
      <c r="W989" s="2530"/>
      <c r="X989" s="2533"/>
      <c r="Y989" s="2534"/>
      <c r="Z989" s="733"/>
    </row>
    <row r="990" spans="1:26" ht="30" customHeight="1">
      <c r="A990" s="577"/>
      <c r="B990" s="2892"/>
      <c r="C990" s="326"/>
      <c r="D990" s="2657"/>
      <c r="E990" s="2821"/>
      <c r="F990" s="2839"/>
      <c r="G990" s="2796"/>
      <c r="H990" s="2806"/>
      <c r="I990" s="2796"/>
      <c r="J990" s="2770"/>
      <c r="K990" s="2760"/>
      <c r="L990" s="2744"/>
      <c r="M990" s="2972" t="s">
        <v>260</v>
      </c>
      <c r="N990" s="2984"/>
      <c r="O990" s="2986"/>
      <c r="P990" s="2985"/>
      <c r="Q990" s="2984"/>
      <c r="R990" s="2985"/>
      <c r="S990" s="2985"/>
      <c r="T990" s="2986"/>
      <c r="U990" s="725"/>
      <c r="V990" s="2531"/>
      <c r="W990" s="2532"/>
      <c r="X990" s="2535"/>
      <c r="Y990" s="2536"/>
      <c r="Z990" s="733"/>
    </row>
    <row r="991" spans="1:26" ht="48" customHeight="1">
      <c r="A991" s="577"/>
      <c r="B991" s="2893">
        <v>0.70833333333333304</v>
      </c>
      <c r="C991" s="326"/>
      <c r="D991" s="2866">
        <v>30</v>
      </c>
      <c r="E991" s="2820">
        <v>2337</v>
      </c>
      <c r="F991" s="2844"/>
      <c r="G991" s="2795"/>
      <c r="H991" s="2805"/>
      <c r="I991" s="2795"/>
      <c r="J991" s="2771">
        <f t="shared" si="101"/>
        <v>2337</v>
      </c>
      <c r="K991" s="2759">
        <f>J991/450</f>
        <v>5.1933333333333334</v>
      </c>
      <c r="L991" s="2743">
        <v>1</v>
      </c>
      <c r="M991" s="1724">
        <v>1016</v>
      </c>
      <c r="N991" s="1725">
        <v>8</v>
      </c>
      <c r="O991" s="2996" t="s">
        <v>44</v>
      </c>
      <c r="P991" s="2997"/>
      <c r="Q991" s="1727">
        <v>2</v>
      </c>
      <c r="R991" s="1726">
        <v>2</v>
      </c>
      <c r="S991" s="1728" t="s">
        <v>103</v>
      </c>
      <c r="T991" s="1726">
        <v>674</v>
      </c>
      <c r="U991" s="725"/>
      <c r="V991" s="2529">
        <f>VLOOKUP(M991,'[1]TABELA FRETE'!$A$6:$B$12,2,0)</f>
        <v>425.7</v>
      </c>
      <c r="W991" s="2530"/>
      <c r="X991" s="2533"/>
      <c r="Y991" s="2534"/>
      <c r="Z991" s="733"/>
    </row>
    <row r="992" spans="1:26" ht="30" customHeight="1">
      <c r="A992" s="577"/>
      <c r="B992" s="2892"/>
      <c r="C992" s="326"/>
      <c r="D992" s="2657"/>
      <c r="E992" s="2821"/>
      <c r="F992" s="2839"/>
      <c r="G992" s="2796"/>
      <c r="H992" s="2806"/>
      <c r="I992" s="2796"/>
      <c r="J992" s="2770"/>
      <c r="K992" s="2760"/>
      <c r="L992" s="2744"/>
      <c r="M992" s="2972" t="s">
        <v>169</v>
      </c>
      <c r="N992" s="2984"/>
      <c r="O992" s="2986"/>
      <c r="P992" s="2985"/>
      <c r="Q992" s="2984"/>
      <c r="R992" s="2985"/>
      <c r="S992" s="2985"/>
      <c r="T992" s="2986"/>
      <c r="U992" s="725"/>
      <c r="V992" s="2531"/>
      <c r="W992" s="2532"/>
      <c r="X992" s="2535"/>
      <c r="Y992" s="2536"/>
      <c r="Z992" s="733"/>
    </row>
    <row r="993" spans="1:26" ht="47.25" customHeight="1">
      <c r="A993" s="577"/>
      <c r="B993" s="2894">
        <v>0.70833333333333304</v>
      </c>
      <c r="C993" s="326"/>
      <c r="D993" s="2866">
        <v>21</v>
      </c>
      <c r="E993" s="2820">
        <v>3914</v>
      </c>
      <c r="F993" s="2845"/>
      <c r="G993" s="2795"/>
      <c r="H993" s="2807"/>
      <c r="I993" s="2795"/>
      <c r="J993" s="2771">
        <f t="shared" ref="J993:J999" si="103">E993+G993+I993</f>
        <v>3914</v>
      </c>
      <c r="K993" s="2759">
        <f t="shared" ref="K993:K997" si="104">J993/450</f>
        <v>8.6977777777777785</v>
      </c>
      <c r="L993" s="2743">
        <v>1</v>
      </c>
      <c r="M993" s="1729">
        <v>1016</v>
      </c>
      <c r="N993" s="1730">
        <v>8</v>
      </c>
      <c r="O993" s="2979" t="s">
        <v>81</v>
      </c>
      <c r="P993" s="2980"/>
      <c r="Q993" s="1731">
        <v>2</v>
      </c>
      <c r="R993" s="1731">
        <v>2</v>
      </c>
      <c r="S993" s="1732" t="s">
        <v>163</v>
      </c>
      <c r="T993" s="1731">
        <v>606</v>
      </c>
      <c r="U993" s="636"/>
      <c r="V993" s="2529">
        <f>VLOOKUP(M993,'[1]TABELA FRETE'!$A$6:$B$12,2,0)</f>
        <v>425.7</v>
      </c>
      <c r="W993" s="2530"/>
      <c r="X993" s="2533"/>
      <c r="Y993" s="2534"/>
      <c r="Z993" s="733"/>
    </row>
    <row r="994" spans="1:26" ht="30" customHeight="1">
      <c r="A994" s="577"/>
      <c r="B994" s="2892"/>
      <c r="C994" s="326"/>
      <c r="D994" s="2657"/>
      <c r="E994" s="2821"/>
      <c r="F994" s="2846"/>
      <c r="G994" s="2819"/>
      <c r="H994" s="2808"/>
      <c r="I994" s="2796"/>
      <c r="J994" s="2770"/>
      <c r="K994" s="2760"/>
      <c r="L994" s="2744"/>
      <c r="M994" s="2972" t="s">
        <v>171</v>
      </c>
      <c r="N994" s="2972"/>
      <c r="O994" s="2973"/>
      <c r="P994" s="2972"/>
      <c r="Q994" s="2974"/>
      <c r="R994" s="2972"/>
      <c r="S994" s="2972"/>
      <c r="T994" s="2973"/>
      <c r="U994" s="636"/>
      <c r="V994" s="2531"/>
      <c r="W994" s="2532"/>
      <c r="X994" s="2535"/>
      <c r="Y994" s="2536"/>
      <c r="Z994" s="733"/>
    </row>
    <row r="995" spans="1:26" ht="47.25" customHeight="1">
      <c r="A995" s="577"/>
      <c r="B995" s="2894">
        <v>0.70833333333333304</v>
      </c>
      <c r="C995" s="326"/>
      <c r="D995" s="2866">
        <v>33</v>
      </c>
      <c r="E995" s="2820">
        <v>2697</v>
      </c>
      <c r="F995" s="2845"/>
      <c r="G995" s="2795"/>
      <c r="H995" s="2807"/>
      <c r="I995" s="2795"/>
      <c r="J995" s="2771">
        <f t="shared" ref="J995" si="105">E995+G995+I995</f>
        <v>2697</v>
      </c>
      <c r="K995" s="2759">
        <f t="shared" ref="K995" si="106">J995/450</f>
        <v>5.9933333333333332</v>
      </c>
      <c r="L995" s="2743">
        <v>1</v>
      </c>
      <c r="M995" s="1733">
        <v>1016</v>
      </c>
      <c r="N995" s="1734">
        <v>7</v>
      </c>
      <c r="O995" s="2970" t="s">
        <v>56</v>
      </c>
      <c r="P995" s="2971"/>
      <c r="Q995" s="1736">
        <v>1</v>
      </c>
      <c r="R995" s="1737">
        <v>1</v>
      </c>
      <c r="S995" s="1738" t="s">
        <v>57</v>
      </c>
      <c r="T995" s="1735">
        <v>663</v>
      </c>
      <c r="U995" s="636"/>
      <c r="V995" s="2529">
        <f>VLOOKUP(M995,'[1]TABELA FRETE'!$A$6:$B$12,2,0)</f>
        <v>425.7</v>
      </c>
      <c r="W995" s="2530"/>
      <c r="X995" s="2533"/>
      <c r="Y995" s="2534"/>
      <c r="Z995" s="733"/>
    </row>
    <row r="996" spans="1:26" ht="30" customHeight="1">
      <c r="A996" s="577"/>
      <c r="B996" s="2892"/>
      <c r="C996" s="326"/>
      <c r="D996" s="2657"/>
      <c r="E996" s="2821"/>
      <c r="F996" s="2846"/>
      <c r="G996" s="2819"/>
      <c r="H996" s="2808"/>
      <c r="I996" s="2796"/>
      <c r="J996" s="2770"/>
      <c r="K996" s="2760"/>
      <c r="L996" s="2744"/>
      <c r="M996" s="2972" t="s">
        <v>318</v>
      </c>
      <c r="N996" s="2972"/>
      <c r="O996" s="2973"/>
      <c r="P996" s="2972"/>
      <c r="Q996" s="2974"/>
      <c r="R996" s="2972"/>
      <c r="S996" s="2972"/>
      <c r="T996" s="2973"/>
      <c r="U996" s="636"/>
      <c r="V996" s="2531"/>
      <c r="W996" s="2532"/>
      <c r="X996" s="2535"/>
      <c r="Y996" s="2536"/>
      <c r="Z996" s="733"/>
    </row>
    <row r="997" spans="1:26" ht="47.25" customHeight="1">
      <c r="A997" s="577"/>
      <c r="B997" s="2894">
        <v>0.70833333333333304</v>
      </c>
      <c r="C997" s="326"/>
      <c r="D997" s="2656">
        <v>36</v>
      </c>
      <c r="E997" s="2822">
        <v>4089</v>
      </c>
      <c r="F997" s="2838"/>
      <c r="G997" s="2797"/>
      <c r="H997" s="2809"/>
      <c r="I997" s="2797"/>
      <c r="J997" s="2755">
        <f t="shared" si="103"/>
        <v>4089</v>
      </c>
      <c r="K997" s="2739">
        <f t="shared" si="104"/>
        <v>9.086666666666666</v>
      </c>
      <c r="L997" s="2745">
        <v>1</v>
      </c>
      <c r="M997" s="1713" t="s">
        <v>7</v>
      </c>
      <c r="N997" s="1714">
        <v>12</v>
      </c>
      <c r="O997" s="2975" t="s">
        <v>50</v>
      </c>
      <c r="P997" s="2976"/>
      <c r="Q997" s="1715">
        <v>2</v>
      </c>
      <c r="R997" s="1716">
        <v>2</v>
      </c>
      <c r="S997" s="1717" t="s">
        <v>51</v>
      </c>
      <c r="T997" s="1718">
        <v>612</v>
      </c>
      <c r="U997" s="636"/>
      <c r="V997" s="2529">
        <f>VLOOKUP(M997,'[1]TABELA FRETE'!$A$6:$B$12,2,0)</f>
        <v>466.4</v>
      </c>
      <c r="W997" s="2530"/>
      <c r="X997" s="2533"/>
      <c r="Y997" s="2534"/>
      <c r="Z997" s="733"/>
    </row>
    <row r="998" spans="1:26" ht="30" customHeight="1">
      <c r="A998" s="577"/>
      <c r="B998" s="2892"/>
      <c r="C998" s="326"/>
      <c r="D998" s="2657"/>
      <c r="E998" s="2821"/>
      <c r="F998" s="2839"/>
      <c r="G998" s="2796"/>
      <c r="H998" s="2808"/>
      <c r="I998" s="2796"/>
      <c r="J998" s="2770"/>
      <c r="K998" s="2760"/>
      <c r="L998" s="2744"/>
      <c r="M998" s="2972" t="s">
        <v>172</v>
      </c>
      <c r="N998" s="2972"/>
      <c r="O998" s="2973"/>
      <c r="P998" s="2972"/>
      <c r="Q998" s="2974"/>
      <c r="R998" s="2972"/>
      <c r="S998" s="2972"/>
      <c r="T998" s="2973"/>
      <c r="U998" s="636"/>
      <c r="V998" s="2531"/>
      <c r="W998" s="2532"/>
      <c r="X998" s="2535"/>
      <c r="Y998" s="2536"/>
      <c r="Z998" s="733"/>
    </row>
    <row r="999" spans="1:26" ht="47.25" customHeight="1">
      <c r="A999" s="577"/>
      <c r="B999" s="2894">
        <v>0.70833333333333304</v>
      </c>
      <c r="C999" s="326"/>
      <c r="D999" s="2656">
        <v>48</v>
      </c>
      <c r="E999" s="2822">
        <v>2635</v>
      </c>
      <c r="F999" s="2838"/>
      <c r="G999" s="2797"/>
      <c r="H999" s="2809"/>
      <c r="I999" s="2797"/>
      <c r="J999" s="2755">
        <f t="shared" si="103"/>
        <v>2635</v>
      </c>
      <c r="K999" s="2739">
        <f>J999/450</f>
        <v>5.8555555555555552</v>
      </c>
      <c r="L999" s="2745">
        <v>1</v>
      </c>
      <c r="M999" s="1729">
        <v>1016</v>
      </c>
      <c r="N999" s="1730">
        <v>8</v>
      </c>
      <c r="O999" s="2977" t="s">
        <v>88</v>
      </c>
      <c r="P999" s="2978"/>
      <c r="Q999" s="1731">
        <v>1</v>
      </c>
      <c r="R999" s="1731">
        <v>1</v>
      </c>
      <c r="S999" s="1732" t="s">
        <v>89</v>
      </c>
      <c r="T999" s="1731">
        <v>799</v>
      </c>
      <c r="U999" s="636"/>
      <c r="V999" s="2529">
        <f>VLOOKUP(M999,'[1]TABELA FRETE'!$A$6:$B$12,2,0)</f>
        <v>425.7</v>
      </c>
      <c r="W999" s="2530"/>
      <c r="X999" s="2533"/>
      <c r="Y999" s="2534"/>
      <c r="Z999" s="733"/>
    </row>
    <row r="1000" spans="1:26" ht="30" customHeight="1">
      <c r="A1000" s="577"/>
      <c r="B1000" s="2892"/>
      <c r="C1000" s="326"/>
      <c r="D1000" s="2657"/>
      <c r="E1000" s="2821"/>
      <c r="F1000" s="2839"/>
      <c r="G1000" s="2796"/>
      <c r="H1000" s="2808"/>
      <c r="I1000" s="2796"/>
      <c r="J1000" s="2770"/>
      <c r="K1000" s="2760"/>
      <c r="L1000" s="2744"/>
      <c r="M1000" s="2972" t="s">
        <v>173</v>
      </c>
      <c r="N1000" s="2972"/>
      <c r="O1000" s="2973"/>
      <c r="P1000" s="2972"/>
      <c r="Q1000" s="2974"/>
      <c r="R1000" s="2972"/>
      <c r="S1000" s="2972"/>
      <c r="T1000" s="2973"/>
      <c r="U1000" s="636"/>
      <c r="V1000" s="2531"/>
      <c r="W1000" s="2532"/>
      <c r="X1000" s="2535"/>
      <c r="Y1000" s="2536"/>
      <c r="Z1000" s="733"/>
    </row>
    <row r="1001" spans="1:26" ht="47.25" customHeight="1">
      <c r="A1001" s="577"/>
      <c r="B1001" s="2892">
        <v>0.70833333333333304</v>
      </c>
      <c r="C1001" s="326"/>
      <c r="D1001" s="2657">
        <v>13</v>
      </c>
      <c r="E1001" s="2821">
        <v>2994</v>
      </c>
      <c r="F1001" s="2839"/>
      <c r="G1001" s="2796"/>
      <c r="H1001" s="2808"/>
      <c r="I1001" s="2796"/>
      <c r="J1001" s="2770">
        <f t="shared" ref="J1001:J1006" si="107">E1001+G1001+I1001</f>
        <v>2994</v>
      </c>
      <c r="K1001" s="2760">
        <f>J1001/450</f>
        <v>6.6533333333333333</v>
      </c>
      <c r="L1001" s="2744">
        <v>1</v>
      </c>
      <c r="M1001" s="1729" t="s">
        <v>7</v>
      </c>
      <c r="N1001" s="1730">
        <v>12</v>
      </c>
      <c r="O1001" s="2979" t="s">
        <v>68</v>
      </c>
      <c r="P1001" s="2980"/>
      <c r="Q1001" s="1736">
        <v>1</v>
      </c>
      <c r="R1001" s="1731">
        <v>1</v>
      </c>
      <c r="S1001" s="1732" t="s">
        <v>174</v>
      </c>
      <c r="T1001" s="1731">
        <v>808</v>
      </c>
      <c r="U1001" s="636"/>
      <c r="V1001" s="2529">
        <f>VLOOKUP(M1001,'[1]TABELA FRETE'!$D$7:$E$12,2,0)</f>
        <v>1161.5999999999999</v>
      </c>
      <c r="W1001" s="2530"/>
      <c r="X1001" s="2533"/>
      <c r="Y1001" s="2534"/>
      <c r="Z1001" s="733"/>
    </row>
    <row r="1002" spans="1:26" ht="30" customHeight="1">
      <c r="A1002" s="577"/>
      <c r="B1002" s="2902"/>
      <c r="C1002" s="326"/>
      <c r="D1002" s="2658"/>
      <c r="E1002" s="2863"/>
      <c r="F1002" s="2840"/>
      <c r="G1002" s="2798"/>
      <c r="H1002" s="2814"/>
      <c r="I1002" s="2798"/>
      <c r="J1002" s="2756"/>
      <c r="K1002" s="2740"/>
      <c r="L1002" s="2746"/>
      <c r="M1002" s="2981" t="s">
        <v>175</v>
      </c>
      <c r="N1002" s="2981"/>
      <c r="O1002" s="2982"/>
      <c r="P1002" s="2981"/>
      <c r="Q1002" s="2983"/>
      <c r="R1002" s="2981"/>
      <c r="S1002" s="2981"/>
      <c r="T1002" s="2982"/>
      <c r="U1002" s="636"/>
      <c r="V1002" s="2634"/>
      <c r="W1002" s="2635"/>
      <c r="X1002" s="2636"/>
      <c r="Y1002" s="2637"/>
      <c r="Z1002" s="733"/>
    </row>
    <row r="1003" spans="1:26" ht="6" customHeight="1">
      <c r="A1003" s="577"/>
      <c r="B1003" s="609"/>
      <c r="C1003" s="609"/>
      <c r="D1003" s="745"/>
      <c r="E1003" s="746"/>
      <c r="F1003" s="745"/>
      <c r="G1003" s="746"/>
      <c r="H1003" s="747"/>
      <c r="I1003" s="746"/>
      <c r="J1003" s="613"/>
      <c r="K1003" s="614"/>
      <c r="L1003" s="613"/>
      <c r="M1003" s="748"/>
      <c r="N1003" s="748"/>
      <c r="O1003" s="748"/>
      <c r="P1003" s="748"/>
      <c r="Q1003" s="748"/>
      <c r="R1003" s="748"/>
      <c r="S1003" s="748"/>
      <c r="T1003" s="748"/>
      <c r="U1003" s="636"/>
      <c r="V1003" s="679"/>
      <c r="W1003" s="679"/>
      <c r="X1003" s="434"/>
      <c r="Y1003" s="434"/>
      <c r="Z1003" s="733"/>
    </row>
    <row r="1004" spans="1:26" ht="47.25" customHeight="1">
      <c r="A1004" s="577"/>
      <c r="B1004" s="2903">
        <v>0.91666666666666696</v>
      </c>
      <c r="C1004" s="326"/>
      <c r="D1004" s="2659">
        <v>27</v>
      </c>
      <c r="E1004" s="2864">
        <v>1168</v>
      </c>
      <c r="F1004" s="2652">
        <v>15</v>
      </c>
      <c r="G1004" s="2833">
        <v>1832</v>
      </c>
      <c r="H1004" s="2817"/>
      <c r="I1004" s="2836"/>
      <c r="J1004" s="2772">
        <f t="shared" si="107"/>
        <v>3000</v>
      </c>
      <c r="K1004" s="2761">
        <f>J1004/450</f>
        <v>6.666666666666667</v>
      </c>
      <c r="L1004" s="2747">
        <v>1</v>
      </c>
      <c r="M1004" s="1713">
        <v>1016</v>
      </c>
      <c r="N1004" s="1714">
        <v>8</v>
      </c>
      <c r="O1004" s="2975" t="s">
        <v>85</v>
      </c>
      <c r="P1004" s="2976"/>
      <c r="Q1004" s="1715">
        <v>2</v>
      </c>
      <c r="R1004" s="1716">
        <v>2</v>
      </c>
      <c r="S1004" s="1717" t="s">
        <v>86</v>
      </c>
      <c r="T1004" s="1718">
        <v>714</v>
      </c>
      <c r="U1004" s="636"/>
      <c r="V1004" s="2529">
        <f>VLOOKUP(M1004,'[1]TABELA FRETE'!$A$6:$B$12,2,0)</f>
        <v>425.7</v>
      </c>
      <c r="W1004" s="2638"/>
      <c r="X1004" s="2533"/>
      <c r="Y1004" s="2534"/>
      <c r="Z1004" s="733"/>
    </row>
    <row r="1005" spans="1:26" ht="30" customHeight="1">
      <c r="A1005" s="577"/>
      <c r="B1005" s="2900"/>
      <c r="C1005" s="326"/>
      <c r="D1005" s="2660"/>
      <c r="E1005" s="2865"/>
      <c r="F1005" s="2653"/>
      <c r="G1005" s="2834"/>
      <c r="H1005" s="2818"/>
      <c r="I1005" s="2819"/>
      <c r="J1005" s="2773"/>
      <c r="K1005" s="2762"/>
      <c r="L1005" s="2748"/>
      <c r="M1005" s="2984" t="s">
        <v>176</v>
      </c>
      <c r="N1005" s="2985"/>
      <c r="O1005" s="2986"/>
      <c r="P1005" s="2985"/>
      <c r="Q1005" s="2984"/>
      <c r="R1005" s="2985"/>
      <c r="S1005" s="2985"/>
      <c r="T1005" s="2986"/>
      <c r="U1005" s="636"/>
      <c r="V1005" s="2531"/>
      <c r="W1005" s="2639"/>
      <c r="X1005" s="2535"/>
      <c r="Y1005" s="2536"/>
      <c r="Z1005" s="733"/>
    </row>
    <row r="1006" spans="1:26" ht="47.25" customHeight="1">
      <c r="A1006" s="577"/>
      <c r="B1006" s="2894">
        <v>0.91666666666666696</v>
      </c>
      <c r="C1006" s="326"/>
      <c r="D1006" s="2661">
        <v>7</v>
      </c>
      <c r="E1006" s="2822">
        <v>5355</v>
      </c>
      <c r="F1006" s="2654"/>
      <c r="G1006" s="2797"/>
      <c r="H1006" s="2809"/>
      <c r="I1006" s="2797"/>
      <c r="J1006" s="2755">
        <f t="shared" si="107"/>
        <v>5355</v>
      </c>
      <c r="K1006" s="2739">
        <f>J1006/450</f>
        <v>11.9</v>
      </c>
      <c r="L1006" s="2737">
        <v>1</v>
      </c>
      <c r="M1006" s="1724" t="s">
        <v>7</v>
      </c>
      <c r="N1006" s="1730">
        <v>12</v>
      </c>
      <c r="O1006" s="2979" t="s">
        <v>50</v>
      </c>
      <c r="P1006" s="2977"/>
      <c r="Q1006" s="1731">
        <v>2</v>
      </c>
      <c r="R1006" s="1731">
        <v>2</v>
      </c>
      <c r="S1006" s="1732" t="s">
        <v>177</v>
      </c>
      <c r="T1006" s="1731">
        <v>612</v>
      </c>
      <c r="U1006" s="636"/>
      <c r="V1006" s="2529">
        <f>VLOOKUP(M1006,'[1]TABELA FRETE'!$A$6:$B$12,2,0)</f>
        <v>466.4</v>
      </c>
      <c r="W1006" s="2638"/>
      <c r="X1006" s="2533"/>
      <c r="Y1006" s="2534"/>
      <c r="Z1006" s="733"/>
    </row>
    <row r="1007" spans="1:26" ht="30" customHeight="1">
      <c r="A1007" s="577"/>
      <c r="B1007" s="2902"/>
      <c r="C1007" s="326"/>
      <c r="D1007" s="2662"/>
      <c r="E1007" s="2863"/>
      <c r="F1007" s="2655"/>
      <c r="G1007" s="2798"/>
      <c r="H1007" s="2814"/>
      <c r="I1007" s="2798"/>
      <c r="J1007" s="2756"/>
      <c r="K1007" s="2740"/>
      <c r="L1007" s="2738"/>
      <c r="M1007" s="2984" t="s">
        <v>178</v>
      </c>
      <c r="N1007" s="2985"/>
      <c r="O1007" s="2986"/>
      <c r="P1007" s="2985"/>
      <c r="Q1007" s="2984"/>
      <c r="R1007" s="2985"/>
      <c r="S1007" s="2985"/>
      <c r="T1007" s="2986"/>
      <c r="U1007" s="636"/>
      <c r="V1007" s="2531"/>
      <c r="W1007" s="2639"/>
      <c r="X1007" s="2535"/>
      <c r="Y1007" s="2536"/>
      <c r="Z1007" s="733"/>
    </row>
    <row r="1008" spans="1:26" s="303" customFormat="1" ht="6" customHeight="1">
      <c r="A1008" s="711"/>
      <c r="B1008" s="609"/>
      <c r="C1008" s="609"/>
      <c r="D1008" s="757"/>
      <c r="E1008" s="746"/>
      <c r="F1008" s="757"/>
      <c r="G1008" s="746"/>
      <c r="H1008" s="747"/>
      <c r="I1008" s="746"/>
      <c r="J1008" s="613"/>
      <c r="K1008" s="614"/>
      <c r="L1008" s="613"/>
      <c r="M1008" s="758"/>
      <c r="N1008" s="759"/>
      <c r="O1008" s="758"/>
      <c r="P1008" s="758"/>
      <c r="Q1008" s="758"/>
      <c r="R1008" s="758"/>
      <c r="S1008" s="758"/>
      <c r="T1008" s="758"/>
      <c r="U1008" s="725"/>
      <c r="V1008" s="433"/>
      <c r="W1008" s="433"/>
      <c r="X1008" s="760"/>
      <c r="Y1008" s="760"/>
      <c r="Z1008" s="761"/>
    </row>
    <row r="1009" spans="1:26" ht="48" customHeight="1">
      <c r="A1009" s="577"/>
      <c r="B1009" s="2987" t="s">
        <v>108</v>
      </c>
      <c r="C1009" s="2988"/>
      <c r="D1009" s="2989"/>
      <c r="E1009" s="318">
        <f>SUM(E944:E1007)</f>
        <v>186580</v>
      </c>
      <c r="F1009" s="557" t="s">
        <v>109</v>
      </c>
      <c r="G1009" s="557">
        <f>SUM(G944:G1007)</f>
        <v>17472</v>
      </c>
      <c r="H1009" s="557" t="s">
        <v>109</v>
      </c>
      <c r="I1009" s="319">
        <f>SUM(I944:I1007)</f>
        <v>0</v>
      </c>
      <c r="J1009" s="319">
        <f>E1009+G1009+I1009</f>
        <v>204052</v>
      </c>
      <c r="K1009" s="558">
        <f>SUM(K944:K1007)</f>
        <v>455.26995772946856</v>
      </c>
      <c r="L1009" s="559">
        <f>SUM(L944:L1007)</f>
        <v>50</v>
      </c>
      <c r="M1009" s="560" t="s">
        <v>110</v>
      </c>
      <c r="N1009" s="554">
        <f>SUM(N944:N998)</f>
        <v>459</v>
      </c>
      <c r="O1009" s="2896" t="s">
        <v>32</v>
      </c>
      <c r="P1009" s="2896"/>
      <c r="Q1009" s="2965"/>
      <c r="R1009" s="762">
        <f>K1009</f>
        <v>455.26995772946856</v>
      </c>
      <c r="S1009" s="763" t="s">
        <v>111</v>
      </c>
      <c r="T1009" s="764"/>
      <c r="U1009" s="636"/>
      <c r="V1009" s="2558">
        <f>SUM(V944:W1007)</f>
        <v>21220.9</v>
      </c>
      <c r="W1009" s="2559"/>
      <c r="X1009" s="2564">
        <f>COUNT(X944:Y1007)</f>
        <v>0</v>
      </c>
      <c r="Y1009" s="2565"/>
      <c r="Z1009" s="733"/>
    </row>
    <row r="1010" spans="1:26" ht="40.5" customHeight="1">
      <c r="A1010" s="577"/>
      <c r="B1010" s="2853" t="s">
        <v>112</v>
      </c>
      <c r="C1010" s="2899"/>
      <c r="D1010" s="2899"/>
      <c r="E1010" s="2899"/>
      <c r="F1010" s="2899"/>
      <c r="G1010" s="2899"/>
      <c r="H1010" s="2899"/>
      <c r="I1010" s="2899"/>
      <c r="J1010" s="2854"/>
      <c r="K1010" s="564">
        <v>44</v>
      </c>
      <c r="L1010" s="2899" t="s">
        <v>113</v>
      </c>
      <c r="M1010" s="2854"/>
      <c r="N1010" s="2915" t="s">
        <v>114</v>
      </c>
      <c r="O1010" s="2916"/>
      <c r="P1010" s="2916"/>
      <c r="Q1010" s="2916"/>
      <c r="R1010" s="2917"/>
      <c r="S1010" s="2915" t="s">
        <v>115</v>
      </c>
      <c r="T1010" s="2917"/>
      <c r="U1010" s="636"/>
      <c r="V1010" s="2560"/>
      <c r="W1010" s="2561"/>
      <c r="X1010" s="2566"/>
      <c r="Y1010" s="2567"/>
      <c r="Z1010" s="733"/>
    </row>
    <row r="1011" spans="1:26" ht="3.95" customHeight="1">
      <c r="A1011" s="577"/>
      <c r="B1011" s="2570" t="s">
        <v>116</v>
      </c>
      <c r="C1011" s="2571"/>
      <c r="D1011" s="2571"/>
      <c r="E1011" s="2575">
        <f>L1009</f>
        <v>50</v>
      </c>
      <c r="F1011" s="2570" t="s">
        <v>30</v>
      </c>
      <c r="G1011" s="2571"/>
      <c r="H1011" s="2574">
        <f>J1009</f>
        <v>204052</v>
      </c>
      <c r="I1011" s="2575"/>
      <c r="J1011" s="2570" t="s">
        <v>117</v>
      </c>
      <c r="K1011" s="2575">
        <f>H1011/E1011</f>
        <v>4081.04</v>
      </c>
      <c r="L1011" s="2640" t="s">
        <v>118</v>
      </c>
      <c r="M1011" s="2574"/>
      <c r="N1011" s="2574"/>
      <c r="O1011" s="2575">
        <v>44</v>
      </c>
      <c r="P1011" s="565"/>
      <c r="Q1011" s="565"/>
      <c r="R1011" s="565"/>
      <c r="S1011" s="565"/>
      <c r="T1011" s="765"/>
      <c r="U1011" s="636"/>
      <c r="V1011" s="2562"/>
      <c r="W1011" s="2563"/>
      <c r="X1011" s="2568"/>
      <c r="Y1011" s="2569"/>
      <c r="Z1011" s="733"/>
    </row>
    <row r="1012" spans="1:26" ht="48" customHeight="1">
      <c r="A1012" s="577"/>
      <c r="B1012" s="2572"/>
      <c r="C1012" s="2573"/>
      <c r="D1012" s="2573"/>
      <c r="E1012" s="2577"/>
      <c r="F1012" s="2572"/>
      <c r="G1012" s="2573"/>
      <c r="H1012" s="2576"/>
      <c r="I1012" s="2577"/>
      <c r="J1012" s="2572"/>
      <c r="K1012" s="2577"/>
      <c r="L1012" s="2641"/>
      <c r="M1012" s="2576"/>
      <c r="N1012" s="2576"/>
      <c r="O1012" s="2577"/>
      <c r="P1012" s="567"/>
      <c r="Q1012" s="2663" t="s">
        <v>119</v>
      </c>
      <c r="R1012" s="2664"/>
      <c r="S1012" s="2664"/>
      <c r="T1012" s="2665"/>
      <c r="U1012" s="636"/>
      <c r="V1012" s="2578" t="s">
        <v>120</v>
      </c>
      <c r="W1012" s="2579"/>
      <c r="X1012" s="2582" t="s">
        <v>121</v>
      </c>
      <c r="Y1012" s="2583"/>
      <c r="Z1012" s="733"/>
    </row>
    <row r="1013" spans="1:26" ht="52.5" customHeight="1">
      <c r="A1013" s="577"/>
      <c r="B1013" s="2879" t="s">
        <v>122</v>
      </c>
      <c r="C1013" s="2642" t="s">
        <v>33</v>
      </c>
      <c r="D1013" s="2643"/>
      <c r="E1013" s="2586" t="s">
        <v>123</v>
      </c>
      <c r="F1013" s="2587"/>
      <c r="G1013" s="2587"/>
      <c r="H1013" s="2587"/>
      <c r="I1013" s="2587"/>
      <c r="J1013" s="2587"/>
      <c r="K1013" s="2587"/>
      <c r="L1013" s="2587"/>
      <c r="M1013" s="2587"/>
      <c r="N1013" s="2587"/>
      <c r="O1013" s="2588"/>
      <c r="P1013" s="568"/>
      <c r="Q1013" s="2646" t="s">
        <v>179</v>
      </c>
      <c r="R1013" s="2647"/>
      <c r="S1013" s="2647"/>
      <c r="T1013" s="2648"/>
      <c r="U1013" s="636"/>
      <c r="V1013" s="2578"/>
      <c r="W1013" s="2579"/>
      <c r="X1013" s="2582"/>
      <c r="Y1013" s="2583"/>
      <c r="Z1013" s="733"/>
    </row>
    <row r="1014" spans="1:26" ht="52.5" customHeight="1">
      <c r="A1014" s="577"/>
      <c r="B1014" s="2880"/>
      <c r="C1014" s="2644"/>
      <c r="D1014" s="2645"/>
      <c r="E1014" s="2589"/>
      <c r="F1014" s="2590"/>
      <c r="G1014" s="2590"/>
      <c r="H1014" s="2590"/>
      <c r="I1014" s="2590"/>
      <c r="J1014" s="2590"/>
      <c r="K1014" s="2590"/>
      <c r="L1014" s="2590"/>
      <c r="M1014" s="2590"/>
      <c r="N1014" s="2590"/>
      <c r="O1014" s="2591"/>
      <c r="P1014" s="569"/>
      <c r="Q1014" s="2649"/>
      <c r="R1014" s="2650"/>
      <c r="S1014" s="2650"/>
      <c r="T1014" s="2651"/>
      <c r="U1014" s="636"/>
      <c r="V1014" s="2580"/>
      <c r="W1014" s="2581"/>
      <c r="X1014" s="2584"/>
      <c r="Y1014" s="2585"/>
      <c r="Z1014" s="733"/>
    </row>
    <row r="1015" spans="1:26" ht="52.5" customHeight="1">
      <c r="A1015" s="577"/>
      <c r="B1015" s="1739" t="s">
        <v>9</v>
      </c>
      <c r="C1015" s="2956">
        <f>COUNTIF(M944:M1007,"kia")</f>
        <v>1</v>
      </c>
      <c r="D1015" s="2957"/>
      <c r="E1015" s="2586" t="s">
        <v>127</v>
      </c>
      <c r="F1015" s="2587"/>
      <c r="G1015" s="2587"/>
      <c r="H1015" s="2587"/>
      <c r="I1015" s="2587"/>
      <c r="J1015" s="2587"/>
      <c r="K1015" s="2587"/>
      <c r="L1015" s="2587"/>
      <c r="M1015" s="2587"/>
      <c r="N1015" s="2587"/>
      <c r="O1015" s="2588"/>
      <c r="P1015" s="569"/>
      <c r="Q1015" s="2958" t="s">
        <v>126</v>
      </c>
      <c r="R1015" s="2959"/>
      <c r="S1015" s="2959"/>
      <c r="T1015" s="2960"/>
      <c r="U1015" s="636"/>
      <c r="V1015" s="321"/>
      <c r="W1015" s="321"/>
      <c r="X1015" s="321"/>
      <c r="Y1015" s="321"/>
      <c r="Z1015" s="733"/>
    </row>
    <row r="1016" spans="1:26" ht="52.5" customHeight="1">
      <c r="A1016" s="577"/>
      <c r="B1016" s="1740" t="s">
        <v>8</v>
      </c>
      <c r="C1016" s="2961">
        <f>COUNTIF(M944:M1007,"IVECO")</f>
        <v>2</v>
      </c>
      <c r="D1016" s="2962"/>
      <c r="E1016" s="2589"/>
      <c r="F1016" s="2590"/>
      <c r="G1016" s="2590"/>
      <c r="H1016" s="2590"/>
      <c r="I1016" s="2590"/>
      <c r="J1016" s="2590"/>
      <c r="K1016" s="2590"/>
      <c r="L1016" s="2590"/>
      <c r="M1016" s="2590"/>
      <c r="N1016" s="2590"/>
      <c r="O1016" s="2591"/>
      <c r="P1016" s="569"/>
      <c r="Q1016" s="2783" t="s">
        <v>180</v>
      </c>
      <c r="R1016" s="2784"/>
      <c r="S1016" s="2784"/>
      <c r="T1016" s="2785"/>
      <c r="U1016" s="636"/>
      <c r="V1016" s="2689" t="s">
        <v>129</v>
      </c>
      <c r="W1016" s="2690"/>
      <c r="X1016" s="2690"/>
      <c r="Y1016" s="2691"/>
      <c r="Z1016" s="733"/>
    </row>
    <row r="1017" spans="1:26" ht="52.5" customHeight="1">
      <c r="A1017" s="577"/>
      <c r="B1017" s="1740">
        <v>1016</v>
      </c>
      <c r="C1017" s="2961">
        <f>COUNTIF(M944:M1007,"1016")</f>
        <v>19</v>
      </c>
      <c r="D1017" s="2962"/>
      <c r="E1017" s="2607" t="s">
        <v>131</v>
      </c>
      <c r="F1017" s="2608"/>
      <c r="G1017" s="2608"/>
      <c r="H1017" s="2608"/>
      <c r="I1017" s="2608"/>
      <c r="J1017" s="2608"/>
      <c r="K1017" s="2608"/>
      <c r="L1017" s="2608"/>
      <c r="M1017" s="2608"/>
      <c r="N1017" s="2608"/>
      <c r="O1017" s="2609"/>
      <c r="P1017" s="569"/>
      <c r="Q1017" s="2786"/>
      <c r="R1017" s="2787"/>
      <c r="S1017" s="2787"/>
      <c r="T1017" s="2788"/>
      <c r="U1017" s="636"/>
      <c r="V1017" s="2601" t="s">
        <v>130</v>
      </c>
      <c r="W1017" s="2602"/>
      <c r="X1017" s="2602"/>
      <c r="Y1017" s="2603"/>
      <c r="Z1017" s="733"/>
    </row>
    <row r="1018" spans="1:26" ht="52.5" customHeight="1">
      <c r="A1018" s="577"/>
      <c r="B1018" s="1740" t="s">
        <v>7</v>
      </c>
      <c r="C1018" s="2961">
        <f>COUNTIF(M944:M1007,"TOCO")</f>
        <v>23</v>
      </c>
      <c r="D1018" s="2962"/>
      <c r="E1018" s="2552" t="s">
        <v>181</v>
      </c>
      <c r="F1018" s="2553"/>
      <c r="G1018" s="2553"/>
      <c r="H1018" s="2553"/>
      <c r="I1018" s="2553"/>
      <c r="J1018" s="2553"/>
      <c r="K1018" s="2553"/>
      <c r="L1018" s="2553"/>
      <c r="M1018" s="2553"/>
      <c r="N1018" s="2553"/>
      <c r="O1018" s="2554"/>
      <c r="P1018" s="568"/>
      <c r="Q1018" s="2774" t="s">
        <v>132</v>
      </c>
      <c r="R1018" s="2775"/>
      <c r="S1018" s="2775"/>
      <c r="T1018" s="2776"/>
      <c r="U1018" s="636"/>
      <c r="V1018" s="2604"/>
      <c r="W1018" s="2605"/>
      <c r="X1018" s="2605"/>
      <c r="Y1018" s="2606"/>
      <c r="Z1018" s="733"/>
    </row>
    <row r="1019" spans="1:26" ht="52.5" customHeight="1">
      <c r="A1019" s="577"/>
      <c r="B1019" s="1741" t="s">
        <v>6</v>
      </c>
      <c r="C1019" s="2963">
        <f>COUNTIF(M944:M1007,"TRUCK")</f>
        <v>5</v>
      </c>
      <c r="D1019" s="2964"/>
      <c r="E1019" s="2555"/>
      <c r="F1019" s="2556"/>
      <c r="G1019" s="2556"/>
      <c r="H1019" s="2556"/>
      <c r="I1019" s="2556"/>
      <c r="J1019" s="2556"/>
      <c r="K1019" s="2556"/>
      <c r="L1019" s="2556"/>
      <c r="M1019" s="2556"/>
      <c r="N1019" s="2556"/>
      <c r="O1019" s="2557"/>
      <c r="P1019" s="568"/>
      <c r="Q1019" s="2777"/>
      <c r="R1019" s="2778"/>
      <c r="S1019" s="2778"/>
      <c r="T1019" s="2779"/>
      <c r="U1019" s="725"/>
      <c r="V1019" s="2616" t="s">
        <v>133</v>
      </c>
      <c r="W1019" s="2617"/>
      <c r="X1019" s="2622">
        <f>SUM(E944:E1007,G944:G1007,I944:I1007)</f>
        <v>204052</v>
      </c>
      <c r="Y1019" s="2623"/>
      <c r="Z1019" s="733"/>
    </row>
    <row r="1020" spans="1:26" ht="52.5" customHeight="1">
      <c r="A1020" s="577"/>
      <c r="B1020" s="2642" t="s">
        <v>134</v>
      </c>
      <c r="C1020" s="2968">
        <f>C1015+C1016+C1017+C1018+C1019</f>
        <v>50</v>
      </c>
      <c r="D1020" s="2643"/>
      <c r="E1020" s="2552" t="s">
        <v>182</v>
      </c>
      <c r="F1020" s="2553"/>
      <c r="G1020" s="2553"/>
      <c r="H1020" s="2553"/>
      <c r="I1020" s="2553"/>
      <c r="J1020" s="2553"/>
      <c r="K1020" s="2553"/>
      <c r="L1020" s="2553"/>
      <c r="M1020" s="2553"/>
      <c r="N1020" s="2553"/>
      <c r="O1020" s="2554"/>
      <c r="P1020" s="573"/>
      <c r="Q1020" s="2780"/>
      <c r="R1020" s="2781"/>
      <c r="S1020" s="2781"/>
      <c r="T1020" s="2782"/>
      <c r="U1020" s="636"/>
      <c r="V1020" s="2618"/>
      <c r="W1020" s="2619"/>
      <c r="X1020" s="2624"/>
      <c r="Y1020" s="2625"/>
      <c r="Z1020" s="733"/>
    </row>
    <row r="1021" spans="1:26" ht="52.5" customHeight="1">
      <c r="A1021" s="577"/>
      <c r="B1021" s="2644"/>
      <c r="C1021" s="2969"/>
      <c r="D1021" s="2645"/>
      <c r="E1021" s="2555"/>
      <c r="F1021" s="2556"/>
      <c r="G1021" s="2556"/>
      <c r="H1021" s="2556"/>
      <c r="I1021" s="2556"/>
      <c r="J1021" s="2556"/>
      <c r="K1021" s="2556"/>
      <c r="L1021" s="2556"/>
      <c r="M1021" s="2556"/>
      <c r="N1021" s="2556"/>
      <c r="O1021" s="2557"/>
      <c r="P1021" s="769"/>
      <c r="Q1021" s="2777" t="s">
        <v>183</v>
      </c>
      <c r="R1021" s="2778"/>
      <c r="S1021" s="2778"/>
      <c r="T1021" s="2779"/>
      <c r="U1021" s="636"/>
      <c r="V1021" s="2618"/>
      <c r="W1021" s="2619"/>
      <c r="X1021" s="2624"/>
      <c r="Y1021" s="2625"/>
      <c r="Z1021" s="733"/>
    </row>
    <row r="1022" spans="1:26" ht="52.5" customHeight="1">
      <c r="A1022" s="577"/>
      <c r="B1022" s="1578" t="s">
        <v>136</v>
      </c>
      <c r="C1022" s="2847" t="s">
        <v>137</v>
      </c>
      <c r="D1022" s="2848"/>
      <c r="E1022" s="2848"/>
      <c r="F1022" s="2848"/>
      <c r="G1022" s="2848"/>
      <c r="H1022" s="2848"/>
      <c r="I1022" s="2848"/>
      <c r="J1022" s="2848"/>
      <c r="K1022" s="2848"/>
      <c r="L1022" s="2848"/>
      <c r="M1022" s="2848"/>
      <c r="N1022" s="2848"/>
      <c r="O1022" s="2849"/>
      <c r="P1022" s="771"/>
      <c r="Q1022" s="2780"/>
      <c r="R1022" s="2781"/>
      <c r="S1022" s="2781"/>
      <c r="T1022" s="2782"/>
      <c r="U1022" s="636"/>
      <c r="V1022" s="2620"/>
      <c r="W1022" s="2621"/>
      <c r="X1022" s="2626"/>
      <c r="Y1022" s="2627"/>
      <c r="Z1022" s="733"/>
    </row>
    <row r="1031" spans="1:26" s="299" customFormat="1" ht="42.75" customHeight="1">
      <c r="A1031" s="299" t="s">
        <v>17</v>
      </c>
      <c r="B1031" s="2712"/>
      <c r="C1031" s="2713"/>
      <c r="D1031" s="2713"/>
      <c r="E1031" s="2713"/>
      <c r="F1031" s="2713"/>
      <c r="G1031" s="2713"/>
      <c r="H1031" s="2713"/>
      <c r="I1031" s="2714"/>
      <c r="J1031" s="2850" t="s">
        <v>18</v>
      </c>
      <c r="K1031" s="2851"/>
      <c r="L1031" s="2851"/>
      <c r="M1031" s="2851"/>
      <c r="N1031" s="2851"/>
      <c r="O1031" s="2851"/>
      <c r="P1031" s="2851"/>
      <c r="Q1031" s="2852"/>
      <c r="R1031" s="2789">
        <v>46160</v>
      </c>
      <c r="S1031" s="2790"/>
      <c r="T1031" s="2791"/>
      <c r="U1031" s="307"/>
      <c r="V1031" s="2700" t="s">
        <v>19</v>
      </c>
      <c r="W1031" s="2701"/>
      <c r="X1031" s="2700" t="s">
        <v>19</v>
      </c>
      <c r="Y1031" s="2701"/>
    </row>
    <row r="1032" spans="1:26" s="299" customFormat="1" ht="42.75" customHeight="1">
      <c r="B1032" s="2715"/>
      <c r="C1032" s="2716"/>
      <c r="D1032" s="2716"/>
      <c r="E1032" s="2716"/>
      <c r="F1032" s="2716"/>
      <c r="G1032" s="2716"/>
      <c r="H1032" s="2716"/>
      <c r="I1032" s="2717"/>
      <c r="J1032" s="2724" t="s">
        <v>20</v>
      </c>
      <c r="K1032" s="2725"/>
      <c r="L1032" s="2725"/>
      <c r="M1032" s="2725"/>
      <c r="N1032" s="2725"/>
      <c r="O1032" s="2725"/>
      <c r="P1032" s="2725"/>
      <c r="Q1032" s="2726"/>
      <c r="R1032" s="2792"/>
      <c r="S1032" s="2793"/>
      <c r="T1032" s="2794"/>
      <c r="U1032" s="307"/>
      <c r="V1032" s="2702"/>
      <c r="W1032" s="2703"/>
      <c r="X1032" s="2702"/>
      <c r="Y1032" s="2703"/>
    </row>
    <row r="1033" spans="1:26" s="299" customFormat="1" ht="6" customHeight="1">
      <c r="B1033" s="311"/>
      <c r="C1033" s="312"/>
      <c r="D1033" s="308"/>
      <c r="E1033" s="308"/>
      <c r="F1033" s="308"/>
      <c r="G1033" s="308"/>
      <c r="H1033" s="308"/>
      <c r="I1033" s="308"/>
      <c r="J1033" s="2727"/>
      <c r="K1033" s="2728"/>
      <c r="L1033" s="2728"/>
      <c r="M1033" s="2728"/>
      <c r="N1033" s="2728"/>
      <c r="O1033" s="2728"/>
      <c r="P1033" s="2728"/>
      <c r="Q1033" s="2729"/>
      <c r="R1033" s="313" t="s">
        <v>21</v>
      </c>
      <c r="S1033" s="313"/>
      <c r="T1033" s="314"/>
      <c r="U1033" s="307"/>
      <c r="V1033" s="309"/>
      <c r="W1033" s="310"/>
      <c r="X1033" s="309"/>
      <c r="Y1033" s="310"/>
    </row>
    <row r="1034" spans="1:26" s="299" customFormat="1" ht="48.95" customHeight="1">
      <c r="B1034" s="2881" t="s">
        <v>22</v>
      </c>
      <c r="C1034" s="315"/>
      <c r="D1034" s="2853" t="s">
        <v>23</v>
      </c>
      <c r="E1034" s="2854"/>
      <c r="F1034" s="2853" t="s">
        <v>24</v>
      </c>
      <c r="G1034" s="2854"/>
      <c r="H1034" s="2853" t="s">
        <v>25</v>
      </c>
      <c r="I1034" s="2854"/>
      <c r="J1034" s="2730"/>
      <c r="K1034" s="2731"/>
      <c r="L1034" s="2731"/>
      <c r="M1034" s="2731"/>
      <c r="N1034" s="2731"/>
      <c r="O1034" s="2731"/>
      <c r="P1034" s="2731"/>
      <c r="Q1034" s="2732"/>
      <c r="R1034" s="2895" t="s">
        <v>26</v>
      </c>
      <c r="S1034" s="2965"/>
      <c r="T1034" s="320">
        <f>L1095</f>
        <v>55</v>
      </c>
      <c r="U1034" s="321"/>
      <c r="V1034" s="2525" t="s">
        <v>27</v>
      </c>
      <c r="W1034" s="2526"/>
      <c r="X1034" s="2525" t="s">
        <v>28</v>
      </c>
      <c r="Y1034" s="2526"/>
      <c r="Z1034" s="322"/>
    </row>
    <row r="1035" spans="1:26" s="299" customFormat="1" ht="45.95" customHeight="1">
      <c r="B1035" s="2882"/>
      <c r="C1035" s="315"/>
      <c r="D1035" s="772" t="s">
        <v>29</v>
      </c>
      <c r="E1035" s="772" t="s">
        <v>30</v>
      </c>
      <c r="F1035" s="772" t="s">
        <v>29</v>
      </c>
      <c r="G1035" s="772" t="s">
        <v>30</v>
      </c>
      <c r="H1035" s="772" t="s">
        <v>29</v>
      </c>
      <c r="I1035" s="772" t="s">
        <v>30</v>
      </c>
      <c r="J1035" s="773" t="s">
        <v>31</v>
      </c>
      <c r="K1035" s="772" t="s">
        <v>32</v>
      </c>
      <c r="L1035" s="323" t="s">
        <v>33</v>
      </c>
      <c r="M1035" s="323" t="s">
        <v>34</v>
      </c>
      <c r="N1035" s="323" t="s">
        <v>32</v>
      </c>
      <c r="O1035" s="316" t="s">
        <v>35</v>
      </c>
      <c r="P1035" s="317"/>
      <c r="Q1035" s="323" t="s">
        <v>36</v>
      </c>
      <c r="R1035" s="323" t="s">
        <v>37</v>
      </c>
      <c r="S1035" s="323" t="s">
        <v>38</v>
      </c>
      <c r="T1035" s="324" t="s">
        <v>39</v>
      </c>
      <c r="U1035" s="321"/>
      <c r="V1035" s="2527"/>
      <c r="W1035" s="2528"/>
      <c r="X1035" s="2527"/>
      <c r="Y1035" s="2528"/>
      <c r="Z1035" s="322"/>
    </row>
    <row r="1036" spans="1:26" s="304" customFormat="1" ht="48" customHeight="1">
      <c r="B1036" s="774">
        <v>0.333333333343035</v>
      </c>
      <c r="C1036" s="775"/>
      <c r="D1036" s="776">
        <v>15</v>
      </c>
      <c r="E1036" s="777">
        <v>1000</v>
      </c>
      <c r="F1036" s="776">
        <v>25</v>
      </c>
      <c r="G1036" s="778">
        <v>2000</v>
      </c>
      <c r="H1036" s="779"/>
      <c r="I1036" s="1742"/>
      <c r="J1036" s="778">
        <f t="shared" ref="J1036:J1045" si="108">E1036+G1036+I1036</f>
        <v>3000</v>
      </c>
      <c r="K1036" s="781">
        <f t="shared" ref="K1036:K1045" si="109">J1036/500</f>
        <v>6</v>
      </c>
      <c r="L1036" s="780">
        <v>1</v>
      </c>
      <c r="M1036" s="1743">
        <v>1016</v>
      </c>
      <c r="N1036" s="1242">
        <v>7</v>
      </c>
      <c r="O1036" s="2966" t="s">
        <v>141</v>
      </c>
      <c r="P1036" s="2967"/>
      <c r="Q1036" s="1744">
        <v>2</v>
      </c>
      <c r="R1036" s="1353">
        <v>3</v>
      </c>
      <c r="S1036" s="1246" t="s">
        <v>142</v>
      </c>
      <c r="T1036" s="1245">
        <v>605</v>
      </c>
      <c r="V1036" s="2630">
        <f>VLOOKUP(M1036,'[1]TABELA FRETE'!$A$6:$B$12,2,0)</f>
        <v>425.7</v>
      </c>
      <c r="W1036" s="2631"/>
      <c r="X1036" s="2632"/>
      <c r="Y1036" s="2633"/>
    </row>
    <row r="1037" spans="1:26" s="304" customFormat="1" ht="48" customHeight="1">
      <c r="B1037" s="788">
        <v>0.333333333343035</v>
      </c>
      <c r="C1037" s="775"/>
      <c r="D1037" s="789">
        <v>4</v>
      </c>
      <c r="E1037" s="803">
        <v>1000</v>
      </c>
      <c r="F1037" s="789">
        <v>18</v>
      </c>
      <c r="G1037" s="804">
        <v>1500</v>
      </c>
      <c r="H1037" s="789"/>
      <c r="I1037" s="1745"/>
      <c r="J1037" s="806">
        <f t="shared" si="108"/>
        <v>2500</v>
      </c>
      <c r="K1037" s="795">
        <f t="shared" si="109"/>
        <v>5</v>
      </c>
      <c r="L1037" s="805">
        <v>1</v>
      </c>
      <c r="M1037" s="1746">
        <v>1016</v>
      </c>
      <c r="N1037" s="1251">
        <v>7</v>
      </c>
      <c r="O1037" s="2946" t="s">
        <v>56</v>
      </c>
      <c r="P1037" s="2947"/>
      <c r="Q1037" s="1248">
        <v>1</v>
      </c>
      <c r="R1037" s="813">
        <v>2</v>
      </c>
      <c r="S1037" s="1250" t="s">
        <v>57</v>
      </c>
      <c r="T1037" s="1254">
        <v>663</v>
      </c>
      <c r="V1037" s="2630">
        <f>VLOOKUP(M1037,'[1]TABELA FRETE'!$A$6:$B$12,2,0)</f>
        <v>425.7</v>
      </c>
      <c r="W1037" s="2631"/>
      <c r="X1037" s="2632"/>
      <c r="Y1037" s="2633"/>
    </row>
    <row r="1038" spans="1:26" s="304" customFormat="1" ht="48" customHeight="1">
      <c r="B1038" s="788">
        <v>0.333333333343035</v>
      </c>
      <c r="C1038" s="775"/>
      <c r="D1038" s="791">
        <v>10</v>
      </c>
      <c r="E1038" s="816">
        <v>3000</v>
      </c>
      <c r="F1038" s="791">
        <v>17</v>
      </c>
      <c r="G1038" s="794">
        <v>2000</v>
      </c>
      <c r="H1038" s="791"/>
      <c r="I1038" s="1747"/>
      <c r="J1038" s="792">
        <f t="shared" si="108"/>
        <v>5000</v>
      </c>
      <c r="K1038" s="817">
        <f t="shared" si="109"/>
        <v>10</v>
      </c>
      <c r="L1038" s="805">
        <v>1</v>
      </c>
      <c r="M1038" s="1748">
        <v>1016</v>
      </c>
      <c r="N1038" s="1749">
        <v>8</v>
      </c>
      <c r="O1038" s="2952" t="s">
        <v>81</v>
      </c>
      <c r="P1038" s="2953"/>
      <c r="Q1038" s="1750">
        <v>2</v>
      </c>
      <c r="R1038" s="822">
        <v>3</v>
      </c>
      <c r="S1038" s="1751" t="s">
        <v>185</v>
      </c>
      <c r="T1038" s="820">
        <v>606</v>
      </c>
      <c r="V1038" s="2630">
        <f>VLOOKUP(M1038,'[1]TABELA FRETE'!$A$6:$B$12,2,0)</f>
        <v>425.7</v>
      </c>
      <c r="W1038" s="2631"/>
      <c r="X1038" s="2632"/>
      <c r="Y1038" s="2633"/>
    </row>
    <row r="1039" spans="1:26" s="304" customFormat="1" ht="48" customHeight="1">
      <c r="B1039" s="1752">
        <v>0.333333333343035</v>
      </c>
      <c r="C1039" s="775"/>
      <c r="D1039" s="824">
        <v>46</v>
      </c>
      <c r="E1039" s="803">
        <v>2000</v>
      </c>
      <c r="F1039" s="789">
        <v>36</v>
      </c>
      <c r="G1039" s="804">
        <v>2000</v>
      </c>
      <c r="H1039" s="789"/>
      <c r="I1039" s="1745"/>
      <c r="J1039" s="792">
        <f t="shared" si="108"/>
        <v>4000</v>
      </c>
      <c r="K1039" s="817">
        <f t="shared" si="109"/>
        <v>8</v>
      </c>
      <c r="L1039" s="794">
        <v>1</v>
      </c>
      <c r="M1039" s="1746">
        <v>1016</v>
      </c>
      <c r="N1039" s="1251">
        <v>8</v>
      </c>
      <c r="O1039" s="2942" t="s">
        <v>46</v>
      </c>
      <c r="P1039" s="2943"/>
      <c r="Q1039" s="1252">
        <v>2</v>
      </c>
      <c r="R1039" s="799">
        <v>3</v>
      </c>
      <c r="S1039" s="1253" t="s">
        <v>47</v>
      </c>
      <c r="T1039" s="801">
        <v>48</v>
      </c>
      <c r="V1039" s="2630">
        <f>VLOOKUP(M1039,'[1]TABELA FRETE'!$A$6:$B$12,2,0)</f>
        <v>425.7</v>
      </c>
      <c r="W1039" s="2631"/>
      <c r="X1039" s="2632"/>
      <c r="Y1039" s="2633"/>
    </row>
    <row r="1040" spans="1:26" s="304" customFormat="1" ht="48" customHeight="1">
      <c r="B1040" s="788">
        <v>0.333333333343035</v>
      </c>
      <c r="C1040" s="775"/>
      <c r="D1040" s="789">
        <v>47</v>
      </c>
      <c r="E1040" s="790">
        <v>2000</v>
      </c>
      <c r="F1040" s="791">
        <v>31</v>
      </c>
      <c r="G1040" s="792">
        <v>2000</v>
      </c>
      <c r="H1040" s="793"/>
      <c r="I1040" s="1747"/>
      <c r="J1040" s="792">
        <f t="shared" si="108"/>
        <v>4000</v>
      </c>
      <c r="K1040" s="817">
        <f t="shared" si="109"/>
        <v>8</v>
      </c>
      <c r="L1040" s="794">
        <v>1</v>
      </c>
      <c r="M1040" s="1536">
        <v>1016</v>
      </c>
      <c r="N1040" s="1654">
        <v>9</v>
      </c>
      <c r="O1040" s="2954" t="s">
        <v>79</v>
      </c>
      <c r="P1040" s="2955"/>
      <c r="Q1040" s="1753">
        <v>1</v>
      </c>
      <c r="R1040" s="1447">
        <v>2</v>
      </c>
      <c r="S1040" s="1687" t="s">
        <v>80</v>
      </c>
      <c r="T1040" s="1540">
        <v>184725</v>
      </c>
      <c r="V1040" s="2630">
        <f>VLOOKUP(M1040,'[1]TABELA FRETE'!$A$6:$B$12,2,0)</f>
        <v>425.7</v>
      </c>
      <c r="W1040" s="2631"/>
      <c r="X1040" s="2944"/>
      <c r="Y1040" s="2945"/>
    </row>
    <row r="1041" spans="2:25" s="305" customFormat="1" ht="48" customHeight="1">
      <c r="B1041" s="802">
        <v>0.333333333343035</v>
      </c>
      <c r="C1041" s="775"/>
      <c r="D1041" s="824">
        <v>8</v>
      </c>
      <c r="E1041" s="803">
        <v>5500</v>
      </c>
      <c r="F1041" s="789"/>
      <c r="G1041" s="804"/>
      <c r="H1041" s="789"/>
      <c r="I1041" s="1754"/>
      <c r="J1041" s="792">
        <f t="shared" si="108"/>
        <v>5500</v>
      </c>
      <c r="K1041" s="817">
        <f t="shared" si="109"/>
        <v>11</v>
      </c>
      <c r="L1041" s="794">
        <v>1</v>
      </c>
      <c r="M1041" s="1746" t="s">
        <v>7</v>
      </c>
      <c r="N1041" s="1251">
        <v>12</v>
      </c>
      <c r="O1041" s="2942" t="s">
        <v>224</v>
      </c>
      <c r="P1041" s="2943"/>
      <c r="Q1041" s="1252">
        <v>1</v>
      </c>
      <c r="R1041" s="799">
        <v>1</v>
      </c>
      <c r="S1041" s="1253" t="s">
        <v>225</v>
      </c>
      <c r="T1041" s="801">
        <v>782</v>
      </c>
      <c r="U1041" s="304"/>
      <c r="V1041" s="2630">
        <f>VLOOKUP(M1041,'[1]TABELA FRETE'!$A$6:$B$12,2,0)</f>
        <v>466.4</v>
      </c>
      <c r="W1041" s="2631"/>
      <c r="X1041" s="2944"/>
      <c r="Y1041" s="2945"/>
    </row>
    <row r="1042" spans="2:25" s="305" customFormat="1" ht="48" customHeight="1">
      <c r="B1042" s="788">
        <v>0.333333333343035</v>
      </c>
      <c r="C1042" s="775"/>
      <c r="D1042" s="791">
        <v>19</v>
      </c>
      <c r="E1042" s="790">
        <v>5500</v>
      </c>
      <c r="F1042" s="791"/>
      <c r="G1042" s="816"/>
      <c r="H1042" s="791"/>
      <c r="I1042" s="1747"/>
      <c r="J1042" s="792">
        <f t="shared" si="108"/>
        <v>5500</v>
      </c>
      <c r="K1042" s="817">
        <f t="shared" si="109"/>
        <v>11</v>
      </c>
      <c r="L1042" s="794">
        <v>1</v>
      </c>
      <c r="M1042" s="1746" t="s">
        <v>7</v>
      </c>
      <c r="N1042" s="1251">
        <v>12</v>
      </c>
      <c r="O1042" s="2942" t="s">
        <v>146</v>
      </c>
      <c r="P1042" s="2943"/>
      <c r="Q1042" s="1252">
        <v>1</v>
      </c>
      <c r="R1042" s="799">
        <v>1</v>
      </c>
      <c r="S1042" s="1253" t="s">
        <v>147</v>
      </c>
      <c r="T1042" s="815">
        <v>91</v>
      </c>
      <c r="U1042" s="304"/>
      <c r="V1042" s="2630">
        <f>VLOOKUP(M1042,'[1]TABELA FRETE'!$A$6:$B$12,2,0)</f>
        <v>466.4</v>
      </c>
      <c r="W1042" s="2631"/>
      <c r="X1042" s="2944"/>
      <c r="Y1042" s="2945"/>
    </row>
    <row r="1043" spans="2:25" s="305" customFormat="1" ht="63" customHeight="1">
      <c r="B1043" s="802">
        <v>0.333333333343035</v>
      </c>
      <c r="C1043" s="775"/>
      <c r="D1043" s="825" t="s">
        <v>152</v>
      </c>
      <c r="E1043" s="803">
        <v>5500</v>
      </c>
      <c r="F1043" s="789"/>
      <c r="G1043" s="804"/>
      <c r="H1043" s="789"/>
      <c r="I1043" s="1745"/>
      <c r="J1043" s="792">
        <f t="shared" si="108"/>
        <v>5500</v>
      </c>
      <c r="K1043" s="817">
        <f t="shared" si="109"/>
        <v>11</v>
      </c>
      <c r="L1043" s="794">
        <v>1</v>
      </c>
      <c r="M1043" s="1746" t="s">
        <v>7</v>
      </c>
      <c r="N1043" s="1251">
        <v>12</v>
      </c>
      <c r="O1043" s="2942" t="s">
        <v>58</v>
      </c>
      <c r="P1043" s="2943"/>
      <c r="Q1043" s="1252">
        <v>2</v>
      </c>
      <c r="R1043" s="799">
        <v>2</v>
      </c>
      <c r="S1043" s="1253" t="s">
        <v>186</v>
      </c>
      <c r="T1043" s="801">
        <v>674</v>
      </c>
      <c r="U1043" s="304"/>
      <c r="V1043" s="2630">
        <f>VLOOKUP(M1043,'[1]TABELA FRETE'!$A$6:$B$12,2,0)</f>
        <v>466.4</v>
      </c>
      <c r="W1043" s="2631"/>
      <c r="X1043" s="2944"/>
      <c r="Y1043" s="2945"/>
    </row>
    <row r="1044" spans="2:25" s="305" customFormat="1" ht="63" customHeight="1">
      <c r="B1044" s="802">
        <v>0.333333333343035</v>
      </c>
      <c r="C1044" s="775"/>
      <c r="D1044" s="825">
        <v>1129</v>
      </c>
      <c r="E1044" s="803">
        <v>2000</v>
      </c>
      <c r="F1044" s="824" t="s">
        <v>198</v>
      </c>
      <c r="G1044" s="804">
        <v>4000</v>
      </c>
      <c r="H1044" s="789"/>
      <c r="I1044" s="1745"/>
      <c r="J1044" s="806">
        <f t="shared" si="108"/>
        <v>6000</v>
      </c>
      <c r="K1044" s="795">
        <f t="shared" si="109"/>
        <v>12</v>
      </c>
      <c r="L1044" s="805">
        <v>1</v>
      </c>
      <c r="M1044" s="1755" t="s">
        <v>6</v>
      </c>
      <c r="N1044" s="1247">
        <v>14</v>
      </c>
      <c r="O1044" s="2946" t="s">
        <v>64</v>
      </c>
      <c r="P1044" s="2947"/>
      <c r="Q1044" s="1248">
        <v>2</v>
      </c>
      <c r="R1044" s="813">
        <v>3</v>
      </c>
      <c r="S1044" s="1250" t="s">
        <v>187</v>
      </c>
      <c r="T1044" s="1249">
        <v>598</v>
      </c>
      <c r="U1044" s="304"/>
      <c r="V1044" s="2630">
        <f>VLOOKUP(M1044,'[1]TABELA FRETE'!$A$6:$B$12,2,0)</f>
        <v>489.5</v>
      </c>
      <c r="W1044" s="2631"/>
      <c r="X1044" s="2944"/>
      <c r="Y1044" s="2945"/>
    </row>
    <row r="1045" spans="2:25" s="305" customFormat="1" ht="48" customHeight="1">
      <c r="B1045" s="833">
        <v>0.333333333343035</v>
      </c>
      <c r="C1045" s="775"/>
      <c r="D1045" s="1756">
        <v>34</v>
      </c>
      <c r="E1045" s="835">
        <v>4000</v>
      </c>
      <c r="F1045" s="834"/>
      <c r="G1045" s="1261"/>
      <c r="H1045" s="834"/>
      <c r="I1045" s="1757"/>
      <c r="J1045" s="838">
        <f t="shared" si="108"/>
        <v>4000</v>
      </c>
      <c r="K1045" s="839">
        <f t="shared" si="109"/>
        <v>8</v>
      </c>
      <c r="L1045" s="837">
        <v>1</v>
      </c>
      <c r="M1045" s="1758" t="s">
        <v>7</v>
      </c>
      <c r="N1045" s="1759">
        <v>10</v>
      </c>
      <c r="O1045" s="2948" t="s">
        <v>241</v>
      </c>
      <c r="P1045" s="2949"/>
      <c r="Q1045" s="1760">
        <v>1</v>
      </c>
      <c r="R1045" s="1761">
        <v>1</v>
      </c>
      <c r="S1045" s="1762" t="s">
        <v>319</v>
      </c>
      <c r="T1045" s="1763">
        <v>353</v>
      </c>
      <c r="U1045" s="304"/>
      <c r="V1045" s="2630">
        <f>VLOOKUP(M1045,'[1]TABELA FRETE'!$A$6:$B$12,2,0)</f>
        <v>466.4</v>
      </c>
      <c r="W1045" s="2631"/>
      <c r="X1045" s="2944"/>
      <c r="Y1045" s="2945"/>
    </row>
    <row r="1046" spans="2:25" s="301" customFormat="1" ht="6" customHeight="1">
      <c r="B1046" s="326"/>
      <c r="C1046" s="326"/>
      <c r="D1046" s="844"/>
      <c r="E1046" s="422"/>
      <c r="F1046" s="845"/>
      <c r="G1046" s="423"/>
      <c r="H1046" s="845"/>
      <c r="I1046" s="423"/>
      <c r="J1046" s="423"/>
      <c r="K1046" s="425"/>
      <c r="L1046" s="423"/>
      <c r="M1046" s="846"/>
      <c r="N1046" s="847"/>
      <c r="O1046" s="428"/>
      <c r="P1046" s="428"/>
      <c r="Q1046" s="429"/>
      <c r="R1046" s="429"/>
      <c r="S1046" s="430"/>
      <c r="T1046" s="428"/>
      <c r="U1046" s="432"/>
      <c r="V1046" s="679"/>
      <c r="W1046" s="679"/>
      <c r="X1046" s="434"/>
      <c r="Y1046" s="434"/>
    </row>
    <row r="1047" spans="2:25" s="300" customFormat="1" ht="48" customHeight="1">
      <c r="B1047" s="325">
        <v>0.41666666666666702</v>
      </c>
      <c r="C1047" s="326"/>
      <c r="D1047" s="327">
        <v>28</v>
      </c>
      <c r="E1047" s="849">
        <v>1852</v>
      </c>
      <c r="F1047" s="327"/>
      <c r="G1047" s="330"/>
      <c r="H1047" s="587"/>
      <c r="I1047" s="330"/>
      <c r="J1047" s="332">
        <f t="shared" ref="J1047:J1052" si="110">E1047+G1047+I1047</f>
        <v>1852</v>
      </c>
      <c r="K1047" s="333">
        <f>J1047/450</f>
        <v>4.1155555555555559</v>
      </c>
      <c r="L1047" s="332">
        <v>1</v>
      </c>
      <c r="M1047" s="1797" t="s">
        <v>8</v>
      </c>
      <c r="N1047" s="1798">
        <v>4</v>
      </c>
      <c r="O1047" s="2950" t="s">
        <v>267</v>
      </c>
      <c r="P1047" s="2951"/>
      <c r="Q1047" s="1799">
        <v>1</v>
      </c>
      <c r="R1047" s="1800">
        <v>0</v>
      </c>
      <c r="S1047" s="1801" t="s">
        <v>723</v>
      </c>
      <c r="T1047" s="1802">
        <v>353</v>
      </c>
      <c r="U1047" s="307"/>
      <c r="V1047" s="2630">
        <v>262.89999999999998</v>
      </c>
      <c r="W1047" s="2631"/>
      <c r="X1047" s="2632"/>
      <c r="Y1047" s="2633"/>
    </row>
    <row r="1048" spans="2:25" s="300" customFormat="1" ht="48" customHeight="1" thickBot="1">
      <c r="B1048" s="463">
        <v>0.41666666666666702</v>
      </c>
      <c r="C1048" s="326"/>
      <c r="D1048" s="344">
        <v>29</v>
      </c>
      <c r="E1048" s="897">
        <v>2474</v>
      </c>
      <c r="F1048" s="1795">
        <v>28</v>
      </c>
      <c r="G1048" s="1796" t="s">
        <v>269</v>
      </c>
      <c r="H1048" s="593"/>
      <c r="I1048" s="349"/>
      <c r="J1048" s="365">
        <f>E1048</f>
        <v>2474</v>
      </c>
      <c r="K1048" s="366">
        <f>J1048/450</f>
        <v>5.4977777777777774</v>
      </c>
      <c r="L1048" s="365">
        <v>1</v>
      </c>
      <c r="M1048" s="1549">
        <v>1016</v>
      </c>
      <c r="N1048" s="1764">
        <v>6</v>
      </c>
      <c r="O1048" s="2628" t="s">
        <v>139</v>
      </c>
      <c r="P1048" s="2629"/>
      <c r="Q1048" s="730">
        <v>1</v>
      </c>
      <c r="R1048" s="1765">
        <v>0</v>
      </c>
      <c r="S1048" s="1820" t="s">
        <v>140</v>
      </c>
      <c r="T1048" s="1316">
        <v>809</v>
      </c>
      <c r="U1048" s="307"/>
      <c r="V1048" s="2630">
        <f>VLOOKUP(M1048,'[1]TABELA FRETE'!$A$6:$B$12,2,0)</f>
        <v>425.7</v>
      </c>
      <c r="W1048" s="2631"/>
      <c r="X1048" s="2632"/>
      <c r="Y1048" s="2633"/>
    </row>
    <row r="1049" spans="2:25" s="299" customFormat="1" ht="48" customHeight="1" thickBot="1">
      <c r="B1049" s="463">
        <v>0.41666666666666702</v>
      </c>
      <c r="C1049" s="326"/>
      <c r="D1049" s="359">
        <v>7</v>
      </c>
      <c r="E1049" s="858">
        <v>1000</v>
      </c>
      <c r="F1049" s="359"/>
      <c r="G1049" s="375"/>
      <c r="H1049" s="363"/>
      <c r="I1049" s="364"/>
      <c r="J1049" s="365">
        <f t="shared" si="110"/>
        <v>1000</v>
      </c>
      <c r="K1049" s="366">
        <f>J1049/450</f>
        <v>2.2222222222222223</v>
      </c>
      <c r="L1049" s="365">
        <v>1</v>
      </c>
      <c r="M1049" s="1275" t="s">
        <v>9</v>
      </c>
      <c r="N1049" s="1276">
        <v>3</v>
      </c>
      <c r="O1049" s="2692" t="s">
        <v>724</v>
      </c>
      <c r="P1049" s="2693" t="s">
        <v>724</v>
      </c>
      <c r="Q1049" s="862">
        <v>2</v>
      </c>
      <c r="R1049" s="863">
        <v>0</v>
      </c>
      <c r="S1049" s="1803" t="s">
        <v>725</v>
      </c>
      <c r="T1049" s="861">
        <v>184763</v>
      </c>
      <c r="U1049" s="307"/>
      <c r="V1049" s="2630">
        <f>VLOOKUP(M1049,'[1]TABELA FRETE'!$A$6:$B$12,2,0)</f>
        <v>250.8</v>
      </c>
      <c r="W1049" s="2631"/>
      <c r="X1049" s="2632"/>
      <c r="Y1049" s="2633"/>
    </row>
    <row r="1050" spans="2:25" s="299" customFormat="1" ht="48" customHeight="1" thickBot="1">
      <c r="B1050" s="463">
        <v>0.41666666666666702</v>
      </c>
      <c r="C1050" s="326"/>
      <c r="D1050" s="359">
        <v>11</v>
      </c>
      <c r="E1050" s="867">
        <v>2000</v>
      </c>
      <c r="F1050" s="924"/>
      <c r="G1050" s="395"/>
      <c r="H1050" s="394"/>
      <c r="I1050" s="727"/>
      <c r="J1050" s="365">
        <f t="shared" si="110"/>
        <v>2000</v>
      </c>
      <c r="K1050" s="366">
        <f>J1050/450</f>
        <v>4.4444444444444446</v>
      </c>
      <c r="L1050" s="365">
        <v>1</v>
      </c>
      <c r="M1050" s="594" t="s">
        <v>8</v>
      </c>
      <c r="N1050" s="595">
        <v>4</v>
      </c>
      <c r="O1050" s="2628" t="s">
        <v>96</v>
      </c>
      <c r="P1050" s="2629"/>
      <c r="Q1050" s="596">
        <v>2</v>
      </c>
      <c r="R1050" s="597">
        <v>0</v>
      </c>
      <c r="S1050" s="598" t="s">
        <v>97</v>
      </c>
      <c r="T1050" s="597">
        <v>456</v>
      </c>
      <c r="U1050" s="307"/>
      <c r="V1050" s="2630">
        <f>VLOOKUP(M1050,'[1]TABELA FRETE'!$A$6:$B$12,2,0)</f>
        <v>286</v>
      </c>
      <c r="W1050" s="2631"/>
      <c r="X1050" s="2632"/>
      <c r="Y1050" s="2633"/>
    </row>
    <row r="1051" spans="2:25" s="299" customFormat="1" ht="48" customHeight="1">
      <c r="B1051" s="463">
        <v>0.41666666666666702</v>
      </c>
      <c r="C1051" s="326"/>
      <c r="D1051" s="359">
        <v>11</v>
      </c>
      <c r="E1051" s="867">
        <v>2000</v>
      </c>
      <c r="F1051" s="924"/>
      <c r="G1051" s="395"/>
      <c r="H1051" s="394"/>
      <c r="I1051" s="727"/>
      <c r="J1051" s="365">
        <f t="shared" si="110"/>
        <v>2000</v>
      </c>
      <c r="K1051" s="366">
        <f t="shared" ref="K1051:K1083" si="111">J1051/450</f>
        <v>4.4444444444444446</v>
      </c>
      <c r="L1051" s="365">
        <v>1</v>
      </c>
      <c r="M1051" s="367">
        <v>1016</v>
      </c>
      <c r="N1051" s="368">
        <v>6</v>
      </c>
      <c r="O1051" s="2692" t="s">
        <v>203</v>
      </c>
      <c r="P1051" s="2693"/>
      <c r="Q1051" s="387">
        <v>2</v>
      </c>
      <c r="R1051" s="388">
        <v>0</v>
      </c>
      <c r="S1051" s="1277" t="s">
        <v>204</v>
      </c>
      <c r="T1051" s="390">
        <v>807</v>
      </c>
      <c r="U1051" s="307"/>
      <c r="V1051" s="2630">
        <f>VLOOKUP(M1051,'[1]TABELA FRETE'!$A$6:$B$12,2,0)</f>
        <v>425.7</v>
      </c>
      <c r="W1051" s="2631"/>
      <c r="X1051" s="2632"/>
      <c r="Y1051" s="2633"/>
    </row>
    <row r="1052" spans="2:25" s="299" customFormat="1" ht="48" customHeight="1">
      <c r="B1052" s="408">
        <v>0.41666666666666702</v>
      </c>
      <c r="C1052" s="326"/>
      <c r="D1052" s="665">
        <v>11</v>
      </c>
      <c r="E1052" s="877">
        <v>1167</v>
      </c>
      <c r="F1052" s="665"/>
      <c r="G1052" s="544"/>
      <c r="H1052" s="545"/>
      <c r="I1052" s="705"/>
      <c r="J1052" s="413">
        <f t="shared" si="110"/>
        <v>1167</v>
      </c>
      <c r="K1052" s="414">
        <f t="shared" si="111"/>
        <v>2.5933333333333333</v>
      </c>
      <c r="L1052" s="413">
        <v>1</v>
      </c>
      <c r="M1052" s="604" t="s">
        <v>9</v>
      </c>
      <c r="N1052" s="605">
        <v>3</v>
      </c>
      <c r="O1052" s="2855" t="s">
        <v>98</v>
      </c>
      <c r="P1052" s="2856"/>
      <c r="Q1052" s="551">
        <v>1</v>
      </c>
      <c r="R1052" s="607">
        <v>0</v>
      </c>
      <c r="S1052" s="608" t="s">
        <v>99</v>
      </c>
      <c r="T1052" s="606">
        <v>496</v>
      </c>
      <c r="U1052" s="307"/>
      <c r="V1052" s="2630">
        <f>VLOOKUP(M1052,'[1]TABELA FRETE'!$A$6:$B$12,2,0)</f>
        <v>250.8</v>
      </c>
      <c r="W1052" s="2631"/>
      <c r="X1052" s="2694"/>
      <c r="Y1052" s="2695"/>
    </row>
    <row r="1053" spans="2:25" s="301" customFormat="1" ht="6" customHeight="1" thickBot="1">
      <c r="B1053" s="326"/>
      <c r="C1053" s="326"/>
      <c r="D1053" s="421"/>
      <c r="E1053" s="422"/>
      <c r="F1053" s="421"/>
      <c r="G1053" s="423"/>
      <c r="H1053" s="424"/>
      <c r="I1053" s="423"/>
      <c r="J1053" s="423"/>
      <c r="K1053" s="425"/>
      <c r="L1053" s="423"/>
      <c r="M1053" s="885"/>
      <c r="N1053" s="886"/>
      <c r="O1053" s="428"/>
      <c r="P1053" s="428"/>
      <c r="Q1053" s="429"/>
      <c r="R1053" s="429"/>
      <c r="S1053" s="430"/>
      <c r="T1053" s="428"/>
      <c r="U1053" s="432"/>
      <c r="V1053" s="679"/>
      <c r="W1053" s="679"/>
      <c r="X1053" s="434"/>
      <c r="Y1053" s="434"/>
    </row>
    <row r="1054" spans="2:25" s="299" customFormat="1" ht="48" customHeight="1" thickBot="1">
      <c r="B1054" s="325">
        <v>0.5</v>
      </c>
      <c r="C1054" s="326"/>
      <c r="D1054" s="327">
        <v>8</v>
      </c>
      <c r="E1054" s="849">
        <v>5195</v>
      </c>
      <c r="F1054" s="887"/>
      <c r="G1054" s="437"/>
      <c r="H1054" s="438"/>
      <c r="I1054" s="330"/>
      <c r="J1054" s="888">
        <f>E1054+G1054+I1054</f>
        <v>5195</v>
      </c>
      <c r="K1054" s="889">
        <f t="shared" si="111"/>
        <v>11.544444444444444</v>
      </c>
      <c r="L1054" s="713">
        <v>1</v>
      </c>
      <c r="M1054" s="1284" t="s">
        <v>7</v>
      </c>
      <c r="N1054" s="1285">
        <v>12</v>
      </c>
      <c r="O1054" s="2940" t="s">
        <v>76</v>
      </c>
      <c r="P1054" s="2941"/>
      <c r="Q1054" s="497">
        <v>1</v>
      </c>
      <c r="R1054" s="442">
        <v>1</v>
      </c>
      <c r="S1054" s="1134" t="s">
        <v>77</v>
      </c>
      <c r="T1054" s="588">
        <v>184708</v>
      </c>
      <c r="U1054" s="307"/>
      <c r="V1054" s="2630">
        <f>VLOOKUP(M1054,'[1]TABELA FRETE'!$A$6:$B$12,2,0)</f>
        <v>466.4</v>
      </c>
      <c r="W1054" s="2631"/>
      <c r="X1054" s="2632"/>
      <c r="Y1054" s="2633"/>
    </row>
    <row r="1055" spans="2:25" s="299" customFormat="1" ht="48" customHeight="1" thickBot="1">
      <c r="B1055" s="343">
        <v>0.5</v>
      </c>
      <c r="C1055" s="326"/>
      <c r="D1055" s="344">
        <v>9</v>
      </c>
      <c r="E1055" s="897">
        <v>3478</v>
      </c>
      <c r="F1055" s="344"/>
      <c r="G1055" s="455"/>
      <c r="H1055" s="348"/>
      <c r="I1055" s="364"/>
      <c r="J1055" s="898">
        <f>E1055+G1055+I1055</f>
        <v>3478</v>
      </c>
      <c r="K1055" s="899">
        <f t="shared" si="111"/>
        <v>7.7288888888888891</v>
      </c>
      <c r="L1055" s="364">
        <v>1</v>
      </c>
      <c r="M1055" s="1817" t="s">
        <v>7</v>
      </c>
      <c r="N1055" s="1818">
        <v>10</v>
      </c>
      <c r="O1055" s="2937" t="s">
        <v>728</v>
      </c>
      <c r="P1055" s="2938"/>
      <c r="Q1055" s="1813">
        <v>1</v>
      </c>
      <c r="R1055" s="1814">
        <v>0</v>
      </c>
      <c r="S1055" s="1815" t="s">
        <v>149</v>
      </c>
      <c r="T1055" s="1816">
        <v>353</v>
      </c>
      <c r="U1055" s="307"/>
      <c r="V1055" s="2630">
        <f>VLOOKUP(M1055,'[1]TABELA FRETE'!$A$6:$B$12,2,0)</f>
        <v>466.4</v>
      </c>
      <c r="W1055" s="2631"/>
      <c r="X1055" s="2632"/>
      <c r="Y1055" s="2633"/>
    </row>
    <row r="1056" spans="2:25" s="299" customFormat="1" ht="48" customHeight="1" thickBot="1">
      <c r="B1056" s="343">
        <v>0.5</v>
      </c>
      <c r="C1056" s="326"/>
      <c r="D1056" s="344">
        <v>1</v>
      </c>
      <c r="E1056" s="897">
        <v>5357</v>
      </c>
      <c r="F1056" s="517"/>
      <c r="G1056" s="455"/>
      <c r="H1056" s="348"/>
      <c r="I1056" s="349"/>
      <c r="J1056" s="907">
        <f>E1056+G1056+I1056</f>
        <v>5357</v>
      </c>
      <c r="K1056" s="899">
        <f t="shared" si="111"/>
        <v>11.904444444444444</v>
      </c>
      <c r="L1056" s="727">
        <v>1</v>
      </c>
      <c r="M1056" s="397" t="s">
        <v>6</v>
      </c>
      <c r="N1056" s="1177">
        <v>14</v>
      </c>
      <c r="O1056" s="2628" t="s">
        <v>54</v>
      </c>
      <c r="P1056" s="2629"/>
      <c r="Q1056" s="1766">
        <v>1</v>
      </c>
      <c r="R1056" s="379">
        <v>0</v>
      </c>
      <c r="S1056" s="871" t="s">
        <v>55</v>
      </c>
      <c r="T1056" s="1328">
        <v>590</v>
      </c>
      <c r="U1056" s="307"/>
      <c r="V1056" s="2630">
        <f>VLOOKUP(M1056,'[1]TABELA FRETE'!$A$6:$B$12,2,0)</f>
        <v>489.5</v>
      </c>
      <c r="W1056" s="2631"/>
      <c r="X1056" s="2632"/>
      <c r="Y1056" s="2633"/>
    </row>
    <row r="1057" spans="2:25" s="299" customFormat="1" ht="48" customHeight="1" thickBot="1">
      <c r="B1057" s="358">
        <v>0.5</v>
      </c>
      <c r="C1057" s="326"/>
      <c r="D1057" s="359">
        <v>38</v>
      </c>
      <c r="E1057" s="900">
        <v>3927</v>
      </c>
      <c r="F1057" s="359"/>
      <c r="G1057" s="375"/>
      <c r="H1057" s="348"/>
      <c r="I1057" s="349"/>
      <c r="J1057" s="898">
        <f>E1057+G1057+I1057</f>
        <v>3927</v>
      </c>
      <c r="K1057" s="914">
        <f t="shared" si="111"/>
        <v>8.7266666666666666</v>
      </c>
      <c r="L1057" s="364">
        <v>1</v>
      </c>
      <c r="M1057" s="1817" t="s">
        <v>7</v>
      </c>
      <c r="N1057" s="1818">
        <v>10</v>
      </c>
      <c r="O1057" s="2937" t="s">
        <v>727</v>
      </c>
      <c r="P1057" s="2938"/>
      <c r="Q1057" s="1819">
        <v>1</v>
      </c>
      <c r="R1057" s="1814">
        <v>0</v>
      </c>
      <c r="S1057" s="1815" t="s">
        <v>145</v>
      </c>
      <c r="T1057" s="1816">
        <v>353</v>
      </c>
      <c r="U1057" s="307"/>
      <c r="V1057" s="2630">
        <f>VLOOKUP(M1057,'[1]TABELA FRETE'!$A$6:$B$12,2,0)</f>
        <v>466.4</v>
      </c>
      <c r="W1057" s="2631"/>
      <c r="X1057" s="2632"/>
      <c r="Y1057" s="2633"/>
    </row>
    <row r="1058" spans="2:25" s="299" customFormat="1" ht="48" customHeight="1" thickBot="1">
      <c r="B1058" s="358">
        <v>0.5</v>
      </c>
      <c r="C1058" s="326"/>
      <c r="D1058" s="359">
        <v>12</v>
      </c>
      <c r="E1058" s="900">
        <v>3799</v>
      </c>
      <c r="F1058" s="646"/>
      <c r="G1058" s="375"/>
      <c r="H1058" s="348"/>
      <c r="I1058" s="349"/>
      <c r="J1058" s="898">
        <f t="shared" ref="J1058:J1083" si="112">E1058+G1058+I1058</f>
        <v>3799</v>
      </c>
      <c r="K1058" s="914">
        <f t="shared" si="111"/>
        <v>8.4422222222222221</v>
      </c>
      <c r="L1058" s="364">
        <v>1</v>
      </c>
      <c r="M1058" s="1286">
        <v>1016</v>
      </c>
      <c r="N1058" s="1287">
        <v>10</v>
      </c>
      <c r="O1058" s="2628" t="s">
        <v>81</v>
      </c>
      <c r="P1058" s="2629"/>
      <c r="Q1058" s="1291">
        <v>2</v>
      </c>
      <c r="R1058" s="407">
        <v>0</v>
      </c>
      <c r="S1058" s="871" t="s">
        <v>82</v>
      </c>
      <c r="T1058" s="451">
        <v>606</v>
      </c>
      <c r="U1058" s="307"/>
      <c r="V1058" s="2630">
        <f>VLOOKUP(M1058,'[1]TABELA FRETE'!$A$6:$B$12,2,0)</f>
        <v>425.7</v>
      </c>
      <c r="W1058" s="2631"/>
      <c r="X1058" s="2632"/>
      <c r="Y1058" s="2633"/>
    </row>
    <row r="1059" spans="2:25" s="299" customFormat="1" ht="48" customHeight="1" thickBot="1">
      <c r="B1059" s="343">
        <v>0.5</v>
      </c>
      <c r="C1059" s="326"/>
      <c r="D1059" s="359">
        <v>14</v>
      </c>
      <c r="E1059" s="540">
        <v>5503</v>
      </c>
      <c r="F1059" s="359"/>
      <c r="G1059" s="375"/>
      <c r="H1059" s="363"/>
      <c r="I1059" s="364"/>
      <c r="J1059" s="898">
        <f t="shared" si="112"/>
        <v>5503</v>
      </c>
      <c r="K1059" s="914">
        <f t="shared" si="111"/>
        <v>12.228888888888889</v>
      </c>
      <c r="L1059" s="364">
        <v>1</v>
      </c>
      <c r="M1059" s="1298" t="s">
        <v>7</v>
      </c>
      <c r="N1059" s="1005">
        <v>12</v>
      </c>
      <c r="O1059" s="2628" t="s">
        <v>50</v>
      </c>
      <c r="P1059" s="2629"/>
      <c r="Q1059" s="388">
        <v>2</v>
      </c>
      <c r="R1059" s="387">
        <v>0</v>
      </c>
      <c r="S1059" s="1299" t="s">
        <v>51</v>
      </c>
      <c r="T1059" s="1009">
        <v>612</v>
      </c>
      <c r="U1059" s="307"/>
      <c r="V1059" s="2630">
        <f>VLOOKUP(M1059,'[1]TABELA FRETE'!$A$6:$B$12,2,0)</f>
        <v>466.4</v>
      </c>
      <c r="W1059" s="2631"/>
      <c r="X1059" s="2632"/>
      <c r="Y1059" s="2633"/>
    </row>
    <row r="1060" spans="2:25" s="299" customFormat="1" ht="48" customHeight="1" thickBot="1">
      <c r="B1060" s="358">
        <v>0.5</v>
      </c>
      <c r="C1060" s="326"/>
      <c r="D1060" s="359">
        <v>34</v>
      </c>
      <c r="E1060" s="858">
        <v>3127</v>
      </c>
      <c r="F1060" s="359"/>
      <c r="G1060" s="375"/>
      <c r="H1060" s="363"/>
      <c r="I1060" s="364"/>
      <c r="J1060" s="898">
        <f t="shared" si="112"/>
        <v>3127</v>
      </c>
      <c r="K1060" s="914">
        <f t="shared" si="111"/>
        <v>6.9488888888888889</v>
      </c>
      <c r="L1060" s="364">
        <v>1</v>
      </c>
      <c r="M1060" s="1811" t="s">
        <v>7</v>
      </c>
      <c r="N1060" s="1812">
        <v>10</v>
      </c>
      <c r="O1060" s="2937" t="s">
        <v>287</v>
      </c>
      <c r="P1060" s="2938"/>
      <c r="Q1060" s="1813">
        <v>1</v>
      </c>
      <c r="R1060" s="1814">
        <v>0</v>
      </c>
      <c r="S1060" s="1815" t="s">
        <v>726</v>
      </c>
      <c r="T1060" s="1816">
        <v>353</v>
      </c>
      <c r="U1060" s="307"/>
      <c r="V1060" s="2630">
        <f>VLOOKUP(M1060,'[1]TABELA FRETE'!$A$6:$B$12,2,0)</f>
        <v>466.4</v>
      </c>
      <c r="W1060" s="2631"/>
      <c r="X1060" s="2632"/>
      <c r="Y1060" s="2633"/>
    </row>
    <row r="1061" spans="2:25" s="299" customFormat="1" ht="48" customHeight="1" thickBot="1">
      <c r="B1061" s="358">
        <v>0.5</v>
      </c>
      <c r="C1061" s="326"/>
      <c r="D1061" s="1806">
        <v>40</v>
      </c>
      <c r="E1061" s="360">
        <v>5000</v>
      </c>
      <c r="F1061" s="393"/>
      <c r="G1061" s="360"/>
      <c r="H1061" s="445"/>
      <c r="I1061" s="360"/>
      <c r="J1061" s="898">
        <f>E1061+G1061+I1061</f>
        <v>5000</v>
      </c>
      <c r="K1061" s="914">
        <f>J1061/450</f>
        <v>11.111111111111111</v>
      </c>
      <c r="L1061" s="364">
        <v>1</v>
      </c>
      <c r="M1061" s="1298" t="s">
        <v>7</v>
      </c>
      <c r="N1061" s="1005">
        <v>11</v>
      </c>
      <c r="O1061" s="2628" t="s">
        <v>52</v>
      </c>
      <c r="P1061" s="2629"/>
      <c r="Q1061" s="388">
        <v>1</v>
      </c>
      <c r="R1061" s="387">
        <v>0</v>
      </c>
      <c r="S1061" s="1299" t="s">
        <v>53</v>
      </c>
      <c r="T1061" s="1009">
        <v>633</v>
      </c>
      <c r="U1061" s="307"/>
      <c r="V1061" s="2630">
        <f>VLOOKUP(M1061,'[1]TABELA FRETE'!$A$6:$B$12,2,0)</f>
        <v>466.4</v>
      </c>
      <c r="W1061" s="2631"/>
      <c r="X1061" s="2632"/>
      <c r="Y1061" s="2633"/>
    </row>
    <row r="1062" spans="2:25" s="299" customFormat="1" ht="48" customHeight="1" thickBot="1">
      <c r="B1062" s="358">
        <v>0.5</v>
      </c>
      <c r="C1062" s="326"/>
      <c r="D1062" s="1805">
        <v>40</v>
      </c>
      <c r="E1062" s="360">
        <v>3031</v>
      </c>
      <c r="F1062" s="393"/>
      <c r="G1062" s="360"/>
      <c r="H1062" s="445"/>
      <c r="I1062" s="360"/>
      <c r="J1062" s="898">
        <f>E1062+G1062+I1062</f>
        <v>3031</v>
      </c>
      <c r="K1062" s="914">
        <f>J1062/450</f>
        <v>6.735555555555556</v>
      </c>
      <c r="L1062" s="364">
        <v>1</v>
      </c>
      <c r="M1062" s="1298">
        <v>1016</v>
      </c>
      <c r="N1062" s="1005">
        <v>8</v>
      </c>
      <c r="O1062" s="2628" t="s">
        <v>159</v>
      </c>
      <c r="P1062" s="2629"/>
      <c r="Q1062" s="388">
        <v>1</v>
      </c>
      <c r="R1062" s="387">
        <v>0</v>
      </c>
      <c r="S1062" s="1299" t="s">
        <v>160</v>
      </c>
      <c r="T1062" s="1009">
        <v>456</v>
      </c>
      <c r="U1062" s="307"/>
      <c r="V1062" s="2630">
        <f>VLOOKUP(M1062,'[1]TABELA FRETE'!$A$6:$B$12,2,0)</f>
        <v>425.7</v>
      </c>
      <c r="W1062" s="2631"/>
      <c r="X1062" s="2632"/>
      <c r="Y1062" s="2633"/>
    </row>
    <row r="1063" spans="2:25" s="299" customFormat="1" ht="48" customHeight="1" thickBot="1">
      <c r="B1063" s="358">
        <v>0.5</v>
      </c>
      <c r="C1063" s="326"/>
      <c r="D1063" s="359">
        <v>43</v>
      </c>
      <c r="E1063" s="858">
        <v>6085</v>
      </c>
      <c r="F1063" s="359"/>
      <c r="G1063" s="375"/>
      <c r="H1063" s="363"/>
      <c r="I1063" s="364"/>
      <c r="J1063" s="898">
        <f t="shared" si="112"/>
        <v>6085</v>
      </c>
      <c r="K1063" s="914">
        <f t="shared" si="111"/>
        <v>13.522222222222222</v>
      </c>
      <c r="L1063" s="364">
        <v>1</v>
      </c>
      <c r="M1063" s="397" t="s">
        <v>6</v>
      </c>
      <c r="N1063" s="1177">
        <v>14</v>
      </c>
      <c r="O1063" s="2628" t="s">
        <v>143</v>
      </c>
      <c r="P1063" s="2629"/>
      <c r="Q1063" s="450">
        <v>1</v>
      </c>
      <c r="R1063" s="407">
        <v>1</v>
      </c>
      <c r="S1063" s="871" t="s">
        <v>69</v>
      </c>
      <c r="T1063" s="451">
        <v>184422</v>
      </c>
      <c r="U1063" s="307"/>
      <c r="V1063" s="2630">
        <f>VLOOKUP(M1063,'[1]TABELA FRETE'!$A$6:$B$12,2,0)</f>
        <v>489.5</v>
      </c>
      <c r="W1063" s="2631"/>
      <c r="X1063" s="2632"/>
      <c r="Y1063" s="2633"/>
    </row>
    <row r="1064" spans="2:25" s="299" customFormat="1" ht="48" customHeight="1" thickBot="1">
      <c r="B1064" s="358">
        <v>0.5</v>
      </c>
      <c r="C1064" s="326"/>
      <c r="D1064" s="359">
        <v>35</v>
      </c>
      <c r="E1064" s="858">
        <v>3331</v>
      </c>
      <c r="F1064" s="646"/>
      <c r="G1064" s="375"/>
      <c r="H1064" s="363"/>
      <c r="I1064" s="364"/>
      <c r="J1064" s="898">
        <f t="shared" si="112"/>
        <v>3331</v>
      </c>
      <c r="K1064" s="914">
        <f t="shared" si="111"/>
        <v>7.402222222222222</v>
      </c>
      <c r="L1064" s="364">
        <v>1</v>
      </c>
      <c r="M1064" s="1811" t="s">
        <v>7</v>
      </c>
      <c r="N1064" s="1812">
        <v>10</v>
      </c>
      <c r="O1064" s="2937" t="s">
        <v>60</v>
      </c>
      <c r="P1064" s="2938"/>
      <c r="Q1064" s="1813">
        <v>1</v>
      </c>
      <c r="R1064" s="1814">
        <v>0</v>
      </c>
      <c r="S1064" s="1815" t="s">
        <v>729</v>
      </c>
      <c r="T1064" s="1816">
        <v>353</v>
      </c>
      <c r="U1064" s="307"/>
      <c r="V1064" s="2630">
        <f>VLOOKUP(M1064,'[1]TABELA FRETE'!$A$6:$B$12,2,0)</f>
        <v>466.4</v>
      </c>
      <c r="W1064" s="2631"/>
      <c r="X1064" s="2632"/>
      <c r="Y1064" s="2633"/>
    </row>
    <row r="1065" spans="2:25" s="299" customFormat="1" ht="48" customHeight="1" thickBot="1">
      <c r="B1065" s="358">
        <v>0.5</v>
      </c>
      <c r="C1065" s="326"/>
      <c r="D1065" s="359">
        <v>45</v>
      </c>
      <c r="E1065" s="858">
        <v>5500</v>
      </c>
      <c r="F1065" s="359"/>
      <c r="G1065" s="360"/>
      <c r="H1065" s="363"/>
      <c r="I1065" s="364"/>
      <c r="J1065" s="898">
        <f t="shared" si="112"/>
        <v>5500</v>
      </c>
      <c r="K1065" s="914">
        <f t="shared" si="111"/>
        <v>12.222222222222221</v>
      </c>
      <c r="L1065" s="364">
        <v>1</v>
      </c>
      <c r="M1065" s="1298" t="s">
        <v>7</v>
      </c>
      <c r="N1065" s="1178">
        <v>12</v>
      </c>
      <c r="O1065" s="2628" t="s">
        <v>62</v>
      </c>
      <c r="P1065" s="2629"/>
      <c r="Q1065" s="1303">
        <v>2</v>
      </c>
      <c r="R1065" s="370">
        <v>0</v>
      </c>
      <c r="S1065" s="1304" t="s">
        <v>63</v>
      </c>
      <c r="T1065" s="1009">
        <v>740</v>
      </c>
      <c r="U1065" s="307"/>
      <c r="V1065" s="2630">
        <f>VLOOKUP(M1065,'[1]TABELA FRETE'!$A$6:$B$12,2,0)</f>
        <v>466.4</v>
      </c>
      <c r="W1065" s="2631"/>
      <c r="X1065" s="2632"/>
      <c r="Y1065" s="2633"/>
    </row>
    <row r="1066" spans="2:25" s="299" customFormat="1" ht="48" customHeight="1" thickBot="1">
      <c r="B1066" s="408">
        <v>0.5</v>
      </c>
      <c r="C1066" s="326"/>
      <c r="D1066" s="409">
        <v>47</v>
      </c>
      <c r="E1066" s="410">
        <v>1573</v>
      </c>
      <c r="F1066" s="1810">
        <v>45</v>
      </c>
      <c r="G1066" s="410">
        <v>2079</v>
      </c>
      <c r="H1066" s="412"/>
      <c r="I1066" s="410"/>
      <c r="J1066" s="926">
        <f t="shared" ref="J1066" si="113">E1066+G1066+I1066</f>
        <v>3652</v>
      </c>
      <c r="K1066" s="927">
        <f t="shared" ref="K1066" si="114">J1066/450</f>
        <v>8.1155555555555559</v>
      </c>
      <c r="L1066" s="705">
        <v>1</v>
      </c>
      <c r="M1066" s="668">
        <v>1016</v>
      </c>
      <c r="N1066" s="1028">
        <v>8</v>
      </c>
      <c r="O1066" s="2929" t="s">
        <v>88</v>
      </c>
      <c r="P1066" s="2939"/>
      <c r="Q1066" s="1767">
        <v>1</v>
      </c>
      <c r="R1066" s="1768">
        <v>0</v>
      </c>
      <c r="S1066" s="843" t="s">
        <v>89</v>
      </c>
      <c r="T1066" s="1769">
        <v>799</v>
      </c>
      <c r="U1066" s="307"/>
      <c r="V1066" s="2630">
        <f>VLOOKUP(M1066,'[1]TABELA FRETE'!$A$6:$B$12,2,0)</f>
        <v>425.7</v>
      </c>
      <c r="W1066" s="2631"/>
      <c r="X1066" s="2632"/>
      <c r="Y1066" s="2633"/>
    </row>
    <row r="1067" spans="2:25" s="301" customFormat="1" ht="6" customHeight="1" thickBot="1">
      <c r="B1067" s="326"/>
      <c r="C1067" s="326"/>
      <c r="D1067" s="421"/>
      <c r="E1067" s="422"/>
      <c r="F1067" s="421"/>
      <c r="G1067" s="423"/>
      <c r="H1067" s="424"/>
      <c r="I1067" s="423"/>
      <c r="J1067" s="423"/>
      <c r="K1067" s="425"/>
      <c r="L1067" s="423"/>
      <c r="M1067" s="885"/>
      <c r="N1067" s="886"/>
      <c r="O1067" s="428"/>
      <c r="P1067" s="428"/>
      <c r="Q1067" s="429"/>
      <c r="R1067" s="429"/>
      <c r="S1067" s="430"/>
      <c r="T1067" s="428"/>
      <c r="U1067" s="432"/>
      <c r="V1067" s="679"/>
      <c r="W1067" s="679"/>
      <c r="X1067" s="434"/>
      <c r="Y1067" s="434"/>
    </row>
    <row r="1068" spans="2:25" s="299" customFormat="1" ht="48" customHeight="1" thickBot="1">
      <c r="B1068" s="325">
        <v>0.58333333333333304</v>
      </c>
      <c r="C1068" s="326"/>
      <c r="D1068" s="435">
        <v>5</v>
      </c>
      <c r="E1068" s="849">
        <v>2776</v>
      </c>
      <c r="F1068" s="435"/>
      <c r="G1068" s="330"/>
      <c r="H1068" s="438"/>
      <c r="I1068" s="330"/>
      <c r="J1068" s="888">
        <f t="shared" si="112"/>
        <v>2776</v>
      </c>
      <c r="K1068" s="889">
        <f t="shared" si="111"/>
        <v>6.1688888888888886</v>
      </c>
      <c r="L1068" s="330">
        <v>1</v>
      </c>
      <c r="M1068" s="1308">
        <v>1016</v>
      </c>
      <c r="N1068" s="1309">
        <v>8</v>
      </c>
      <c r="O1068" s="2940" t="s">
        <v>85</v>
      </c>
      <c r="P1068" s="2941"/>
      <c r="Q1068" s="497">
        <v>2</v>
      </c>
      <c r="R1068" s="498">
        <v>0</v>
      </c>
      <c r="S1068" s="997" t="s">
        <v>86</v>
      </c>
      <c r="T1068" s="1310">
        <v>714</v>
      </c>
      <c r="U1068" s="307"/>
      <c r="V1068" s="2630">
        <f>VLOOKUP(M1068,'[1]TABELA FRETE'!$A$6:$B$12,2,0)</f>
        <v>425.7</v>
      </c>
      <c r="W1068" s="2631"/>
      <c r="X1068" s="2632"/>
      <c r="Y1068" s="2633"/>
    </row>
    <row r="1069" spans="2:25" s="299" customFormat="1" ht="48" customHeight="1" thickBot="1">
      <c r="B1069" s="463">
        <v>0.58333333333333304</v>
      </c>
      <c r="C1069" s="326"/>
      <c r="D1069" s="1311">
        <v>20</v>
      </c>
      <c r="E1069" s="1312">
        <v>5474</v>
      </c>
      <c r="F1069" s="1311"/>
      <c r="G1069" s="950"/>
      <c r="H1069" s="951"/>
      <c r="I1069" s="950"/>
      <c r="J1069" s="959">
        <f t="shared" ref="J1069" si="115">E1069+G1069+I1069</f>
        <v>5474</v>
      </c>
      <c r="K1069" s="960">
        <f t="shared" ref="K1069" si="116">J1069/450</f>
        <v>12.164444444444445</v>
      </c>
      <c r="L1069" s="727">
        <v>1</v>
      </c>
      <c r="M1069" s="1313" t="s">
        <v>7</v>
      </c>
      <c r="N1069" s="1182">
        <v>12</v>
      </c>
      <c r="O1069" s="2628" t="s">
        <v>153</v>
      </c>
      <c r="P1069" s="2629"/>
      <c r="Q1069" s="1314">
        <v>1</v>
      </c>
      <c r="R1069" s="730">
        <v>0</v>
      </c>
      <c r="S1069" s="1315" t="s">
        <v>154</v>
      </c>
      <c r="T1069" s="1316">
        <v>664</v>
      </c>
      <c r="U1069" s="307"/>
      <c r="V1069" s="339"/>
      <c r="W1069" s="340"/>
      <c r="X1069" s="865"/>
      <c r="Y1069" s="866"/>
    </row>
    <row r="1070" spans="2:25" s="299" customFormat="1" ht="48" customHeight="1" thickBot="1">
      <c r="B1070" s="358">
        <v>0.58333333333333304</v>
      </c>
      <c r="C1070" s="326"/>
      <c r="D1070" s="1317">
        <v>25</v>
      </c>
      <c r="E1070" s="908">
        <v>2503</v>
      </c>
      <c r="F1070" s="458">
        <v>22</v>
      </c>
      <c r="G1070" s="392">
        <v>3094</v>
      </c>
      <c r="H1070" s="465"/>
      <c r="I1070" s="392"/>
      <c r="J1070" s="959">
        <f t="shared" si="112"/>
        <v>5597</v>
      </c>
      <c r="K1070" s="960">
        <f t="shared" si="111"/>
        <v>12.437777777777777</v>
      </c>
      <c r="L1070" s="727">
        <v>1</v>
      </c>
      <c r="M1070" s="1313" t="s">
        <v>7</v>
      </c>
      <c r="N1070" s="1182">
        <v>12</v>
      </c>
      <c r="O1070" s="2628" t="s">
        <v>94</v>
      </c>
      <c r="P1070" s="2629"/>
      <c r="Q1070" s="1318">
        <v>1</v>
      </c>
      <c r="R1070" s="1319">
        <v>1</v>
      </c>
      <c r="S1070" s="1320" t="s">
        <v>95</v>
      </c>
      <c r="T1070" s="1321">
        <v>184422</v>
      </c>
      <c r="U1070" s="307"/>
      <c r="V1070" s="2630">
        <f>VLOOKUP(M1070,'[1]TABELA FRETE'!$A$6:$B$12,2,0)</f>
        <v>466.4</v>
      </c>
      <c r="W1070" s="2631"/>
      <c r="X1070" s="2632"/>
      <c r="Y1070" s="2633"/>
    </row>
    <row r="1071" spans="2:25" s="299" customFormat="1" ht="48" customHeight="1" thickBot="1">
      <c r="B1071" s="358">
        <v>0.58333333333333304</v>
      </c>
      <c r="C1071" s="326"/>
      <c r="D1071" s="695">
        <v>6</v>
      </c>
      <c r="E1071" s="999">
        <v>3077</v>
      </c>
      <c r="F1071" s="444">
        <v>31</v>
      </c>
      <c r="G1071" s="375">
        <v>2182</v>
      </c>
      <c r="H1071" s="445"/>
      <c r="I1071" s="360"/>
      <c r="J1071" s="898">
        <f t="shared" si="112"/>
        <v>5259</v>
      </c>
      <c r="K1071" s="914">
        <f t="shared" si="111"/>
        <v>11.686666666666667</v>
      </c>
      <c r="L1071" s="364">
        <v>1</v>
      </c>
      <c r="M1071" s="1298" t="s">
        <v>7</v>
      </c>
      <c r="N1071" s="1178">
        <v>12</v>
      </c>
      <c r="O1071" s="2935" t="s">
        <v>58</v>
      </c>
      <c r="P1071" s="2936"/>
      <c r="Q1071" s="1322">
        <v>2</v>
      </c>
      <c r="R1071" s="1324">
        <v>0</v>
      </c>
      <c r="S1071" s="1008" t="s">
        <v>59</v>
      </c>
      <c r="T1071" s="1323">
        <v>674</v>
      </c>
      <c r="U1071" s="307"/>
      <c r="V1071" s="2630">
        <f>VLOOKUP(M1071,'[1]TABELA FRETE'!$A$6:$B$12,2,0)</f>
        <v>466.4</v>
      </c>
      <c r="W1071" s="2631"/>
      <c r="X1071" s="2694"/>
      <c r="Y1071" s="2695"/>
    </row>
    <row r="1072" spans="2:25" s="299" customFormat="1" ht="48" customHeight="1" thickBot="1">
      <c r="B1072" s="343">
        <v>0.58333333333333304</v>
      </c>
      <c r="C1072" s="326"/>
      <c r="D1072" s="453">
        <v>17</v>
      </c>
      <c r="E1072" s="345">
        <v>6158</v>
      </c>
      <c r="F1072" s="454"/>
      <c r="G1072" s="345"/>
      <c r="H1072" s="348"/>
      <c r="I1072" s="455"/>
      <c r="J1072" s="965">
        <f t="shared" si="112"/>
        <v>6158</v>
      </c>
      <c r="K1072" s="899">
        <f t="shared" si="111"/>
        <v>13.684444444444445</v>
      </c>
      <c r="L1072" s="349">
        <v>1</v>
      </c>
      <c r="M1072" s="1325" t="s">
        <v>6</v>
      </c>
      <c r="N1072" s="1135">
        <v>14</v>
      </c>
      <c r="O1072" s="2628" t="s">
        <v>64</v>
      </c>
      <c r="P1072" s="2629"/>
      <c r="Q1072" s="357">
        <v>1</v>
      </c>
      <c r="R1072" s="1136">
        <v>0</v>
      </c>
      <c r="S1072" s="809" t="s">
        <v>65</v>
      </c>
      <c r="T1072" s="657">
        <v>598</v>
      </c>
      <c r="U1072" s="307"/>
      <c r="V1072" s="2630">
        <f>VLOOKUP(M1072,'[1]TABELA FRETE'!$A$6:$B$12,2,0)</f>
        <v>489.5</v>
      </c>
      <c r="W1072" s="2631"/>
      <c r="X1072" s="2632"/>
      <c r="Y1072" s="2633"/>
    </row>
    <row r="1073" spans="2:25" s="299" customFormat="1" ht="48" customHeight="1" thickBot="1">
      <c r="B1073" s="343">
        <v>0.58333333333333304</v>
      </c>
      <c r="C1073" s="326"/>
      <c r="D1073" s="458">
        <v>23</v>
      </c>
      <c r="E1073" s="392">
        <v>6301</v>
      </c>
      <c r="F1073" s="464"/>
      <c r="G1073" s="392"/>
      <c r="H1073" s="394"/>
      <c r="I1073" s="395"/>
      <c r="J1073" s="959">
        <f t="shared" si="112"/>
        <v>6301</v>
      </c>
      <c r="K1073" s="960">
        <f t="shared" si="111"/>
        <v>14.002222222222223</v>
      </c>
      <c r="L1073" s="727">
        <v>1</v>
      </c>
      <c r="M1073" s="397" t="s">
        <v>6</v>
      </c>
      <c r="N1073" s="870">
        <v>14</v>
      </c>
      <c r="O1073" s="2628" t="s">
        <v>220</v>
      </c>
      <c r="P1073" s="2629"/>
      <c r="Q1073" s="388">
        <v>1</v>
      </c>
      <c r="R1073" s="446">
        <v>0</v>
      </c>
      <c r="S1073" s="1086" t="s">
        <v>221</v>
      </c>
      <c r="T1073" s="451">
        <v>184422</v>
      </c>
      <c r="U1073" s="307"/>
      <c r="V1073" s="2630">
        <f>VLOOKUP(M1073,'[1]TABELA FRETE'!$A$6:$B$12,2,0)</f>
        <v>489.5</v>
      </c>
      <c r="W1073" s="2631"/>
      <c r="X1073" s="2632"/>
      <c r="Y1073" s="2633"/>
    </row>
    <row r="1074" spans="2:25" s="299" customFormat="1" ht="48" customHeight="1" thickBot="1">
      <c r="B1074" s="343">
        <v>0.58333333333333304</v>
      </c>
      <c r="C1074" s="326"/>
      <c r="D1074" s="444">
        <v>44</v>
      </c>
      <c r="E1074" s="360">
        <v>1874</v>
      </c>
      <c r="F1074" s="401"/>
      <c r="G1074" s="364"/>
      <c r="H1074" s="702"/>
      <c r="I1074" s="364"/>
      <c r="J1074" s="959">
        <f t="shared" si="112"/>
        <v>1874</v>
      </c>
      <c r="K1074" s="960">
        <f t="shared" si="111"/>
        <v>4.1644444444444444</v>
      </c>
      <c r="L1074" s="727">
        <v>1</v>
      </c>
      <c r="M1074" s="1298">
        <v>1016</v>
      </c>
      <c r="N1074" s="1005">
        <v>6</v>
      </c>
      <c r="O1074" s="2628" t="s">
        <v>70</v>
      </c>
      <c r="P1074" s="2629"/>
      <c r="Q1074" s="388">
        <v>1</v>
      </c>
      <c r="R1074" s="387">
        <v>0</v>
      </c>
      <c r="S1074" s="1299" t="s">
        <v>71</v>
      </c>
      <c r="T1074" s="1009">
        <v>333</v>
      </c>
      <c r="U1074" s="432"/>
      <c r="V1074" s="2630">
        <f>VLOOKUP(M1074,'[1]TABELA FRETE'!$A$6:$B$12,2,0)</f>
        <v>425.7</v>
      </c>
      <c r="W1074" s="2631"/>
      <c r="X1074" s="2632"/>
      <c r="Y1074" s="2633"/>
    </row>
    <row r="1075" spans="2:25" s="299" customFormat="1" ht="63" customHeight="1" thickBot="1">
      <c r="B1075" s="358">
        <v>0.58333333333333304</v>
      </c>
      <c r="C1075" s="326"/>
      <c r="D1075" s="462" t="s">
        <v>78</v>
      </c>
      <c r="E1075" s="360">
        <v>3757</v>
      </c>
      <c r="F1075" s="393"/>
      <c r="G1075" s="360"/>
      <c r="H1075" s="363"/>
      <c r="I1075" s="375"/>
      <c r="J1075" s="898">
        <f t="shared" si="112"/>
        <v>3757</v>
      </c>
      <c r="K1075" s="914">
        <f t="shared" si="111"/>
        <v>8.3488888888888884</v>
      </c>
      <c r="L1075" s="364">
        <v>1</v>
      </c>
      <c r="M1075" s="1298">
        <v>1016</v>
      </c>
      <c r="N1075" s="1005">
        <v>8</v>
      </c>
      <c r="O1075" s="2628" t="s">
        <v>90</v>
      </c>
      <c r="P1075" s="2629"/>
      <c r="Q1075" s="370">
        <v>2</v>
      </c>
      <c r="R1075" s="369">
        <v>0</v>
      </c>
      <c r="S1075" s="1327" t="s">
        <v>91</v>
      </c>
      <c r="T1075" s="1009">
        <v>674</v>
      </c>
      <c r="U1075" s="307"/>
      <c r="V1075" s="2630">
        <f>VLOOKUP(M1075,'[1]TABELA FRETE'!$A$6:$B$12,2,0)</f>
        <v>425.7</v>
      </c>
      <c r="W1075" s="2631"/>
      <c r="X1075" s="2632"/>
      <c r="Y1075" s="2633"/>
    </row>
    <row r="1076" spans="2:25" s="299" customFormat="1" ht="48" customHeight="1" thickBot="1">
      <c r="B1076" s="358">
        <v>0.58333333333333304</v>
      </c>
      <c r="C1076" s="326"/>
      <c r="D1076" s="472">
        <v>10</v>
      </c>
      <c r="E1076" s="360">
        <v>3849</v>
      </c>
      <c r="F1076" s="393"/>
      <c r="G1076" s="360"/>
      <c r="H1076" s="363"/>
      <c r="I1076" s="375"/>
      <c r="J1076" s="898">
        <v>3849</v>
      </c>
      <c r="K1076" s="914">
        <f t="shared" si="111"/>
        <v>8.5533333333333328</v>
      </c>
      <c r="L1076" s="364">
        <v>1</v>
      </c>
      <c r="M1076" s="397">
        <v>1016</v>
      </c>
      <c r="N1076" s="870">
        <v>9</v>
      </c>
      <c r="O1076" s="2628" t="s">
        <v>79</v>
      </c>
      <c r="P1076" s="2629"/>
      <c r="Q1076" s="388">
        <v>1</v>
      </c>
      <c r="R1076" s="446">
        <v>0</v>
      </c>
      <c r="S1076" s="1086" t="s">
        <v>80</v>
      </c>
      <c r="T1076" s="451">
        <v>184725</v>
      </c>
      <c r="U1076" s="307"/>
      <c r="V1076" s="2630">
        <f>VLOOKUP(M1076,'[1]TABELA FRETE'!$A$6:$B$12,2,0)</f>
        <v>425.7</v>
      </c>
      <c r="W1076" s="2631"/>
      <c r="X1076" s="2632"/>
      <c r="Y1076" s="2633"/>
    </row>
    <row r="1077" spans="2:25" s="299" customFormat="1" ht="48" customHeight="1" thickBot="1">
      <c r="B1077" s="463">
        <v>0.58333333333333304</v>
      </c>
      <c r="C1077" s="326"/>
      <c r="D1077" s="458">
        <v>32</v>
      </c>
      <c r="E1077" s="392">
        <v>3035</v>
      </c>
      <c r="F1077" s="393"/>
      <c r="G1077" s="392"/>
      <c r="H1077" s="465"/>
      <c r="I1077" s="392"/>
      <c r="J1077" s="898">
        <f t="shared" si="112"/>
        <v>3035</v>
      </c>
      <c r="K1077" s="914">
        <f t="shared" si="111"/>
        <v>6.7444444444444445</v>
      </c>
      <c r="L1077" s="727">
        <v>1</v>
      </c>
      <c r="M1077" s="1298">
        <v>1016</v>
      </c>
      <c r="N1077" s="1005">
        <v>8</v>
      </c>
      <c r="O1077" s="2628" t="s">
        <v>92</v>
      </c>
      <c r="P1077" s="2629"/>
      <c r="Q1077" s="370">
        <v>2</v>
      </c>
      <c r="R1077" s="369">
        <v>0</v>
      </c>
      <c r="S1077" s="1327" t="s">
        <v>93</v>
      </c>
      <c r="T1077" s="1009">
        <v>576</v>
      </c>
      <c r="U1077" s="307"/>
      <c r="V1077" s="2630">
        <f>VLOOKUP(M1077,'[1]TABELA FRETE'!$A$6:$B$12,2,0)</f>
        <v>425.7</v>
      </c>
      <c r="W1077" s="2631"/>
      <c r="X1077" s="2632"/>
      <c r="Y1077" s="2633"/>
    </row>
    <row r="1078" spans="2:25" s="299" customFormat="1" ht="48" customHeight="1" thickBot="1">
      <c r="B1078" s="463">
        <v>0.58333333333333304</v>
      </c>
      <c r="C1078" s="326"/>
      <c r="D1078" s="458">
        <v>42</v>
      </c>
      <c r="E1078" s="392">
        <v>3136</v>
      </c>
      <c r="F1078" s="464">
        <v>36</v>
      </c>
      <c r="G1078" s="392">
        <v>2055</v>
      </c>
      <c r="H1078" s="465"/>
      <c r="I1078" s="392"/>
      <c r="J1078" s="898">
        <f t="shared" si="112"/>
        <v>5191</v>
      </c>
      <c r="K1078" s="914">
        <f t="shared" si="111"/>
        <v>11.535555555555556</v>
      </c>
      <c r="L1078" s="727">
        <v>1</v>
      </c>
      <c r="M1078" s="1298" t="s">
        <v>7</v>
      </c>
      <c r="N1078" s="1005">
        <v>12</v>
      </c>
      <c r="O1078" s="2628" t="s">
        <v>224</v>
      </c>
      <c r="P1078" s="2629"/>
      <c r="Q1078" s="370">
        <v>1</v>
      </c>
      <c r="R1078" s="369">
        <v>0</v>
      </c>
      <c r="S1078" s="1327" t="s">
        <v>225</v>
      </c>
      <c r="T1078" s="1009">
        <v>782</v>
      </c>
      <c r="U1078" s="307"/>
      <c r="V1078" s="2630">
        <f>VLOOKUP(M1078,'[1]TABELA FRETE'!$A$6:$B$12,2,0)</f>
        <v>466.4</v>
      </c>
      <c r="W1078" s="2631"/>
      <c r="X1078" s="2632"/>
      <c r="Y1078" s="2633"/>
    </row>
    <row r="1079" spans="2:25" s="299" customFormat="1" ht="48" customHeight="1" thickBot="1">
      <c r="B1079" s="463">
        <v>0.58333333333333304</v>
      </c>
      <c r="C1079" s="326"/>
      <c r="D1079" s="1809">
        <v>19</v>
      </c>
      <c r="E1079" s="360">
        <v>4409</v>
      </c>
      <c r="F1079" s="393"/>
      <c r="G1079" s="360"/>
      <c r="H1079" s="445"/>
      <c r="I1079" s="360"/>
      <c r="J1079" s="898">
        <f t="shared" ref="J1079" si="117">E1079+G1079+I1079</f>
        <v>4409</v>
      </c>
      <c r="K1079" s="914">
        <f t="shared" ref="K1079" si="118">J1079/450</f>
        <v>9.7977777777777781</v>
      </c>
      <c r="L1079" s="364">
        <v>1</v>
      </c>
      <c r="M1079" s="397" t="s">
        <v>7</v>
      </c>
      <c r="N1079" s="1177">
        <v>12</v>
      </c>
      <c r="O1079" s="2628" t="s">
        <v>66</v>
      </c>
      <c r="P1079" s="2629"/>
      <c r="Q1079" s="1766">
        <v>2</v>
      </c>
      <c r="R1079" s="379">
        <v>0</v>
      </c>
      <c r="S1079" s="871" t="s">
        <v>67</v>
      </c>
      <c r="T1079" s="1328">
        <v>184461</v>
      </c>
      <c r="U1079" s="307"/>
      <c r="V1079" s="2630">
        <f>VLOOKUP(M1079,'[1]TABELA FRETE'!$A$6:$B$12,2,0)</f>
        <v>466.4</v>
      </c>
      <c r="W1079" s="2631"/>
      <c r="X1079" s="2632"/>
      <c r="Y1079" s="2633"/>
    </row>
    <row r="1080" spans="2:25" s="299" customFormat="1" ht="48" customHeight="1" thickBot="1">
      <c r="B1080" s="755">
        <v>0.58333333333333304</v>
      </c>
      <c r="C1080" s="326"/>
      <c r="D1080" s="459">
        <v>26</v>
      </c>
      <c r="E1080" s="460">
        <v>3745</v>
      </c>
      <c r="F1080" s="1173"/>
      <c r="G1080" s="460"/>
      <c r="H1080" s="969"/>
      <c r="I1080" s="460"/>
      <c r="J1080" s="965">
        <f t="shared" si="112"/>
        <v>3745</v>
      </c>
      <c r="K1080" s="899">
        <f t="shared" si="111"/>
        <v>8.3222222222222229</v>
      </c>
      <c r="L1080" s="950">
        <v>1</v>
      </c>
      <c r="M1080" s="1770" t="s">
        <v>7</v>
      </c>
      <c r="N1080" s="1771">
        <v>11</v>
      </c>
      <c r="O1080" s="2628" t="s">
        <v>42</v>
      </c>
      <c r="P1080" s="2629"/>
      <c r="Q1080" s="1807">
        <v>3</v>
      </c>
      <c r="R1080" s="1808">
        <v>0</v>
      </c>
      <c r="S1080" s="1821" t="s">
        <v>43</v>
      </c>
      <c r="T1080" s="1302">
        <v>479</v>
      </c>
      <c r="U1080" s="307"/>
      <c r="V1080" s="2630">
        <f>VLOOKUP(M1080,'[1]TABELA FRETE'!$A$6:$B$12,2,0)</f>
        <v>466.4</v>
      </c>
      <c r="W1080" s="2631"/>
      <c r="X1080" s="2632"/>
      <c r="Y1080" s="2633"/>
    </row>
    <row r="1081" spans="2:25" s="299" customFormat="1" ht="63" customHeight="1" thickBot="1">
      <c r="B1081" s="463">
        <v>0.58333333333333304</v>
      </c>
      <c r="C1081" s="326"/>
      <c r="D1081" s="470" t="s">
        <v>198</v>
      </c>
      <c r="E1081" s="392">
        <v>2111</v>
      </c>
      <c r="F1081" s="472">
        <v>1129</v>
      </c>
      <c r="G1081" s="375">
        <v>3389</v>
      </c>
      <c r="H1081" s="465"/>
      <c r="I1081" s="392"/>
      <c r="J1081" s="898">
        <f t="shared" si="112"/>
        <v>5500</v>
      </c>
      <c r="K1081" s="914">
        <f t="shared" si="111"/>
        <v>12.222222222222221</v>
      </c>
      <c r="L1081" s="727">
        <v>1</v>
      </c>
      <c r="M1081" s="397" t="s">
        <v>7</v>
      </c>
      <c r="N1081" s="869">
        <v>12</v>
      </c>
      <c r="O1081" s="2628" t="s">
        <v>76</v>
      </c>
      <c r="P1081" s="2629"/>
      <c r="Q1081" s="399">
        <v>1</v>
      </c>
      <c r="R1081" s="398">
        <v>1</v>
      </c>
      <c r="S1081" s="1822" t="s">
        <v>77</v>
      </c>
      <c r="T1081" s="519">
        <v>184708</v>
      </c>
      <c r="U1081" s="307"/>
      <c r="V1081" s="2630">
        <f>VLOOKUP(M1081,'[1]TABELA FRETE'!$D$25:$E$29,2,0)</f>
        <v>286</v>
      </c>
      <c r="W1081" s="2631"/>
      <c r="X1081" s="2632"/>
      <c r="Y1081" s="2633"/>
    </row>
    <row r="1082" spans="2:25" s="299" customFormat="1" ht="63.75" thickBot="1">
      <c r="B1082" s="463">
        <v>0.58333333333333304</v>
      </c>
      <c r="C1082" s="326"/>
      <c r="D1082" s="1804" t="s">
        <v>198</v>
      </c>
      <c r="E1082" s="375">
        <v>1062</v>
      </c>
      <c r="F1082" s="458">
        <v>3</v>
      </c>
      <c r="G1082" s="392">
        <v>2322</v>
      </c>
      <c r="H1082" s="445"/>
      <c r="I1082" s="360"/>
      <c r="J1082" s="898">
        <f t="shared" si="112"/>
        <v>3384</v>
      </c>
      <c r="K1082" s="914">
        <f t="shared" si="111"/>
        <v>7.52</v>
      </c>
      <c r="L1082" s="364">
        <v>1</v>
      </c>
      <c r="M1082" s="1346">
        <v>1016</v>
      </c>
      <c r="N1082" s="377">
        <v>7</v>
      </c>
      <c r="O1082" s="2628" t="s">
        <v>56</v>
      </c>
      <c r="P1082" s="2629"/>
      <c r="Q1082" s="450">
        <v>1</v>
      </c>
      <c r="R1082" s="450">
        <v>0</v>
      </c>
      <c r="S1082" s="1335" t="s">
        <v>57</v>
      </c>
      <c r="T1082" s="407">
        <v>663</v>
      </c>
      <c r="U1082" s="307"/>
      <c r="V1082" s="2630">
        <f>VLOOKUP(M1082,'[1]TABELA FRETE'!$A$6:$B$12,2,0)</f>
        <v>425.7</v>
      </c>
      <c r="W1082" s="2631"/>
      <c r="X1082" s="2694"/>
      <c r="Y1082" s="2695"/>
    </row>
    <row r="1083" spans="2:25" s="299" customFormat="1" ht="48" customHeight="1" thickBot="1">
      <c r="B1083" s="463">
        <v>0.58333333333333304</v>
      </c>
      <c r="C1083" s="326"/>
      <c r="D1083" s="695">
        <v>6</v>
      </c>
      <c r="E1083" s="999">
        <v>3077</v>
      </c>
      <c r="F1083" s="516"/>
      <c r="G1083" s="375"/>
      <c r="H1083" s="1001"/>
      <c r="I1083" s="1002"/>
      <c r="J1083" s="541">
        <f t="shared" si="112"/>
        <v>3077</v>
      </c>
      <c r="K1083" s="1003">
        <f t="shared" si="111"/>
        <v>6.8377777777777782</v>
      </c>
      <c r="L1083" s="375">
        <v>1</v>
      </c>
      <c r="M1083" s="1346">
        <v>1016</v>
      </c>
      <c r="N1083" s="377">
        <v>8</v>
      </c>
      <c r="O1083" s="2628" t="s">
        <v>150</v>
      </c>
      <c r="P1083" s="2629"/>
      <c r="Q1083" s="450">
        <v>1</v>
      </c>
      <c r="R1083" s="450">
        <v>0</v>
      </c>
      <c r="S1083" s="1335" t="s">
        <v>151</v>
      </c>
      <c r="T1083" s="407">
        <v>642</v>
      </c>
      <c r="U1083" s="307"/>
      <c r="V1083" s="2630">
        <f>VLOOKUP(M1083,'[1]TABELA FRETE'!$A$6:$B$12,2,0)</f>
        <v>425.7</v>
      </c>
      <c r="W1083" s="2631"/>
      <c r="X1083" s="2632"/>
      <c r="Y1083" s="2633"/>
    </row>
    <row r="1084" spans="2:25" s="299" customFormat="1" ht="61.5" customHeight="1" thickBot="1">
      <c r="B1084" s="408">
        <v>0.58333333333333304</v>
      </c>
      <c r="C1084" s="326"/>
      <c r="D1084" s="1336">
        <v>46</v>
      </c>
      <c r="E1084" s="1337">
        <v>3374</v>
      </c>
      <c r="F1084" s="982"/>
      <c r="G1084" s="1337"/>
      <c r="H1084" s="1133"/>
      <c r="I1084" s="984"/>
      <c r="J1084" s="985">
        <f t="shared" ref="J1084:J1095" si="119">E1084+G1084+I1084</f>
        <v>3374</v>
      </c>
      <c r="K1084" s="986">
        <f t="shared" ref="K1084:K1094" si="120">J1084/450</f>
        <v>7.4977777777777774</v>
      </c>
      <c r="L1084" s="602">
        <v>1</v>
      </c>
      <c r="M1084" s="1338">
        <v>1016</v>
      </c>
      <c r="N1084" s="1339">
        <v>10</v>
      </c>
      <c r="O1084" s="2931" t="s">
        <v>72</v>
      </c>
      <c r="P1084" s="2932"/>
      <c r="Q1084" s="1340">
        <v>2</v>
      </c>
      <c r="R1084" s="1340">
        <v>0</v>
      </c>
      <c r="S1084" s="1341" t="s">
        <v>73</v>
      </c>
      <c r="T1084" s="420">
        <v>184090</v>
      </c>
      <c r="U1084" s="307"/>
      <c r="V1084" s="2630">
        <f>VLOOKUP(M1084,'[1]TABELA FRETE'!$A$6:$B$12,2,0)</f>
        <v>425.7</v>
      </c>
      <c r="W1084" s="2631"/>
      <c r="X1084" s="2694"/>
      <c r="Y1084" s="2695"/>
    </row>
    <row r="1085" spans="2:25" s="301" customFormat="1" ht="6" customHeight="1" thickBot="1">
      <c r="B1085" s="326"/>
      <c r="C1085" s="326"/>
      <c r="D1085" s="487"/>
      <c r="E1085" s="423"/>
      <c r="F1085" s="488"/>
      <c r="G1085" s="423"/>
      <c r="H1085" s="424"/>
      <c r="I1085" s="423"/>
      <c r="J1085" s="423"/>
      <c r="K1085" s="425"/>
      <c r="L1085" s="423"/>
      <c r="M1085" s="426"/>
      <c r="N1085" s="427"/>
      <c r="O1085" s="431"/>
      <c r="P1085" s="431"/>
      <c r="Q1085" s="429"/>
      <c r="R1085" s="431"/>
      <c r="S1085" s="489"/>
      <c r="T1085" s="431"/>
      <c r="U1085" s="432"/>
      <c r="V1085" s="679"/>
      <c r="W1085" s="679"/>
      <c r="X1085" s="434"/>
      <c r="Y1085" s="434"/>
    </row>
    <row r="1086" spans="2:25" s="299" customFormat="1" ht="48" customHeight="1" thickBot="1">
      <c r="B1086" s="325">
        <v>0.70833333333333304</v>
      </c>
      <c r="C1086" s="326"/>
      <c r="D1086" s="990">
        <v>33</v>
      </c>
      <c r="E1086" s="991">
        <v>3416</v>
      </c>
      <c r="F1086" s="490"/>
      <c r="G1086" s="328"/>
      <c r="H1086" s="992"/>
      <c r="I1086" s="624"/>
      <c r="J1086" s="624">
        <f t="shared" si="119"/>
        <v>3416</v>
      </c>
      <c r="K1086" s="993">
        <f t="shared" si="120"/>
        <v>7.5911111111111111</v>
      </c>
      <c r="L1086" s="715">
        <v>1</v>
      </c>
      <c r="M1086" s="1342">
        <v>1016</v>
      </c>
      <c r="N1086" s="440">
        <v>8</v>
      </c>
      <c r="O1086" s="2933" t="s">
        <v>85</v>
      </c>
      <c r="P1086" s="2934"/>
      <c r="Q1086" s="497">
        <v>2</v>
      </c>
      <c r="R1086" s="497">
        <v>0</v>
      </c>
      <c r="S1086" s="1343" t="s">
        <v>86</v>
      </c>
      <c r="T1086" s="500">
        <v>714</v>
      </c>
      <c r="U1086" s="307"/>
      <c r="V1086" s="2630">
        <f>VLOOKUP(M1086,'[1]TABELA FRETE'!$A$6:$B$12,2,0)</f>
        <v>425.7</v>
      </c>
      <c r="W1086" s="2631"/>
      <c r="X1086" s="2632"/>
      <c r="Y1086" s="2633"/>
    </row>
    <row r="1087" spans="2:25" s="299" customFormat="1" ht="48" customHeight="1" thickBot="1">
      <c r="B1087" s="463">
        <v>0.70833333333333304</v>
      </c>
      <c r="C1087" s="326"/>
      <c r="D1087" s="998">
        <v>21</v>
      </c>
      <c r="E1087" s="999">
        <v>3500</v>
      </c>
      <c r="F1087" s="1000"/>
      <c r="G1087" s="360"/>
      <c r="H1087" s="1001"/>
      <c r="I1087" s="1002"/>
      <c r="J1087" s="541">
        <f t="shared" si="119"/>
        <v>3500</v>
      </c>
      <c r="K1087" s="1003">
        <f t="shared" si="120"/>
        <v>7.7777777777777777</v>
      </c>
      <c r="L1087" s="375">
        <v>1</v>
      </c>
      <c r="M1087" s="1344">
        <v>1016</v>
      </c>
      <c r="N1087" s="368">
        <v>8</v>
      </c>
      <c r="O1087" s="2692" t="s">
        <v>81</v>
      </c>
      <c r="P1087" s="2693"/>
      <c r="Q1087" s="1291">
        <v>1</v>
      </c>
      <c r="R1087" s="1291">
        <v>0</v>
      </c>
      <c r="S1087" s="1345" t="s">
        <v>163</v>
      </c>
      <c r="T1087" s="390">
        <v>606</v>
      </c>
      <c r="U1087" s="307"/>
      <c r="V1087" s="2630">
        <f>VLOOKUP(M1087,'[1]TABELA FRETE'!$A$6:$B$12,2,0)</f>
        <v>425.7</v>
      </c>
      <c r="W1087" s="2631"/>
      <c r="X1087" s="2632"/>
      <c r="Y1087" s="2633"/>
    </row>
    <row r="1088" spans="2:25" s="299" customFormat="1" ht="48" customHeight="1" thickBot="1">
      <c r="B1088" s="358">
        <v>0.70833333333333304</v>
      </c>
      <c r="C1088" s="326"/>
      <c r="D1088" s="998">
        <v>30</v>
      </c>
      <c r="E1088" s="999">
        <v>2872</v>
      </c>
      <c r="F1088" s="1795">
        <v>21</v>
      </c>
      <c r="G1088" s="345">
        <v>729</v>
      </c>
      <c r="H1088" s="1001"/>
      <c r="I1088" s="1002"/>
      <c r="J1088" s="541">
        <f t="shared" si="119"/>
        <v>3601</v>
      </c>
      <c r="K1088" s="1003">
        <f t="shared" si="120"/>
        <v>8.0022222222222226</v>
      </c>
      <c r="L1088" s="375">
        <v>1</v>
      </c>
      <c r="M1088" s="1346">
        <v>1016</v>
      </c>
      <c r="N1088" s="377">
        <v>8</v>
      </c>
      <c r="O1088" s="2628" t="s">
        <v>44</v>
      </c>
      <c r="P1088" s="2926"/>
      <c r="Q1088" s="1291">
        <v>2</v>
      </c>
      <c r="R1088" s="450">
        <v>0</v>
      </c>
      <c r="S1088" s="1335" t="s">
        <v>103</v>
      </c>
      <c r="T1088" s="407">
        <v>674</v>
      </c>
      <c r="U1088" s="307"/>
      <c r="V1088" s="2630">
        <f>VLOOKUP(M1088,'[1]TABELA FRETE'!$A$6:$B$12,2,0)</f>
        <v>425.7</v>
      </c>
      <c r="W1088" s="2631"/>
      <c r="X1088" s="2632"/>
      <c r="Y1088" s="2633"/>
    </row>
    <row r="1089" spans="2:25" s="299" customFormat="1" ht="48" customHeight="1" thickBot="1">
      <c r="B1089" s="358">
        <v>0.70833333333333304</v>
      </c>
      <c r="C1089" s="326"/>
      <c r="D1089" s="998">
        <v>27</v>
      </c>
      <c r="E1089" s="999">
        <v>1448</v>
      </c>
      <c r="F1089" s="1010" t="s">
        <v>201</v>
      </c>
      <c r="G1089" s="345">
        <v>1203</v>
      </c>
      <c r="H1089" s="1011"/>
      <c r="I1089" s="1012"/>
      <c r="J1089" s="541">
        <f t="shared" si="119"/>
        <v>2651</v>
      </c>
      <c r="K1089" s="1003">
        <f t="shared" si="120"/>
        <v>5.891111111111111</v>
      </c>
      <c r="L1089" s="375">
        <v>1</v>
      </c>
      <c r="M1089" s="1346">
        <v>1016</v>
      </c>
      <c r="N1089" s="377">
        <v>8</v>
      </c>
      <c r="O1089" s="2628" t="s">
        <v>46</v>
      </c>
      <c r="P1089" s="2926"/>
      <c r="Q1089" s="450">
        <v>2</v>
      </c>
      <c r="R1089" s="450">
        <v>0</v>
      </c>
      <c r="S1089" s="1335" t="s">
        <v>102</v>
      </c>
      <c r="T1089" s="407">
        <v>48</v>
      </c>
      <c r="U1089" s="432"/>
      <c r="V1089" s="2630">
        <f>VLOOKUP(M1089,'[1]TABELA FRETE'!$A$6:$B$12,2,0)</f>
        <v>425.7</v>
      </c>
      <c r="W1089" s="2631"/>
      <c r="X1089" s="2632"/>
      <c r="Y1089" s="2633"/>
    </row>
    <row r="1090" spans="2:25" s="299" customFormat="1" ht="48" customHeight="1" thickBot="1">
      <c r="B1090" s="358">
        <v>0.70833333333333304</v>
      </c>
      <c r="C1090" s="326"/>
      <c r="D1090" s="998">
        <v>4</v>
      </c>
      <c r="E1090" s="999">
        <v>1384</v>
      </c>
      <c r="F1090" s="1010"/>
      <c r="G1090" s="345"/>
      <c r="H1090" s="1014"/>
      <c r="I1090" s="1002"/>
      <c r="J1090" s="541">
        <f t="shared" si="119"/>
        <v>1384</v>
      </c>
      <c r="K1090" s="1003">
        <f t="shared" si="120"/>
        <v>3.0755555555555554</v>
      </c>
      <c r="L1090" s="375">
        <v>1</v>
      </c>
      <c r="M1090" s="1346">
        <v>1016</v>
      </c>
      <c r="N1090" s="377">
        <v>8</v>
      </c>
      <c r="O1090" s="2628" t="s">
        <v>92</v>
      </c>
      <c r="P1090" s="2926"/>
      <c r="Q1090" s="450">
        <v>2</v>
      </c>
      <c r="R1090" s="450">
        <v>0</v>
      </c>
      <c r="S1090" s="1335" t="s">
        <v>104</v>
      </c>
      <c r="T1090" s="407">
        <v>576</v>
      </c>
      <c r="U1090" s="432"/>
      <c r="V1090" s="2630">
        <f>VLOOKUP(M1090,'[1]TABELA FRETE'!$A$6:$B$12,2,0)</f>
        <v>425.7</v>
      </c>
      <c r="W1090" s="2631"/>
      <c r="X1090" s="2632"/>
      <c r="Y1090" s="2633"/>
    </row>
    <row r="1091" spans="2:25" s="299" customFormat="1" ht="48" customHeight="1" thickBot="1">
      <c r="B1091" s="358">
        <v>0.70833333333333304</v>
      </c>
      <c r="C1091" s="326"/>
      <c r="D1091" s="998">
        <v>18</v>
      </c>
      <c r="E1091" s="999">
        <v>1731</v>
      </c>
      <c r="F1091" s="1010"/>
      <c r="G1091" s="345"/>
      <c r="H1091" s="1014"/>
      <c r="I1091" s="1002"/>
      <c r="J1091" s="541">
        <f t="shared" si="119"/>
        <v>1731</v>
      </c>
      <c r="K1091" s="1003">
        <f t="shared" si="120"/>
        <v>3.8466666666666667</v>
      </c>
      <c r="L1091" s="375">
        <v>1</v>
      </c>
      <c r="M1091" s="1346">
        <v>1016</v>
      </c>
      <c r="N1091" s="377">
        <v>7</v>
      </c>
      <c r="O1091" s="2692" t="s">
        <v>56</v>
      </c>
      <c r="P1091" s="2693"/>
      <c r="Q1091" s="1291">
        <v>1</v>
      </c>
      <c r="R1091" s="1291">
        <v>0</v>
      </c>
      <c r="S1091" s="1345" t="s">
        <v>57</v>
      </c>
      <c r="T1091" s="407">
        <v>663</v>
      </c>
      <c r="U1091" s="432"/>
      <c r="V1091" s="2630">
        <f>VLOOKUP(M1091,'[1]TABELA FRETE'!$A$6:$B$12,2,0)</f>
        <v>425.7</v>
      </c>
      <c r="W1091" s="2631"/>
      <c r="X1091" s="2632"/>
      <c r="Y1091" s="2633"/>
    </row>
    <row r="1092" spans="2:25" s="299" customFormat="1" ht="48" customHeight="1" thickBot="1">
      <c r="B1092" s="463">
        <v>0.70833333333333304</v>
      </c>
      <c r="C1092" s="326"/>
      <c r="D1092" s="998">
        <v>7</v>
      </c>
      <c r="E1092" s="999">
        <v>5504</v>
      </c>
      <c r="F1092" s="516"/>
      <c r="G1092" s="375"/>
      <c r="H1092" s="1001"/>
      <c r="I1092" s="1002"/>
      <c r="J1092" s="541">
        <f t="shared" si="119"/>
        <v>5504</v>
      </c>
      <c r="K1092" s="1003">
        <f t="shared" si="120"/>
        <v>12.231111111111112</v>
      </c>
      <c r="L1092" s="375">
        <v>1</v>
      </c>
      <c r="M1092" s="1347" t="s">
        <v>7</v>
      </c>
      <c r="N1092" s="595">
        <v>12</v>
      </c>
      <c r="O1092" s="2927" t="s">
        <v>50</v>
      </c>
      <c r="P1092" s="2928"/>
      <c r="Q1092" s="1018">
        <v>2</v>
      </c>
      <c r="R1092" s="1018">
        <v>0</v>
      </c>
      <c r="S1092" s="1348" t="s">
        <v>105</v>
      </c>
      <c r="T1092" s="596">
        <v>612</v>
      </c>
      <c r="U1092" s="307"/>
      <c r="V1092" s="2630">
        <f>VLOOKUP(M1092,'[1]TABELA FRETE'!$A$6:$B$12,2,0)</f>
        <v>466.4</v>
      </c>
      <c r="W1092" s="2631"/>
      <c r="X1092" s="2632"/>
      <c r="Y1092" s="2633"/>
    </row>
    <row r="1093" spans="2:25" s="299" customFormat="1" ht="48" customHeight="1" thickBot="1">
      <c r="B1093" s="463">
        <v>0.70833333333333304</v>
      </c>
      <c r="C1093" s="326"/>
      <c r="D1093" s="1019">
        <v>48</v>
      </c>
      <c r="E1093" s="1020">
        <v>3064</v>
      </c>
      <c r="F1093" s="726"/>
      <c r="G1093" s="395"/>
      <c r="H1093" s="1021"/>
      <c r="I1093" s="1022"/>
      <c r="J1093" s="541">
        <f t="shared" si="119"/>
        <v>3064</v>
      </c>
      <c r="K1093" s="1003">
        <f t="shared" si="120"/>
        <v>6.8088888888888892</v>
      </c>
      <c r="L1093" s="395">
        <v>1</v>
      </c>
      <c r="M1093" s="1346">
        <v>1016</v>
      </c>
      <c r="N1093" s="377">
        <v>8</v>
      </c>
      <c r="O1093" s="2692" t="s">
        <v>88</v>
      </c>
      <c r="P1093" s="2912"/>
      <c r="Q1093" s="1291">
        <v>1</v>
      </c>
      <c r="R1093" s="1291">
        <v>0</v>
      </c>
      <c r="S1093" s="1345" t="s">
        <v>184</v>
      </c>
      <c r="T1093" s="407">
        <v>799</v>
      </c>
      <c r="U1093" s="307"/>
      <c r="V1093" s="2630">
        <f>VLOOKUP(M1093,'[1]TABELA FRETE'!$A$6:$B$12,2,0)</f>
        <v>425.7</v>
      </c>
      <c r="W1093" s="2631"/>
      <c r="X1093" s="2632"/>
      <c r="Y1093" s="2633"/>
    </row>
    <row r="1094" spans="2:25" s="299" customFormat="1" ht="48" customHeight="1" thickBot="1">
      <c r="B1094" s="408">
        <v>0.70833333333333304</v>
      </c>
      <c r="C1094" s="326"/>
      <c r="D1094" s="1023">
        <v>13</v>
      </c>
      <c r="E1094" s="1024">
        <v>3952</v>
      </c>
      <c r="F1094" s="542"/>
      <c r="G1094" s="544"/>
      <c r="H1094" s="1025"/>
      <c r="I1094" s="1026"/>
      <c r="J1094" s="1026">
        <f t="shared" si="119"/>
        <v>3952</v>
      </c>
      <c r="K1094" s="1027">
        <f t="shared" si="120"/>
        <v>8.7822222222222219</v>
      </c>
      <c r="L1094" s="544">
        <v>1</v>
      </c>
      <c r="M1094" s="1349" t="s">
        <v>7</v>
      </c>
      <c r="N1094" s="707">
        <v>12</v>
      </c>
      <c r="O1094" s="2929" t="s">
        <v>68</v>
      </c>
      <c r="P1094" s="2930"/>
      <c r="Q1094" s="550">
        <v>1</v>
      </c>
      <c r="R1094" s="669">
        <v>0</v>
      </c>
      <c r="S1094" s="1350" t="s">
        <v>174</v>
      </c>
      <c r="T1094" s="710">
        <v>808</v>
      </c>
      <c r="U1094" s="307"/>
      <c r="V1094" s="2630">
        <f>VLOOKUP(M1094,'[1]TABELA FRETE'!$D$7:$E$12,2,0)</f>
        <v>1161.5999999999999</v>
      </c>
      <c r="W1094" s="2631"/>
      <c r="X1094" s="2694"/>
      <c r="Y1094" s="2695"/>
    </row>
    <row r="1095" spans="2:25" s="299" customFormat="1" ht="46.5" customHeight="1" thickBot="1">
      <c r="B1095" s="554" t="s">
        <v>108</v>
      </c>
      <c r="C1095" s="1030"/>
      <c r="D1095" s="556"/>
      <c r="E1095" s="557">
        <f>SUM(E1036:E1094)</f>
        <v>183488</v>
      </c>
      <c r="F1095" s="557" t="s">
        <v>109</v>
      </c>
      <c r="G1095" s="557">
        <f>SUM(G1036:G1094)</f>
        <v>30553</v>
      </c>
      <c r="H1095" s="557" t="s">
        <v>109</v>
      </c>
      <c r="I1095" s="319">
        <f>SUM(I1036:I1094)</f>
        <v>0</v>
      </c>
      <c r="J1095" s="319">
        <f t="shared" si="119"/>
        <v>214041</v>
      </c>
      <c r="K1095" s="558">
        <f>SUM(K1036:K1094)</f>
        <v>465.64666666666665</v>
      </c>
      <c r="L1095" s="559">
        <f>SUM(L1036:L1094)</f>
        <v>55</v>
      </c>
      <c r="M1095" s="560" t="s">
        <v>110</v>
      </c>
      <c r="N1095" s="554">
        <f>SUM(N1036:N1094)</f>
        <v>520</v>
      </c>
      <c r="O1095" s="557" t="s">
        <v>32</v>
      </c>
      <c r="P1095" s="557"/>
      <c r="Q1095" s="319"/>
      <c r="R1095" s="561">
        <f>SUM(R1047:R1094)</f>
        <v>4</v>
      </c>
      <c r="S1095" s="562" t="s">
        <v>111</v>
      </c>
      <c r="T1095" s="1031"/>
      <c r="U1095" s="307"/>
      <c r="V1095" s="2558">
        <f>SUM(V1036:W1094)</f>
        <v>23983.300000000014</v>
      </c>
      <c r="W1095" s="2559"/>
      <c r="X1095" s="2564">
        <f>COUNT(X1036:Y1094)</f>
        <v>0</v>
      </c>
      <c r="Y1095" s="2565"/>
    </row>
    <row r="1096" spans="2:25" s="299" customFormat="1" ht="40.5" customHeight="1">
      <c r="B1096" s="2853" t="s">
        <v>112</v>
      </c>
      <c r="C1096" s="2899"/>
      <c r="D1096" s="2899"/>
      <c r="E1096" s="2899"/>
      <c r="F1096" s="2899"/>
      <c r="G1096" s="2899"/>
      <c r="H1096" s="2899"/>
      <c r="I1096" s="2899"/>
      <c r="J1096" s="2899"/>
      <c r="K1096" s="564">
        <v>44</v>
      </c>
      <c r="L1096" s="2899" t="s">
        <v>113</v>
      </c>
      <c r="M1096" s="2854"/>
      <c r="N1096" s="2915" t="s">
        <v>114</v>
      </c>
      <c r="O1096" s="2916"/>
      <c r="P1096" s="2916"/>
      <c r="Q1096" s="2916"/>
      <c r="R1096" s="2917"/>
      <c r="S1096" s="2915" t="s">
        <v>115</v>
      </c>
      <c r="T1096" s="2917"/>
      <c r="U1096" s="307"/>
      <c r="V1096" s="2560"/>
      <c r="W1096" s="2561"/>
      <c r="X1096" s="2566"/>
      <c r="Y1096" s="2567"/>
    </row>
    <row r="1097" spans="2:25" s="299" customFormat="1" ht="6.75" customHeight="1">
      <c r="B1097" s="2570" t="s">
        <v>116</v>
      </c>
      <c r="C1097" s="2571"/>
      <c r="D1097" s="2571"/>
      <c r="E1097" s="2574">
        <f>L1095</f>
        <v>55</v>
      </c>
      <c r="F1097" s="2570" t="s">
        <v>30</v>
      </c>
      <c r="G1097" s="2571"/>
      <c r="H1097" s="2574">
        <f>J1095</f>
        <v>214041</v>
      </c>
      <c r="I1097" s="2575"/>
      <c r="J1097" s="2571" t="s">
        <v>117</v>
      </c>
      <c r="K1097" s="2575">
        <f>H1097/E1097</f>
        <v>3891.6545454545453</v>
      </c>
      <c r="L1097" s="2574" t="s">
        <v>118</v>
      </c>
      <c r="M1097" s="2574"/>
      <c r="N1097" s="2574"/>
      <c r="O1097" s="2575">
        <v>44</v>
      </c>
      <c r="P1097" s="565"/>
      <c r="Q1097" s="565"/>
      <c r="R1097" s="565"/>
      <c r="S1097" s="565"/>
      <c r="T1097" s="566"/>
      <c r="U1097" s="307"/>
      <c r="V1097" s="2562"/>
      <c r="W1097" s="2563"/>
      <c r="X1097" s="2568"/>
      <c r="Y1097" s="2569"/>
    </row>
    <row r="1098" spans="2:25" s="299" customFormat="1" ht="40.5" customHeight="1">
      <c r="B1098" s="2572"/>
      <c r="C1098" s="2573"/>
      <c r="D1098" s="2573"/>
      <c r="E1098" s="2576"/>
      <c r="F1098" s="2572"/>
      <c r="G1098" s="2573"/>
      <c r="H1098" s="2576"/>
      <c r="I1098" s="2577"/>
      <c r="J1098" s="2573"/>
      <c r="K1098" s="2577"/>
      <c r="L1098" s="2576"/>
      <c r="M1098" s="2576"/>
      <c r="N1098" s="2576"/>
      <c r="O1098" s="2577"/>
      <c r="P1098" s="567"/>
      <c r="Q1098" s="2663" t="s">
        <v>119</v>
      </c>
      <c r="R1098" s="2664"/>
      <c r="S1098" s="2664"/>
      <c r="T1098" s="2665"/>
      <c r="U1098" s="307"/>
      <c r="V1098" s="2578" t="s">
        <v>120</v>
      </c>
      <c r="W1098" s="2579"/>
      <c r="X1098" s="2582" t="s">
        <v>121</v>
      </c>
      <c r="Y1098" s="2583"/>
    </row>
    <row r="1099" spans="2:25" s="299" customFormat="1" ht="51" customHeight="1">
      <c r="B1099" s="2883" t="s">
        <v>122</v>
      </c>
      <c r="C1099" s="2537" t="s">
        <v>33</v>
      </c>
      <c r="D1099" s="2538"/>
      <c r="E1099" s="2541" t="s">
        <v>123</v>
      </c>
      <c r="F1099" s="2542"/>
      <c r="G1099" s="2542"/>
      <c r="H1099" s="2542"/>
      <c r="I1099" s="2542"/>
      <c r="J1099" s="2542"/>
      <c r="K1099" s="2542"/>
      <c r="L1099" s="2542"/>
      <c r="M1099" s="2542"/>
      <c r="N1099" s="2542"/>
      <c r="O1099" s="2543"/>
      <c r="P1099" s="568"/>
      <c r="Q1099" s="2680" t="s">
        <v>124</v>
      </c>
      <c r="R1099" s="2681"/>
      <c r="S1099" s="2681"/>
      <c r="T1099" s="2682"/>
      <c r="U1099" s="307"/>
      <c r="V1099" s="2578"/>
      <c r="W1099" s="2579"/>
      <c r="X1099" s="2582"/>
      <c r="Y1099" s="2583"/>
    </row>
    <row r="1100" spans="2:25" s="299" customFormat="1" ht="51" customHeight="1">
      <c r="B1100" s="2884"/>
      <c r="C1100" s="2539"/>
      <c r="D1100" s="2540"/>
      <c r="E1100" s="2544"/>
      <c r="F1100" s="2545"/>
      <c r="G1100" s="2545"/>
      <c r="H1100" s="2545"/>
      <c r="I1100" s="2545"/>
      <c r="J1100" s="2545"/>
      <c r="K1100" s="2545"/>
      <c r="L1100" s="2545"/>
      <c r="M1100" s="2545"/>
      <c r="N1100" s="2545"/>
      <c r="O1100" s="2546"/>
      <c r="P1100" s="569"/>
      <c r="Q1100" s="2683" t="s">
        <v>125</v>
      </c>
      <c r="R1100" s="2684"/>
      <c r="S1100" s="2684"/>
      <c r="T1100" s="2685"/>
      <c r="U1100" s="307"/>
      <c r="V1100" s="2580"/>
      <c r="W1100" s="2581"/>
      <c r="X1100" s="2584"/>
      <c r="Y1100" s="2585"/>
    </row>
    <row r="1101" spans="2:25" s="299" customFormat="1" ht="51" customHeight="1">
      <c r="B1101" s="1575" t="s">
        <v>9</v>
      </c>
      <c r="C1101" s="2918">
        <f>COUNTIF(M1036:M1094,"kia")</f>
        <v>2</v>
      </c>
      <c r="D1101" s="2919"/>
      <c r="E1101" s="2547"/>
      <c r="F1101" s="2548"/>
      <c r="G1101" s="2548"/>
      <c r="H1101" s="2548"/>
      <c r="I1101" s="2548"/>
      <c r="J1101" s="2548"/>
      <c r="K1101" s="2548"/>
      <c r="L1101" s="2548"/>
      <c r="M1101" s="2548"/>
      <c r="N1101" s="2548"/>
      <c r="O1101" s="2549"/>
      <c r="P1101" s="569"/>
      <c r="Q1101" s="2686" t="s">
        <v>126</v>
      </c>
      <c r="R1101" s="2687"/>
      <c r="S1101" s="2687"/>
      <c r="T1101" s="2688"/>
      <c r="U1101" s="307"/>
      <c r="V1101" s="321"/>
      <c r="W1101" s="321"/>
      <c r="X1101" s="321"/>
      <c r="Y1101" s="321"/>
    </row>
    <row r="1102" spans="2:25" s="299" customFormat="1" ht="51" customHeight="1">
      <c r="B1102" s="1576" t="s">
        <v>8</v>
      </c>
      <c r="C1102" s="2920">
        <f>COUNTIF(M1036:M1094,"iveco")</f>
        <v>2</v>
      </c>
      <c r="D1102" s="2921"/>
      <c r="E1102" s="2586" t="s">
        <v>127</v>
      </c>
      <c r="F1102" s="2587"/>
      <c r="G1102" s="2587"/>
      <c r="H1102" s="2587"/>
      <c r="I1102" s="2587"/>
      <c r="J1102" s="2587"/>
      <c r="K1102" s="2587"/>
      <c r="L1102" s="2587"/>
      <c r="M1102" s="2587"/>
      <c r="N1102" s="2587"/>
      <c r="O1102" s="2588"/>
      <c r="P1102" s="569"/>
      <c r="Q1102" s="2592" t="s">
        <v>128</v>
      </c>
      <c r="R1102" s="2593"/>
      <c r="S1102" s="2593"/>
      <c r="T1102" s="2594"/>
      <c r="U1102" s="307"/>
      <c r="V1102" s="2689" t="s">
        <v>129</v>
      </c>
      <c r="W1102" s="2690"/>
      <c r="X1102" s="2690"/>
      <c r="Y1102" s="2691"/>
    </row>
    <row r="1103" spans="2:25" s="299" customFormat="1" ht="51" customHeight="1">
      <c r="B1103" s="1576">
        <v>1016</v>
      </c>
      <c r="C1103" s="2920">
        <f>COUNTIF(M1036:M1094,"1016")</f>
        <v>25</v>
      </c>
      <c r="D1103" s="2921"/>
      <c r="E1103" s="2589"/>
      <c r="F1103" s="2590"/>
      <c r="G1103" s="2590"/>
      <c r="H1103" s="2590"/>
      <c r="I1103" s="2590"/>
      <c r="J1103" s="2590"/>
      <c r="K1103" s="2590"/>
      <c r="L1103" s="2590"/>
      <c r="M1103" s="2590"/>
      <c r="N1103" s="2590"/>
      <c r="O1103" s="2591"/>
      <c r="P1103" s="569"/>
      <c r="Q1103" s="2595"/>
      <c r="R1103" s="2596"/>
      <c r="S1103" s="2596"/>
      <c r="T1103" s="2597"/>
      <c r="U1103" s="307"/>
      <c r="V1103" s="2601" t="s">
        <v>130</v>
      </c>
      <c r="W1103" s="2602"/>
      <c r="X1103" s="2602"/>
      <c r="Y1103" s="2603"/>
    </row>
    <row r="1104" spans="2:25" s="299" customFormat="1" ht="51" customHeight="1">
      <c r="B1104" s="1576" t="s">
        <v>7</v>
      </c>
      <c r="C1104" s="2920">
        <f>COUNTIF(M1036:M1094,"toco")</f>
        <v>21</v>
      </c>
      <c r="D1104" s="2921"/>
      <c r="E1104" s="2607" t="s">
        <v>131</v>
      </c>
      <c r="F1104" s="2608"/>
      <c r="G1104" s="2608"/>
      <c r="H1104" s="2608"/>
      <c r="I1104" s="2608"/>
      <c r="J1104" s="2608"/>
      <c r="K1104" s="2608"/>
      <c r="L1104" s="2608"/>
      <c r="M1104" s="2608"/>
      <c r="N1104" s="2608"/>
      <c r="O1104" s="2609"/>
      <c r="P1104" s="568"/>
      <c r="Q1104" s="2598"/>
      <c r="R1104" s="2599"/>
      <c r="S1104" s="2599"/>
      <c r="T1104" s="2600"/>
      <c r="U1104" s="307"/>
      <c r="V1104" s="2604"/>
      <c r="W1104" s="2605"/>
      <c r="X1104" s="2605"/>
      <c r="Y1104" s="2606"/>
    </row>
    <row r="1105" spans="1:26" s="299" customFormat="1" ht="51" customHeight="1">
      <c r="B1105" s="1577" t="s">
        <v>6</v>
      </c>
      <c r="C1105" s="2922">
        <f>COUNTIF(M1036:M1094,"truck")</f>
        <v>5</v>
      </c>
      <c r="D1105" s="2923"/>
      <c r="E1105" s="2555"/>
      <c r="F1105" s="2556"/>
      <c r="G1105" s="2556"/>
      <c r="H1105" s="2556"/>
      <c r="I1105" s="2556"/>
      <c r="J1105" s="2556"/>
      <c r="K1105" s="2556"/>
      <c r="L1105" s="2556"/>
      <c r="M1105" s="2556"/>
      <c r="N1105" s="2556"/>
      <c r="O1105" s="2557"/>
      <c r="P1105" s="568"/>
      <c r="Q1105" s="2610" t="s">
        <v>132</v>
      </c>
      <c r="R1105" s="2611"/>
      <c r="S1105" s="2611"/>
      <c r="T1105" s="2612"/>
      <c r="U1105" s="307"/>
      <c r="V1105" s="2616" t="s">
        <v>133</v>
      </c>
      <c r="W1105" s="2617"/>
      <c r="X1105" s="2622">
        <f>SUM(E1036:E1094,G1036:G1094,I1036:I1094)</f>
        <v>214041</v>
      </c>
      <c r="Y1105" s="2623"/>
    </row>
    <row r="1106" spans="1:26" s="299" customFormat="1" ht="51" customHeight="1">
      <c r="B1106" s="2883" t="s">
        <v>134</v>
      </c>
      <c r="C1106" s="2539">
        <f>SUM(C1101:D1105)</f>
        <v>55</v>
      </c>
      <c r="D1106" s="2540"/>
      <c r="E1106" s="2552" t="s">
        <v>135</v>
      </c>
      <c r="F1106" s="2553"/>
      <c r="G1106" s="2553"/>
      <c r="H1106" s="2553"/>
      <c r="I1106" s="2553"/>
      <c r="J1106" s="2553"/>
      <c r="K1106" s="2553"/>
      <c r="L1106" s="2553"/>
      <c r="M1106" s="2553"/>
      <c r="N1106" s="2553"/>
      <c r="O1106" s="2554"/>
      <c r="P1106" s="573"/>
      <c r="Q1106" s="2610"/>
      <c r="R1106" s="2611"/>
      <c r="S1106" s="2611"/>
      <c r="T1106" s="2612"/>
      <c r="U1106" s="574"/>
      <c r="V1106" s="2618"/>
      <c r="W1106" s="2619"/>
      <c r="X1106" s="2624"/>
      <c r="Y1106" s="2625"/>
    </row>
    <row r="1107" spans="1:26" s="299" customFormat="1" ht="51" customHeight="1">
      <c r="B1107" s="2884"/>
      <c r="C1107" s="2550"/>
      <c r="D1107" s="2551"/>
      <c r="E1107" s="2555"/>
      <c r="F1107" s="2556"/>
      <c r="G1107" s="2556"/>
      <c r="H1107" s="2556"/>
      <c r="I1107" s="2556"/>
      <c r="J1107" s="2556"/>
      <c r="K1107" s="2556"/>
      <c r="L1107" s="2556"/>
      <c r="M1107" s="2556"/>
      <c r="N1107" s="2556"/>
      <c r="O1107" s="2557"/>
      <c r="P1107" s="575"/>
      <c r="Q1107" s="2610"/>
      <c r="R1107" s="2611"/>
      <c r="S1107" s="2611"/>
      <c r="T1107" s="2612"/>
      <c r="U1107" s="574"/>
      <c r="V1107" s="2618"/>
      <c r="W1107" s="2619"/>
      <c r="X1107" s="2624"/>
      <c r="Y1107" s="2625"/>
    </row>
    <row r="1108" spans="1:26" s="300" customFormat="1" ht="51" customHeight="1">
      <c r="B1108" s="1578" t="s">
        <v>136</v>
      </c>
      <c r="C1108" s="2847" t="s">
        <v>137</v>
      </c>
      <c r="D1108" s="2848"/>
      <c r="E1108" s="2848"/>
      <c r="F1108" s="2848"/>
      <c r="G1108" s="2848"/>
      <c r="H1108" s="2848"/>
      <c r="I1108" s="2848"/>
      <c r="J1108" s="2848"/>
      <c r="K1108" s="2848"/>
      <c r="L1108" s="2848"/>
      <c r="M1108" s="2848"/>
      <c r="N1108" s="2848"/>
      <c r="O1108" s="2849"/>
      <c r="P1108" s="575"/>
      <c r="Q1108" s="2613"/>
      <c r="R1108" s="2614"/>
      <c r="S1108" s="2614"/>
      <c r="T1108" s="2615"/>
      <c r="V1108" s="2620"/>
      <c r="W1108" s="2621"/>
      <c r="X1108" s="2626"/>
      <c r="Y1108" s="2627"/>
    </row>
    <row r="1114" spans="1:26" ht="13.5" thickBot="1"/>
    <row r="1115" spans="1:26" s="1823" customFormat="1" ht="42.75" customHeight="1" thickBot="1">
      <c r="A1115" s="1823" t="s">
        <v>17</v>
      </c>
      <c r="B1115" s="3258"/>
      <c r="C1115" s="3259"/>
      <c r="D1115" s="3259"/>
      <c r="E1115" s="3259"/>
      <c r="F1115" s="3259"/>
      <c r="G1115" s="3259"/>
      <c r="H1115" s="3259"/>
      <c r="I1115" s="3260"/>
      <c r="J1115" s="3264" t="s">
        <v>18</v>
      </c>
      <c r="K1115" s="3265"/>
      <c r="L1115" s="3265"/>
      <c r="M1115" s="3265"/>
      <c r="N1115" s="3265"/>
      <c r="O1115" s="3265"/>
      <c r="P1115" s="3265"/>
      <c r="Q1115" s="3266"/>
      <c r="R1115" s="3267">
        <v>46161</v>
      </c>
      <c r="S1115" s="3268"/>
      <c r="T1115" s="3269"/>
      <c r="U1115" s="1824"/>
      <c r="V1115" s="3273" t="s">
        <v>19</v>
      </c>
      <c r="W1115" s="3274"/>
      <c r="X1115" s="3273" t="s">
        <v>19</v>
      </c>
      <c r="Y1115" s="3274"/>
    </row>
    <row r="1116" spans="1:26" s="1823" customFormat="1" ht="42.75" customHeight="1" thickBot="1">
      <c r="B1116" s="3261"/>
      <c r="C1116" s="3262"/>
      <c r="D1116" s="3262"/>
      <c r="E1116" s="3262"/>
      <c r="F1116" s="3262"/>
      <c r="G1116" s="3262"/>
      <c r="H1116" s="3262"/>
      <c r="I1116" s="3263"/>
      <c r="J1116" s="3277" t="s">
        <v>20</v>
      </c>
      <c r="K1116" s="3278"/>
      <c r="L1116" s="3278"/>
      <c r="M1116" s="3278"/>
      <c r="N1116" s="3278"/>
      <c r="O1116" s="3278"/>
      <c r="P1116" s="3278"/>
      <c r="Q1116" s="3279"/>
      <c r="R1116" s="3270"/>
      <c r="S1116" s="3271"/>
      <c r="T1116" s="3272"/>
      <c r="U1116" s="1824"/>
      <c r="V1116" s="3275"/>
      <c r="W1116" s="3276"/>
      <c r="X1116" s="3275"/>
      <c r="Y1116" s="3276"/>
    </row>
    <row r="1117" spans="1:26" s="1823" customFormat="1" ht="4.1500000000000004" customHeight="1" thickBot="1">
      <c r="B1117" s="1828"/>
      <c r="C1117" s="1829"/>
      <c r="D1117" s="1825"/>
      <c r="E1117" s="1825"/>
      <c r="F1117" s="1825"/>
      <c r="G1117" s="1825"/>
      <c r="H1117" s="1825"/>
      <c r="I1117" s="1825"/>
      <c r="J1117" s="3280"/>
      <c r="K1117" s="3281"/>
      <c r="L1117" s="3281"/>
      <c r="M1117" s="3281"/>
      <c r="N1117" s="3281"/>
      <c r="O1117" s="3281"/>
      <c r="P1117" s="3281"/>
      <c r="Q1117" s="3282"/>
      <c r="R1117" s="1830" t="s">
        <v>21</v>
      </c>
      <c r="S1117" s="1830"/>
      <c r="T1117" s="1831"/>
      <c r="U1117" s="1824"/>
      <c r="V1117" s="1826"/>
      <c r="W1117" s="1827"/>
      <c r="X1117" s="1826"/>
      <c r="Y1117" s="1827"/>
    </row>
    <row r="1118" spans="1:26" s="1823" customFormat="1" ht="49.5" customHeight="1" thickBot="1">
      <c r="B1118" s="3286" t="s">
        <v>22</v>
      </c>
      <c r="C1118" s="1832"/>
      <c r="D1118" s="3288" t="s">
        <v>23</v>
      </c>
      <c r="E1118" s="3289"/>
      <c r="F1118" s="3288" t="s">
        <v>24</v>
      </c>
      <c r="G1118" s="3289"/>
      <c r="H1118" s="3288" t="s">
        <v>25</v>
      </c>
      <c r="I1118" s="3289"/>
      <c r="J1118" s="3283"/>
      <c r="K1118" s="3284"/>
      <c r="L1118" s="3284"/>
      <c r="M1118" s="3284"/>
      <c r="N1118" s="3284"/>
      <c r="O1118" s="3284"/>
      <c r="P1118" s="3284"/>
      <c r="Q1118" s="3285"/>
      <c r="R1118" s="3290" t="s">
        <v>26</v>
      </c>
      <c r="S1118" s="3291"/>
      <c r="T1118" s="1837">
        <f>L1163</f>
        <v>40</v>
      </c>
      <c r="U1118" s="1838"/>
      <c r="V1118" s="3292" t="s">
        <v>27</v>
      </c>
      <c r="W1118" s="3293"/>
      <c r="X1118" s="3292" t="s">
        <v>28</v>
      </c>
      <c r="Y1118" s="3293"/>
      <c r="Z1118" s="1839"/>
    </row>
    <row r="1119" spans="1:26" s="1823" customFormat="1" ht="49.5" customHeight="1" thickBot="1">
      <c r="B1119" s="3287"/>
      <c r="C1119" s="1832"/>
      <c r="D1119" s="1840" t="s">
        <v>29</v>
      </c>
      <c r="E1119" s="1840" t="s">
        <v>30</v>
      </c>
      <c r="F1119" s="1840" t="s">
        <v>29</v>
      </c>
      <c r="G1119" s="1840" t="s">
        <v>30</v>
      </c>
      <c r="H1119" s="1840" t="s">
        <v>29</v>
      </c>
      <c r="I1119" s="1840" t="s">
        <v>30</v>
      </c>
      <c r="J1119" s="1834" t="s">
        <v>31</v>
      </c>
      <c r="K1119" s="1840" t="s">
        <v>32</v>
      </c>
      <c r="L1119" s="1840" t="s">
        <v>33</v>
      </c>
      <c r="M1119" s="1840" t="s">
        <v>34</v>
      </c>
      <c r="N1119" s="1840" t="s">
        <v>32</v>
      </c>
      <c r="O1119" s="1833" t="s">
        <v>35</v>
      </c>
      <c r="P1119" s="1834"/>
      <c r="Q1119" s="1840" t="s">
        <v>36</v>
      </c>
      <c r="R1119" s="1840" t="s">
        <v>37</v>
      </c>
      <c r="S1119" s="1840" t="s">
        <v>38</v>
      </c>
      <c r="T1119" s="1841" t="s">
        <v>39</v>
      </c>
      <c r="U1119" s="1838"/>
      <c r="V1119" s="3294"/>
      <c r="W1119" s="3295"/>
      <c r="X1119" s="3294"/>
      <c r="Y1119" s="3295"/>
      <c r="Z1119" s="1839"/>
    </row>
    <row r="1120" spans="1:26" s="1842" customFormat="1" ht="48" customHeight="1" thickBot="1">
      <c r="B1120" s="1843">
        <v>0.41666666666666702</v>
      </c>
      <c r="C1120" s="1844"/>
      <c r="D1120" s="1845">
        <v>28</v>
      </c>
      <c r="E1120" s="1846">
        <v>1067</v>
      </c>
      <c r="F1120" s="1847">
        <v>29</v>
      </c>
      <c r="G1120" s="1848">
        <v>2106</v>
      </c>
      <c r="H1120" s="1849"/>
      <c r="I1120" s="1848"/>
      <c r="J1120" s="1850">
        <f t="shared" ref="J1120:J1124" si="121">E1120+G1120+I1120</f>
        <v>3173</v>
      </c>
      <c r="K1120" s="1851">
        <f t="shared" ref="K1120:K1124" si="122">J1120/450</f>
        <v>7.0511111111111111</v>
      </c>
      <c r="L1120" s="1850">
        <v>1</v>
      </c>
      <c r="M1120" s="1852">
        <v>1016</v>
      </c>
      <c r="N1120" s="1853">
        <v>8</v>
      </c>
      <c r="O1120" s="3296" t="s">
        <v>46</v>
      </c>
      <c r="P1120" s="3297"/>
      <c r="Q1120" s="1855">
        <v>2</v>
      </c>
      <c r="R1120" s="1856">
        <v>0</v>
      </c>
      <c r="S1120" s="2510" t="s">
        <v>47</v>
      </c>
      <c r="T1120" s="1856">
        <v>48</v>
      </c>
      <c r="U1120" s="1824"/>
      <c r="V1120" s="3298">
        <f>VLOOKUP(M1120,'[1]TABELA FRETE'!$A$6:$B$12,2,0)</f>
        <v>425.7</v>
      </c>
      <c r="W1120" s="3299"/>
      <c r="X1120" s="3300"/>
      <c r="Y1120" s="3301"/>
    </row>
    <row r="1121" spans="2:25" s="1842" customFormat="1" ht="63" customHeight="1" thickBot="1">
      <c r="B1121" s="1858">
        <v>0.41666666666666702</v>
      </c>
      <c r="C1121" s="1844"/>
      <c r="D1121" s="1859" t="s">
        <v>198</v>
      </c>
      <c r="E1121" s="1860">
        <v>1000</v>
      </c>
      <c r="F1121" s="1859" t="s">
        <v>78</v>
      </c>
      <c r="G1121" s="1861">
        <v>1500</v>
      </c>
      <c r="H1121" s="3302" t="s">
        <v>226</v>
      </c>
      <c r="I1121" s="3303"/>
      <c r="J1121" s="1862">
        <f t="shared" si="121"/>
        <v>2500</v>
      </c>
      <c r="K1121" s="1863">
        <f t="shared" si="122"/>
        <v>5.5555555555555554</v>
      </c>
      <c r="L1121" s="1862">
        <v>1</v>
      </c>
      <c r="M1121" s="1864">
        <v>1016</v>
      </c>
      <c r="N1121" s="1865">
        <v>6</v>
      </c>
      <c r="O1121" s="1866" t="s">
        <v>139</v>
      </c>
      <c r="P1121" s="1866"/>
      <c r="Q1121" s="1867">
        <v>1</v>
      </c>
      <c r="R1121" s="1868">
        <v>0</v>
      </c>
      <c r="S1121" s="2512" t="s">
        <v>140</v>
      </c>
      <c r="T1121" s="1870">
        <v>809</v>
      </c>
      <c r="U1121" s="1824"/>
      <c r="V1121" s="3298">
        <f>VLOOKUP(M1121,'[1]TABELA FRETE'!$A$6:$B$12,2,0)</f>
        <v>425.7</v>
      </c>
      <c r="W1121" s="3299"/>
      <c r="X1121" s="3300"/>
      <c r="Y1121" s="3301"/>
    </row>
    <row r="1122" spans="2:25" s="1823" customFormat="1" ht="48" customHeight="1" thickBot="1">
      <c r="B1122" s="1858">
        <v>0.41666666666666702</v>
      </c>
      <c r="C1122" s="1844"/>
      <c r="D1122" s="1871">
        <v>7</v>
      </c>
      <c r="E1122" s="1872">
        <v>1000</v>
      </c>
      <c r="F1122" s="1873"/>
      <c r="G1122" s="1874"/>
      <c r="H1122" s="1875"/>
      <c r="I1122" s="1876"/>
      <c r="J1122" s="1862">
        <f t="shared" si="121"/>
        <v>1000</v>
      </c>
      <c r="K1122" s="1863">
        <f t="shared" si="122"/>
        <v>2.2222222222222223</v>
      </c>
      <c r="L1122" s="1862">
        <v>1</v>
      </c>
      <c r="M1122" s="1877" t="s">
        <v>9</v>
      </c>
      <c r="N1122" s="1878">
        <v>3</v>
      </c>
      <c r="O1122" s="3304" t="s">
        <v>189</v>
      </c>
      <c r="P1122" s="3305"/>
      <c r="Q1122" s="1880">
        <v>1</v>
      </c>
      <c r="R1122" s="1881">
        <v>0</v>
      </c>
      <c r="S1122" s="1803" t="s">
        <v>190</v>
      </c>
      <c r="T1122" s="1870">
        <v>738</v>
      </c>
      <c r="U1122" s="1824"/>
      <c r="V1122" s="3298">
        <f>VLOOKUP(M1122,'[1]TABELA FRETE'!$A$6:$B$12,2,0)</f>
        <v>250.8</v>
      </c>
      <c r="W1122" s="3299"/>
      <c r="X1122" s="3300"/>
      <c r="Y1122" s="3301"/>
    </row>
    <row r="1123" spans="2:25" s="1823" customFormat="1" ht="48" customHeight="1" thickBot="1">
      <c r="B1123" s="1858">
        <v>0.41666666666666702</v>
      </c>
      <c r="C1123" s="1844"/>
      <c r="D1123" s="646">
        <v>31</v>
      </c>
      <c r="E1123" s="1883">
        <v>500</v>
      </c>
      <c r="F1123" s="1871">
        <v>11</v>
      </c>
      <c r="G1123" s="1883">
        <v>2500</v>
      </c>
      <c r="H1123" s="2523" t="s">
        <v>736</v>
      </c>
      <c r="I1123" s="2524"/>
      <c r="J1123" s="1862">
        <f t="shared" si="121"/>
        <v>3000</v>
      </c>
      <c r="K1123" s="1863">
        <f t="shared" si="122"/>
        <v>6.666666666666667</v>
      </c>
      <c r="L1123" s="1862">
        <v>1</v>
      </c>
      <c r="M1123" s="1894">
        <v>1016</v>
      </c>
      <c r="N1123" s="1895">
        <v>6</v>
      </c>
      <c r="O1123" s="3306" t="s">
        <v>203</v>
      </c>
      <c r="P1123" s="3307"/>
      <c r="Q1123" s="1897">
        <v>2</v>
      </c>
      <c r="R1123" s="1898">
        <v>0</v>
      </c>
      <c r="S1123" s="2513" t="s">
        <v>204</v>
      </c>
      <c r="T1123" s="1900">
        <v>807</v>
      </c>
      <c r="U1123" s="1824"/>
      <c r="V1123" s="3298">
        <f>VLOOKUP(M1123,'[1]TABELA FRETE'!$A$6:$B$12,2,0)</f>
        <v>425.7</v>
      </c>
      <c r="W1123" s="3299"/>
      <c r="X1123" s="3300"/>
      <c r="Y1123" s="3301"/>
    </row>
    <row r="1124" spans="2:25" s="1823" customFormat="1" ht="48" customHeight="1" thickBot="1">
      <c r="B1124" s="1901">
        <v>0.41666666666666702</v>
      </c>
      <c r="C1124" s="1844"/>
      <c r="D1124" s="1902">
        <v>11</v>
      </c>
      <c r="E1124" s="1903">
        <v>1139</v>
      </c>
      <c r="F1124" s="1904"/>
      <c r="G1124" s="1905"/>
      <c r="H1124" s="1906"/>
      <c r="I1124" s="1907"/>
      <c r="J1124" s="1908">
        <f t="shared" si="121"/>
        <v>1139</v>
      </c>
      <c r="K1124" s="1909">
        <f t="shared" si="122"/>
        <v>2.5311111111111111</v>
      </c>
      <c r="L1124" s="1908">
        <v>1</v>
      </c>
      <c r="M1124" s="1910" t="s">
        <v>9</v>
      </c>
      <c r="N1124" s="1911">
        <v>3</v>
      </c>
      <c r="O1124" s="3308" t="s">
        <v>98</v>
      </c>
      <c r="P1124" s="3309"/>
      <c r="Q1124" s="1913">
        <v>1</v>
      </c>
      <c r="R1124" s="1914">
        <v>0</v>
      </c>
      <c r="S1124" s="2514" t="s">
        <v>99</v>
      </c>
      <c r="T1124" s="1912">
        <v>496</v>
      </c>
      <c r="U1124" s="1824"/>
      <c r="V1124" s="3298">
        <f>VLOOKUP(M1124,'[1]TABELA FRETE'!$A$6:$B$12,2,0)</f>
        <v>250.8</v>
      </c>
      <c r="W1124" s="3299"/>
      <c r="X1124" s="3310"/>
      <c r="Y1124" s="3311"/>
    </row>
    <row r="1125" spans="2:25" s="1916" customFormat="1" ht="6" customHeight="1" thickBot="1">
      <c r="B1125" s="1844"/>
      <c r="C1125" s="1844"/>
      <c r="D1125" s="1917"/>
      <c r="E1125" s="1918"/>
      <c r="F1125" s="1917"/>
      <c r="G1125" s="1919"/>
      <c r="H1125" s="1920"/>
      <c r="I1125" s="1919"/>
      <c r="J1125" s="1919"/>
      <c r="K1125" s="1921"/>
      <c r="L1125" s="1919"/>
      <c r="M1125" s="1922"/>
      <c r="N1125" s="1923"/>
      <c r="O1125" s="1924"/>
      <c r="P1125" s="1924"/>
      <c r="Q1125" s="1925"/>
      <c r="R1125" s="1925"/>
      <c r="S1125" s="1926"/>
      <c r="T1125" s="1924"/>
      <c r="U1125" s="1927"/>
      <c r="V1125" s="1928"/>
      <c r="W1125" s="1928"/>
      <c r="X1125" s="1929"/>
      <c r="Y1125" s="1929"/>
    </row>
    <row r="1126" spans="2:25" s="1823" customFormat="1" ht="48" customHeight="1" thickBot="1">
      <c r="B1126" s="1843">
        <v>0.5</v>
      </c>
      <c r="C1126" s="1844"/>
      <c r="D1126" s="1845">
        <v>8</v>
      </c>
      <c r="E1126" s="1846">
        <v>5576</v>
      </c>
      <c r="F1126" s="1930"/>
      <c r="G1126" s="1931"/>
      <c r="H1126" s="1932"/>
      <c r="I1126" s="1848"/>
      <c r="J1126" s="1850">
        <f t="shared" ref="J1126:J1152" si="123">E1126+G1126+I1126</f>
        <v>5576</v>
      </c>
      <c r="K1126" s="1851">
        <f t="shared" ref="K1126:K1152" si="124">J1126/450</f>
        <v>12.391111111111112</v>
      </c>
      <c r="L1126" s="1850">
        <v>1</v>
      </c>
      <c r="M1126" s="1933" t="s">
        <v>7</v>
      </c>
      <c r="N1126" s="1934">
        <v>12</v>
      </c>
      <c r="O1126" s="3312" t="s">
        <v>50</v>
      </c>
      <c r="P1126" s="3313"/>
      <c r="Q1126" s="1935">
        <v>2</v>
      </c>
      <c r="R1126" s="1936">
        <v>0</v>
      </c>
      <c r="S1126" s="2515" t="s">
        <v>51</v>
      </c>
      <c r="T1126" s="1856">
        <v>612</v>
      </c>
      <c r="U1126" s="1824"/>
      <c r="V1126" s="3298">
        <f>VLOOKUP(M1126,'[1]TABELA FRETE'!$A$6:$B$12,2,0)</f>
        <v>466.4</v>
      </c>
      <c r="W1126" s="3299"/>
      <c r="X1126" s="3300"/>
      <c r="Y1126" s="3301"/>
    </row>
    <row r="1127" spans="2:25" s="1823" customFormat="1" ht="48" customHeight="1" thickBot="1">
      <c r="B1127" s="1938">
        <v>0.5</v>
      </c>
      <c r="C1127" s="1844"/>
      <c r="D1127" s="1871">
        <v>14</v>
      </c>
      <c r="E1127" s="1874">
        <v>4082</v>
      </c>
      <c r="F1127" s="1939"/>
      <c r="G1127" s="1874"/>
      <c r="H1127" s="1940"/>
      <c r="I1127" s="1876"/>
      <c r="J1127" s="1862">
        <f t="shared" si="123"/>
        <v>4082</v>
      </c>
      <c r="K1127" s="1863">
        <f t="shared" si="124"/>
        <v>9.0711111111111116</v>
      </c>
      <c r="L1127" s="1862">
        <v>1</v>
      </c>
      <c r="M1127" s="2501" t="s">
        <v>7</v>
      </c>
      <c r="N1127" s="2502">
        <v>10</v>
      </c>
      <c r="O1127" s="3314" t="s">
        <v>288</v>
      </c>
      <c r="P1127" s="3315"/>
      <c r="Q1127" s="2503">
        <v>1</v>
      </c>
      <c r="R1127" s="2504">
        <v>0</v>
      </c>
      <c r="S1127" s="2505" t="s">
        <v>145</v>
      </c>
      <c r="T1127" s="2506">
        <v>353</v>
      </c>
      <c r="U1127" s="1824"/>
      <c r="V1127" s="3298">
        <f>VLOOKUP(M1127,'[1]TABELA FRETE'!$A$6:$B$12,2,0)</f>
        <v>466.4</v>
      </c>
      <c r="W1127" s="3299"/>
      <c r="X1127" s="3300"/>
      <c r="Y1127" s="3301"/>
    </row>
    <row r="1128" spans="2:25" s="1823" customFormat="1" ht="48" customHeight="1" thickBot="1">
      <c r="B1128" s="1938">
        <v>0.5</v>
      </c>
      <c r="C1128" s="1844"/>
      <c r="D1128" s="1871">
        <v>1</v>
      </c>
      <c r="E1128" s="1872">
        <v>3174</v>
      </c>
      <c r="F1128" s="1945">
        <v>9</v>
      </c>
      <c r="G1128" s="1946">
        <v>2642</v>
      </c>
      <c r="H1128" s="1940"/>
      <c r="I1128" s="1876"/>
      <c r="J1128" s="1862">
        <f t="shared" si="123"/>
        <v>5816</v>
      </c>
      <c r="K1128" s="1863">
        <f t="shared" si="124"/>
        <v>12.924444444444445</v>
      </c>
      <c r="L1128" s="1862">
        <v>1</v>
      </c>
      <c r="M1128" s="1894" t="s">
        <v>6</v>
      </c>
      <c r="N1128" s="1895">
        <v>14</v>
      </c>
      <c r="O1128" s="3316" t="s">
        <v>64</v>
      </c>
      <c r="P1128" s="3317"/>
      <c r="Q1128" s="1897">
        <v>1</v>
      </c>
      <c r="R1128" s="1898">
        <v>0</v>
      </c>
      <c r="S1128" s="2517" t="s">
        <v>65</v>
      </c>
      <c r="T1128" s="1900">
        <v>598</v>
      </c>
      <c r="U1128" s="1824"/>
      <c r="V1128" s="3298">
        <f>VLOOKUP(M1128,'[1]TABELA FRETE'!$A$6:$B$12,2,0)</f>
        <v>489.5</v>
      </c>
      <c r="W1128" s="3299"/>
      <c r="X1128" s="3300"/>
      <c r="Y1128" s="3301"/>
    </row>
    <row r="1129" spans="2:25" s="1823" customFormat="1" ht="48" customHeight="1" thickBot="1">
      <c r="B1129" s="1938">
        <v>0.5</v>
      </c>
      <c r="C1129" s="1844"/>
      <c r="D1129" s="1871">
        <v>12</v>
      </c>
      <c r="E1129" s="1876">
        <v>2843</v>
      </c>
      <c r="F1129" s="1873"/>
      <c r="G1129" s="1874"/>
      <c r="H1129" s="1940"/>
      <c r="I1129" s="1876"/>
      <c r="J1129" s="1862">
        <f t="shared" si="123"/>
        <v>2843</v>
      </c>
      <c r="K1129" s="1863">
        <f t="shared" si="124"/>
        <v>6.3177777777777777</v>
      </c>
      <c r="L1129" s="1862">
        <v>1</v>
      </c>
      <c r="M1129" s="1949">
        <v>1016</v>
      </c>
      <c r="N1129" s="1853">
        <v>7</v>
      </c>
      <c r="O1129" s="3316" t="s">
        <v>141</v>
      </c>
      <c r="P1129" s="3317"/>
      <c r="Q1129" s="1855">
        <v>2</v>
      </c>
      <c r="R1129" s="1950">
        <v>0</v>
      </c>
      <c r="S1129" s="2510" t="s">
        <v>142</v>
      </c>
      <c r="T1129" s="1950">
        <v>605</v>
      </c>
      <c r="U1129" s="1824"/>
      <c r="V1129" s="3298">
        <f>VLOOKUP(M1129,'[1]TABELA FRETE'!$A$6:$B$12,2,0)</f>
        <v>425.7</v>
      </c>
      <c r="W1129" s="3299"/>
      <c r="X1129" s="3300"/>
      <c r="Y1129" s="3301"/>
    </row>
    <row r="1130" spans="2:25" s="1823" customFormat="1" ht="48" customHeight="1" thickBot="1">
      <c r="B1130" s="1938">
        <v>0.5</v>
      </c>
      <c r="C1130" s="1844"/>
      <c r="D1130" s="1871">
        <v>38</v>
      </c>
      <c r="E1130" s="1872">
        <v>3480</v>
      </c>
      <c r="F1130" s="1873"/>
      <c r="G1130" s="1874"/>
      <c r="H1130" s="1940"/>
      <c r="I1130" s="1876"/>
      <c r="J1130" s="1862">
        <f t="shared" si="123"/>
        <v>3480</v>
      </c>
      <c r="K1130" s="1863">
        <f t="shared" si="124"/>
        <v>7.7333333333333334</v>
      </c>
      <c r="L1130" s="1862">
        <v>1</v>
      </c>
      <c r="M1130" s="1949">
        <v>1016</v>
      </c>
      <c r="N1130" s="1853">
        <v>10</v>
      </c>
      <c r="O1130" s="3316" t="s">
        <v>81</v>
      </c>
      <c r="P1130" s="3317"/>
      <c r="Q1130" s="1897">
        <v>2</v>
      </c>
      <c r="R1130" s="1950">
        <v>0</v>
      </c>
      <c r="S1130" s="2510" t="s">
        <v>82</v>
      </c>
      <c r="T1130" s="1950">
        <v>606</v>
      </c>
      <c r="U1130" s="1824"/>
      <c r="V1130" s="3298">
        <f>VLOOKUP(M1130,'[1]TABELA FRETE'!$A$6:$B$12,2,0)</f>
        <v>425.7</v>
      </c>
      <c r="W1130" s="3299"/>
      <c r="X1130" s="3300"/>
      <c r="Y1130" s="3301"/>
    </row>
    <row r="1131" spans="2:25" s="1823" customFormat="1" ht="48" customHeight="1" thickBot="1">
      <c r="B1131" s="1938">
        <v>0.5</v>
      </c>
      <c r="C1131" s="1844"/>
      <c r="D1131" s="1871">
        <v>34</v>
      </c>
      <c r="E1131" s="1872">
        <v>6337</v>
      </c>
      <c r="F1131" s="1873"/>
      <c r="G1131" s="1874"/>
      <c r="H1131" s="1940"/>
      <c r="I1131" s="1876"/>
      <c r="J1131" s="1862">
        <f t="shared" si="123"/>
        <v>6337</v>
      </c>
      <c r="K1131" s="1863">
        <f t="shared" si="124"/>
        <v>14.082222222222223</v>
      </c>
      <c r="L1131" s="1862">
        <v>1</v>
      </c>
      <c r="M1131" s="1894" t="s">
        <v>6</v>
      </c>
      <c r="N1131" s="1895">
        <v>14</v>
      </c>
      <c r="O1131" s="3316" t="s">
        <v>54</v>
      </c>
      <c r="P1131" s="3317"/>
      <c r="Q1131" s="1897">
        <v>1</v>
      </c>
      <c r="R1131" s="1898">
        <v>0</v>
      </c>
      <c r="S1131" s="2517" t="s">
        <v>55</v>
      </c>
      <c r="T1131" s="1900">
        <v>590</v>
      </c>
      <c r="U1131" s="1824"/>
      <c r="V1131" s="3298">
        <f>VLOOKUP(M1131,'[1]TABELA FRETE'!$A$6:$B$12,2,0)</f>
        <v>489.5</v>
      </c>
      <c r="W1131" s="3299"/>
      <c r="X1131" s="3300"/>
      <c r="Y1131" s="3301"/>
    </row>
    <row r="1132" spans="2:25" s="1823" customFormat="1" ht="48" customHeight="1" thickBot="1">
      <c r="B1132" s="1938">
        <v>0.5</v>
      </c>
      <c r="C1132" s="1844"/>
      <c r="D1132" s="1871">
        <v>43</v>
      </c>
      <c r="E1132" s="1872">
        <v>5727</v>
      </c>
      <c r="F1132" s="1873"/>
      <c r="G1132" s="1874"/>
      <c r="H1132" s="1940"/>
      <c r="I1132" s="1876"/>
      <c r="J1132" s="1862">
        <f>E1132+G1132+I1132</f>
        <v>5727</v>
      </c>
      <c r="K1132" s="1863">
        <v>12</v>
      </c>
      <c r="L1132" s="1862">
        <v>1</v>
      </c>
      <c r="M1132" s="1894" t="s">
        <v>7</v>
      </c>
      <c r="N1132" s="1895">
        <v>12</v>
      </c>
      <c r="O1132" s="3316" t="s">
        <v>224</v>
      </c>
      <c r="P1132" s="3317"/>
      <c r="Q1132" s="1897">
        <v>1</v>
      </c>
      <c r="R1132" s="1898">
        <v>0</v>
      </c>
      <c r="S1132" s="2517" t="s">
        <v>225</v>
      </c>
      <c r="T1132" s="1900">
        <v>782</v>
      </c>
      <c r="U1132" s="1824"/>
      <c r="V1132" s="3298">
        <f>VLOOKUP(M1132,'[1]TABELA FRETE'!$A$6:$B$12,2,0)</f>
        <v>466.4</v>
      </c>
      <c r="W1132" s="3299"/>
      <c r="X1132" s="3300"/>
      <c r="Y1132" s="3301"/>
    </row>
    <row r="1133" spans="2:25" s="1823" customFormat="1" ht="48" customHeight="1" thickBot="1">
      <c r="B1133" s="1938">
        <v>0.5</v>
      </c>
      <c r="C1133" s="1844"/>
      <c r="D1133" s="1871">
        <v>35</v>
      </c>
      <c r="E1133" s="1872">
        <v>3246</v>
      </c>
      <c r="F1133" s="1939"/>
      <c r="G1133" s="1874"/>
      <c r="H1133" s="1940"/>
      <c r="I1133" s="1876"/>
      <c r="J1133" s="1862">
        <f t="shared" si="123"/>
        <v>3246</v>
      </c>
      <c r="K1133" s="1863">
        <f t="shared" si="124"/>
        <v>7.2133333333333329</v>
      </c>
      <c r="L1133" s="1862">
        <v>1</v>
      </c>
      <c r="M1133" s="1894">
        <v>1016</v>
      </c>
      <c r="N1133" s="1895">
        <v>7</v>
      </c>
      <c r="O1133" s="3316" t="s">
        <v>56</v>
      </c>
      <c r="P1133" s="3317"/>
      <c r="Q1133" s="1897">
        <v>1</v>
      </c>
      <c r="R1133" s="1898">
        <v>0</v>
      </c>
      <c r="S1133" s="2517" t="s">
        <v>57</v>
      </c>
      <c r="T1133" s="1900">
        <v>663</v>
      </c>
      <c r="U1133" s="1824"/>
      <c r="V1133" s="3298">
        <f>VLOOKUP(M1133,'[1]TABELA FRETE'!$A$6:$B$12,2,0)</f>
        <v>425.7</v>
      </c>
      <c r="W1133" s="3299"/>
      <c r="X1133" s="3300"/>
      <c r="Y1133" s="3301"/>
    </row>
    <row r="1134" spans="2:25" s="1823" customFormat="1" ht="48" customHeight="1" thickBot="1">
      <c r="B1134" s="1938">
        <v>0.5</v>
      </c>
      <c r="C1134" s="1844"/>
      <c r="D1134" s="1871">
        <v>45</v>
      </c>
      <c r="E1134" s="1872">
        <v>5156</v>
      </c>
      <c r="F1134" s="1945"/>
      <c r="G1134" s="1946"/>
      <c r="H1134" s="1940"/>
      <c r="I1134" s="1876"/>
      <c r="J1134" s="1862">
        <f t="shared" si="123"/>
        <v>5156</v>
      </c>
      <c r="K1134" s="1863">
        <f t="shared" si="124"/>
        <v>11.457777777777778</v>
      </c>
      <c r="L1134" s="1862">
        <v>1</v>
      </c>
      <c r="M1134" s="1894" t="s">
        <v>7</v>
      </c>
      <c r="N1134" s="1895">
        <v>12</v>
      </c>
      <c r="O1134" s="3316" t="s">
        <v>62</v>
      </c>
      <c r="P1134" s="3317"/>
      <c r="Q1134" s="1897">
        <v>2</v>
      </c>
      <c r="R1134" s="1900">
        <v>0</v>
      </c>
      <c r="S1134" s="2517" t="s">
        <v>63</v>
      </c>
      <c r="T1134" s="1950">
        <v>740</v>
      </c>
      <c r="U1134" s="1824"/>
      <c r="V1134" s="3298">
        <f>VLOOKUP(M1134,'[1]TABELA FRETE'!$A$6:$B$12,2,0)</f>
        <v>466.4</v>
      </c>
      <c r="W1134" s="3299"/>
      <c r="X1134" s="3300"/>
      <c r="Y1134" s="3301"/>
    </row>
    <row r="1135" spans="2:25" s="1823" customFormat="1" ht="48" customHeight="1" thickBot="1">
      <c r="B1135" s="1901">
        <v>0.5</v>
      </c>
      <c r="C1135" s="1844"/>
      <c r="D1135" s="1957">
        <v>40</v>
      </c>
      <c r="E1135" s="1903">
        <v>5936</v>
      </c>
      <c r="F1135" s="1958"/>
      <c r="G1135" s="1903"/>
      <c r="H1135" s="1959"/>
      <c r="I1135" s="1903"/>
      <c r="J1135" s="1908">
        <f>E1135+G1135+I1135</f>
        <v>5936</v>
      </c>
      <c r="K1135" s="1909">
        <f>J1135/450</f>
        <v>13.191111111111111</v>
      </c>
      <c r="L1135" s="1908">
        <v>1</v>
      </c>
      <c r="M1135" s="1960" t="s">
        <v>6</v>
      </c>
      <c r="N1135" s="1961">
        <v>14</v>
      </c>
      <c r="O1135" s="3318" t="s">
        <v>220</v>
      </c>
      <c r="P1135" s="3319"/>
      <c r="Q1135" s="1962">
        <v>1</v>
      </c>
      <c r="R1135" s="1963">
        <v>0</v>
      </c>
      <c r="S1135" s="2519" t="s">
        <v>221</v>
      </c>
      <c r="T1135" s="1965">
        <v>184422</v>
      </c>
      <c r="U1135" s="1824"/>
      <c r="V1135" s="3320">
        <f>VLOOKUP(M1135,'[1]TABELA FRETE'!$A$6:$B$12,2,0)</f>
        <v>489.5</v>
      </c>
      <c r="W1135" s="3321"/>
      <c r="X1135" s="3322"/>
      <c r="Y1135" s="3323"/>
    </row>
    <row r="1136" spans="2:25" s="1916" customFormat="1" ht="6" customHeight="1" thickBot="1">
      <c r="B1136" s="1844"/>
      <c r="C1136" s="1844"/>
      <c r="D1136" s="1917"/>
      <c r="E1136" s="1918"/>
      <c r="F1136" s="1917"/>
      <c r="G1136" s="1919"/>
      <c r="H1136" s="1920"/>
      <c r="I1136" s="1919"/>
      <c r="J1136" s="1919"/>
      <c r="K1136" s="1921"/>
      <c r="L1136" s="1919"/>
      <c r="M1136" s="1966"/>
      <c r="N1136" s="1967"/>
      <c r="O1136" s="1924"/>
      <c r="P1136" s="1924"/>
      <c r="Q1136" s="1925"/>
      <c r="R1136" s="1925"/>
      <c r="S1136" s="1926"/>
      <c r="T1136" s="1968"/>
      <c r="U1136" s="1927"/>
      <c r="V1136" s="1928"/>
      <c r="W1136" s="1928"/>
      <c r="X1136" s="1929"/>
      <c r="Y1136" s="1929"/>
    </row>
    <row r="1137" spans="2:25" s="1823" customFormat="1" ht="48" customHeight="1" thickBot="1">
      <c r="B1137" s="1843">
        <v>0.58333333333333304</v>
      </c>
      <c r="C1137" s="1844"/>
      <c r="D1137" s="1969">
        <v>5</v>
      </c>
      <c r="E1137" s="1846">
        <v>1957</v>
      </c>
      <c r="F1137" s="1970">
        <v>20</v>
      </c>
      <c r="G1137" s="1931">
        <v>2963</v>
      </c>
      <c r="H1137" s="1932"/>
      <c r="I1137" s="1848"/>
      <c r="J1137" s="1850">
        <f t="shared" si="123"/>
        <v>4920</v>
      </c>
      <c r="K1137" s="1851">
        <f t="shared" si="124"/>
        <v>10.933333333333334</v>
      </c>
      <c r="L1137" s="1850">
        <v>1</v>
      </c>
      <c r="M1137" s="1852" t="s">
        <v>7</v>
      </c>
      <c r="N1137" s="1971">
        <v>11</v>
      </c>
      <c r="O1137" s="3312" t="s">
        <v>52</v>
      </c>
      <c r="P1137" s="3313"/>
      <c r="Q1137" s="1972">
        <v>1</v>
      </c>
      <c r="R1137" s="1856">
        <v>0</v>
      </c>
      <c r="S1137" s="2520" t="s">
        <v>53</v>
      </c>
      <c r="T1137" s="1856">
        <v>633</v>
      </c>
      <c r="U1137" s="1824"/>
      <c r="V1137" s="3298">
        <f>VLOOKUP(M1137,'[1]TABELA FRETE'!$A$6:$B$12,2,0)</f>
        <v>466.4</v>
      </c>
      <c r="W1137" s="3299"/>
      <c r="X1137" s="3300"/>
      <c r="Y1137" s="3301"/>
    </row>
    <row r="1138" spans="2:25" s="1823" customFormat="1" ht="48" customHeight="1" thickBot="1">
      <c r="B1138" s="1974">
        <v>0.58333333333333304</v>
      </c>
      <c r="C1138" s="1844"/>
      <c r="D1138" s="1975">
        <v>25</v>
      </c>
      <c r="E1138" s="1874">
        <v>3066</v>
      </c>
      <c r="F1138" s="1976">
        <v>22</v>
      </c>
      <c r="G1138" s="1872">
        <v>1820</v>
      </c>
      <c r="H1138" s="1977"/>
      <c r="I1138" s="1872"/>
      <c r="J1138" s="1862">
        <f t="shared" si="123"/>
        <v>4886</v>
      </c>
      <c r="K1138" s="1863">
        <f t="shared" si="124"/>
        <v>10.857777777777779</v>
      </c>
      <c r="L1138" s="1862">
        <v>1</v>
      </c>
      <c r="M1138" s="1949" t="s">
        <v>7</v>
      </c>
      <c r="N1138" s="1853">
        <v>12</v>
      </c>
      <c r="O1138" s="3316" t="s">
        <v>66</v>
      </c>
      <c r="P1138" s="3317"/>
      <c r="Q1138" s="1897">
        <v>2</v>
      </c>
      <c r="R1138" s="1898">
        <v>0</v>
      </c>
      <c r="S1138" s="2517" t="s">
        <v>67</v>
      </c>
      <c r="T1138" s="1950">
        <v>184461</v>
      </c>
      <c r="U1138" s="1824"/>
      <c r="V1138" s="3298">
        <f>VLOOKUP(M1138,'[1]TABELA FRETE'!$A$6:$B$12,2,0)</f>
        <v>466.4</v>
      </c>
      <c r="W1138" s="3299"/>
      <c r="X1138" s="3324"/>
      <c r="Y1138" s="3325"/>
    </row>
    <row r="1139" spans="2:25" s="1823" customFormat="1" ht="48" customHeight="1" thickBot="1">
      <c r="B1139" s="1974">
        <v>0.58333333333333304</v>
      </c>
      <c r="C1139" s="1844"/>
      <c r="D1139" s="1975">
        <v>6</v>
      </c>
      <c r="E1139" s="1872">
        <v>2602</v>
      </c>
      <c r="F1139" s="1975">
        <v>31</v>
      </c>
      <c r="G1139" s="1874">
        <v>3938</v>
      </c>
      <c r="H1139" s="1977"/>
      <c r="I1139" s="1872"/>
      <c r="J1139" s="1862">
        <f t="shared" si="123"/>
        <v>6540</v>
      </c>
      <c r="K1139" s="1863">
        <f t="shared" si="124"/>
        <v>14.533333333333333</v>
      </c>
      <c r="L1139" s="1862">
        <v>1</v>
      </c>
      <c r="M1139" s="1949" t="s">
        <v>6</v>
      </c>
      <c r="N1139" s="1853">
        <v>14</v>
      </c>
      <c r="O1139" s="3326" t="s">
        <v>143</v>
      </c>
      <c r="P1139" s="3327"/>
      <c r="Q1139" s="1897">
        <v>1</v>
      </c>
      <c r="R1139" s="1950">
        <v>1</v>
      </c>
      <c r="S1139" s="2510" t="s">
        <v>69</v>
      </c>
      <c r="T1139" s="1950">
        <v>184422</v>
      </c>
      <c r="U1139" s="1824"/>
      <c r="V1139" s="3298">
        <f>VLOOKUP(M1139,'[1]TABELA FRETE'!$A$6:$B$12,2,0)</f>
        <v>489.5</v>
      </c>
      <c r="W1139" s="3299"/>
      <c r="X1139" s="3310"/>
      <c r="Y1139" s="3311"/>
    </row>
    <row r="1140" spans="2:25" s="1823" customFormat="1" ht="48" customHeight="1" thickBot="1">
      <c r="B1140" s="1938">
        <v>0.5</v>
      </c>
      <c r="C1140" s="1844"/>
      <c r="D1140" s="1975">
        <v>47</v>
      </c>
      <c r="E1140" s="1872">
        <v>3760</v>
      </c>
      <c r="F1140" s="1945"/>
      <c r="G1140" s="1946"/>
      <c r="H1140" s="1940"/>
      <c r="I1140" s="1876"/>
      <c r="J1140" s="1862">
        <f>E1140+G1140+I1140</f>
        <v>3760</v>
      </c>
      <c r="K1140" s="1863">
        <f>J1140/450</f>
        <v>8.3555555555555561</v>
      </c>
      <c r="L1140" s="1862">
        <v>1</v>
      </c>
      <c r="M1140" s="1894">
        <v>1016</v>
      </c>
      <c r="N1140" s="1895">
        <v>8</v>
      </c>
      <c r="O1140" s="3316" t="s">
        <v>44</v>
      </c>
      <c r="P1140" s="3317"/>
      <c r="Q1140" s="1897">
        <v>2</v>
      </c>
      <c r="R1140" s="1900">
        <v>0</v>
      </c>
      <c r="S1140" s="2521" t="s">
        <v>197</v>
      </c>
      <c r="T1140" s="1950">
        <v>674</v>
      </c>
      <c r="U1140" s="1824"/>
      <c r="V1140" s="3298">
        <f>VLOOKUP(M1140,'[1]TABELA FRETE'!$A$6:$B$12,2,0)</f>
        <v>425.7</v>
      </c>
      <c r="W1140" s="3299"/>
      <c r="X1140" s="3300"/>
      <c r="Y1140" s="3301"/>
    </row>
    <row r="1141" spans="2:25" s="1823" customFormat="1" ht="48" customHeight="1" thickBot="1">
      <c r="B1141" s="1974">
        <v>0.58333333333333304</v>
      </c>
      <c r="C1141" s="1978"/>
      <c r="D1141" s="1979">
        <v>17</v>
      </c>
      <c r="E1141" s="1860">
        <v>3422</v>
      </c>
      <c r="F1141" s="1980"/>
      <c r="G1141" s="1860"/>
      <c r="H1141" s="1981"/>
      <c r="I1141" s="1982"/>
      <c r="J1141" s="1983">
        <f t="shared" si="123"/>
        <v>3422</v>
      </c>
      <c r="K1141" s="1984">
        <f t="shared" si="124"/>
        <v>7.6044444444444448</v>
      </c>
      <c r="L1141" s="1983">
        <v>1</v>
      </c>
      <c r="M1141" s="1949">
        <v>1016</v>
      </c>
      <c r="N1141" s="1853">
        <v>8</v>
      </c>
      <c r="O1141" s="3316" t="s">
        <v>106</v>
      </c>
      <c r="P1141" s="3317"/>
      <c r="Q1141" s="1855">
        <v>2</v>
      </c>
      <c r="R1141" s="1950">
        <v>0</v>
      </c>
      <c r="S1141" s="2510" t="s">
        <v>107</v>
      </c>
      <c r="T1141" s="1950">
        <v>606</v>
      </c>
      <c r="U1141" s="1824"/>
      <c r="V1141" s="3298">
        <f>VLOOKUP(M1141,'[1]TABELA FRETE'!$A$6:$B$12,2,0)</f>
        <v>425.7</v>
      </c>
      <c r="W1141" s="3299"/>
      <c r="X1141" s="3300"/>
      <c r="Y1141" s="3301"/>
    </row>
    <row r="1142" spans="2:25" s="1823" customFormat="1" ht="48" customHeight="1" thickBot="1">
      <c r="B1142" s="1974">
        <v>0.58333333333333304</v>
      </c>
      <c r="C1142" s="1844"/>
      <c r="D1142" s="1991">
        <v>44</v>
      </c>
      <c r="E1142" s="1992">
        <v>1446</v>
      </c>
      <c r="F1142" s="2507"/>
      <c r="G1142" s="1992"/>
      <c r="H1142" s="2508"/>
      <c r="I1142" s="1993"/>
      <c r="J1142" s="1994">
        <f t="shared" si="123"/>
        <v>1446</v>
      </c>
      <c r="K1142" s="1995">
        <f t="shared" si="124"/>
        <v>3.2133333333333334</v>
      </c>
      <c r="L1142" s="1994">
        <v>1</v>
      </c>
      <c r="M1142" s="1996">
        <v>1016</v>
      </c>
      <c r="N1142" s="1997">
        <v>8</v>
      </c>
      <c r="O1142" s="3316" t="s">
        <v>90</v>
      </c>
      <c r="P1142" s="3317"/>
      <c r="Q1142" s="1897">
        <v>2</v>
      </c>
      <c r="R1142" s="1950">
        <v>0</v>
      </c>
      <c r="S1142" s="2510" t="s">
        <v>91</v>
      </c>
      <c r="T1142" s="1950">
        <v>674</v>
      </c>
      <c r="U1142" s="1824"/>
      <c r="V1142" s="3298">
        <f>VLOOKUP(M1142,'[1]TABELA FRETE'!$A$6:$B$12,2,0)</f>
        <v>425.7</v>
      </c>
      <c r="W1142" s="3299"/>
      <c r="X1142" s="3300"/>
      <c r="Y1142" s="3301"/>
    </row>
    <row r="1143" spans="2:25" s="1823" customFormat="1" ht="48" customHeight="1" thickBot="1">
      <c r="B1143" s="1974">
        <v>0.58333333333333304</v>
      </c>
      <c r="C1143" s="1844"/>
      <c r="D1143" s="1998">
        <v>23</v>
      </c>
      <c r="E1143" s="1883">
        <v>4438</v>
      </c>
      <c r="F1143" s="1999"/>
      <c r="G1143" s="1883"/>
      <c r="H1143" s="1956"/>
      <c r="I1143" s="1885"/>
      <c r="J1143" s="2000">
        <f t="shared" si="123"/>
        <v>4438</v>
      </c>
      <c r="K1143" s="2001">
        <f t="shared" si="124"/>
        <v>9.862222222222222</v>
      </c>
      <c r="L1143" s="2000">
        <v>1</v>
      </c>
      <c r="M1143" s="1949" t="s">
        <v>7</v>
      </c>
      <c r="N1143" s="1853">
        <v>11</v>
      </c>
      <c r="O1143" s="3316" t="s">
        <v>42</v>
      </c>
      <c r="P1143" s="3317"/>
      <c r="Q1143" s="1855">
        <v>3</v>
      </c>
      <c r="R1143" s="1950">
        <v>0</v>
      </c>
      <c r="S1143" s="2510" t="s">
        <v>43</v>
      </c>
      <c r="T1143" s="2002">
        <v>479</v>
      </c>
      <c r="U1143" s="1824"/>
      <c r="V1143" s="3298">
        <f>VLOOKUP(M1143,'[1]TABELA FRETE'!$A$6:$B$12,2,0)</f>
        <v>466.4</v>
      </c>
      <c r="W1143" s="3299"/>
      <c r="X1143" s="3300"/>
      <c r="Y1143" s="3301"/>
    </row>
    <row r="1144" spans="2:25" s="1823" customFormat="1" ht="63" customHeight="1" thickBot="1">
      <c r="B1144" s="1938">
        <v>0.58333333333333304</v>
      </c>
      <c r="C1144" s="1844"/>
      <c r="D1144" s="2003" t="s">
        <v>78</v>
      </c>
      <c r="E1144" s="1872">
        <v>3500</v>
      </c>
      <c r="F1144" s="1976"/>
      <c r="G1144" s="1872"/>
      <c r="H1144" s="1940"/>
      <c r="I1144" s="1874"/>
      <c r="J1144" s="1862">
        <f t="shared" si="123"/>
        <v>3500</v>
      </c>
      <c r="K1144" s="1863">
        <f t="shared" si="124"/>
        <v>7.7777777777777777</v>
      </c>
      <c r="L1144" s="1862">
        <v>1</v>
      </c>
      <c r="M1144" s="1894">
        <v>1016</v>
      </c>
      <c r="N1144" s="1895">
        <v>8</v>
      </c>
      <c r="O1144" s="3316" t="s">
        <v>157</v>
      </c>
      <c r="P1144" s="3317"/>
      <c r="Q1144" s="1897">
        <v>1</v>
      </c>
      <c r="R1144" s="1898">
        <v>0</v>
      </c>
      <c r="S1144" s="2522" t="s">
        <v>158</v>
      </c>
      <c r="T1144" s="2005">
        <v>642</v>
      </c>
      <c r="U1144" s="1824"/>
      <c r="V1144" s="3298">
        <f>VLOOKUP(M1144,'[1]TABELA FRETE'!$A$6:$B$12,2,0)</f>
        <v>425.7</v>
      </c>
      <c r="W1144" s="3299"/>
      <c r="X1144" s="3300"/>
      <c r="Y1144" s="3301"/>
    </row>
    <row r="1145" spans="2:25" s="1823" customFormat="1" ht="61.5" customHeight="1" thickBot="1">
      <c r="B1145" s="1938">
        <v>0.58333333333333304</v>
      </c>
      <c r="C1145" s="1844"/>
      <c r="D1145" s="1998">
        <v>10</v>
      </c>
      <c r="E1145" s="1883">
        <v>4540</v>
      </c>
      <c r="F1145" s="1326" t="s">
        <v>78</v>
      </c>
      <c r="G1145" s="1872">
        <v>326</v>
      </c>
      <c r="H1145" s="1940"/>
      <c r="I1145" s="1874"/>
      <c r="J1145" s="1862">
        <f>E1145+G1145+I1145</f>
        <v>4866</v>
      </c>
      <c r="K1145" s="1863">
        <f>J1145/450</f>
        <v>10.813333333333333</v>
      </c>
      <c r="L1145" s="1862">
        <v>1</v>
      </c>
      <c r="M1145" s="1894" t="s">
        <v>7</v>
      </c>
      <c r="N1145" s="1895">
        <v>12</v>
      </c>
      <c r="O1145" s="3316" t="s">
        <v>146</v>
      </c>
      <c r="P1145" s="3317"/>
      <c r="Q1145" s="1897">
        <v>1</v>
      </c>
      <c r="R1145" s="1898">
        <v>0</v>
      </c>
      <c r="S1145" s="2517" t="s">
        <v>147</v>
      </c>
      <c r="T1145" s="1900">
        <v>91</v>
      </c>
      <c r="U1145" s="1824"/>
      <c r="V1145" s="3298">
        <f>VLOOKUP(M1145,'[1]TABELA FRETE'!$A$6:$B$12,2,0)</f>
        <v>466.4</v>
      </c>
      <c r="W1145" s="3299"/>
      <c r="X1145" s="3300"/>
      <c r="Y1145" s="3301"/>
    </row>
    <row r="1146" spans="2:25" s="1823" customFormat="1" ht="48" customHeight="1" thickBot="1">
      <c r="B1146" s="1938">
        <v>0.58333333333333304</v>
      </c>
      <c r="C1146" s="1844"/>
      <c r="D1146" s="1809">
        <v>19</v>
      </c>
      <c r="E1146" s="1872">
        <v>5500</v>
      </c>
      <c r="F1146" s="1976"/>
      <c r="G1146" s="1872"/>
      <c r="H1146" s="1977"/>
      <c r="I1146" s="1872"/>
      <c r="J1146" s="1862">
        <f>E1146+G1146+I1146</f>
        <v>5500</v>
      </c>
      <c r="K1146" s="1863">
        <f>J1146/450</f>
        <v>12.222222222222221</v>
      </c>
      <c r="L1146" s="1862">
        <v>1</v>
      </c>
      <c r="M1146" s="1894" t="s">
        <v>7</v>
      </c>
      <c r="N1146" s="1895">
        <v>12</v>
      </c>
      <c r="O1146" s="3316" t="s">
        <v>155</v>
      </c>
      <c r="P1146" s="3317"/>
      <c r="Q1146" s="1897">
        <v>2</v>
      </c>
      <c r="R1146" s="1898">
        <v>2</v>
      </c>
      <c r="S1146" s="2517" t="s">
        <v>156</v>
      </c>
      <c r="T1146" s="1900">
        <v>184446</v>
      </c>
      <c r="U1146" s="1824"/>
      <c r="V1146" s="3298">
        <f>VLOOKUP(M1146,'[1]TABELA FRETE'!$A$6:$B$12,2,0)</f>
        <v>466.4</v>
      </c>
      <c r="W1146" s="3299"/>
      <c r="X1146" s="3300"/>
      <c r="Y1146" s="3301"/>
    </row>
    <row r="1147" spans="2:25" s="1823" customFormat="1" ht="48" customHeight="1" thickBot="1">
      <c r="B1147" s="1858">
        <v>0.58333333333333304</v>
      </c>
      <c r="C1147" s="1844"/>
      <c r="D1147" s="1998">
        <v>3</v>
      </c>
      <c r="E1147" s="1883">
        <v>1447</v>
      </c>
      <c r="F1147" s="2011">
        <v>19</v>
      </c>
      <c r="G1147" s="1883">
        <v>1463</v>
      </c>
      <c r="H1147" s="2010"/>
      <c r="I1147" s="1883"/>
      <c r="J1147" s="1862">
        <f>E1147+G1147+I1147</f>
        <v>2910</v>
      </c>
      <c r="K1147" s="1863">
        <f>J1147/450</f>
        <v>6.4666666666666668</v>
      </c>
      <c r="L1147" s="2000">
        <v>1</v>
      </c>
      <c r="M1147" s="1949">
        <v>1016</v>
      </c>
      <c r="N1147" s="1853">
        <v>8</v>
      </c>
      <c r="O1147" s="3316" t="s">
        <v>85</v>
      </c>
      <c r="P1147" s="3317"/>
      <c r="Q1147" s="1897">
        <v>2</v>
      </c>
      <c r="R1147" s="1898">
        <v>0</v>
      </c>
      <c r="S1147" s="2517" t="s">
        <v>86</v>
      </c>
      <c r="T1147" s="1950">
        <v>714</v>
      </c>
      <c r="U1147" s="1824"/>
      <c r="V1147" s="3298">
        <f>VLOOKUP(M1147,'[1]TABELA FRETE'!$A$6:$B$12,2,0)</f>
        <v>425.7</v>
      </c>
      <c r="W1147" s="3299"/>
      <c r="X1147" s="3300"/>
      <c r="Y1147" s="3301"/>
    </row>
    <row r="1148" spans="2:25" s="1823" customFormat="1" ht="48" customHeight="1" thickBot="1">
      <c r="B1148" s="1858">
        <v>0.58333333333333304</v>
      </c>
      <c r="C1148" s="1844"/>
      <c r="D1148" s="1998">
        <v>26</v>
      </c>
      <c r="E1148" s="1883">
        <v>2468</v>
      </c>
      <c r="F1148" s="1976"/>
      <c r="G1148" s="1872"/>
      <c r="H1148" s="2010"/>
      <c r="I1148" s="1883"/>
      <c r="J1148" s="1862">
        <f t="shared" si="123"/>
        <v>2468</v>
      </c>
      <c r="K1148" s="1863">
        <f t="shared" si="124"/>
        <v>5.4844444444444447</v>
      </c>
      <c r="L1148" s="2000">
        <v>1</v>
      </c>
      <c r="M1148" s="1949">
        <v>1016</v>
      </c>
      <c r="N1148" s="1853">
        <v>8</v>
      </c>
      <c r="O1148" s="3316" t="s">
        <v>159</v>
      </c>
      <c r="P1148" s="3317"/>
      <c r="Q1148" s="1897">
        <v>1</v>
      </c>
      <c r="R1148" s="1950">
        <v>0</v>
      </c>
      <c r="S1148" s="2510" t="s">
        <v>160</v>
      </c>
      <c r="T1148" s="1950">
        <v>456</v>
      </c>
      <c r="U1148" s="1824"/>
      <c r="V1148" s="3298">
        <f>VLOOKUP(M1148,'[1]TABELA FRETE'!$A$6:$B$12,2,0)</f>
        <v>425.7</v>
      </c>
      <c r="W1148" s="3299"/>
      <c r="X1148" s="3300"/>
      <c r="Y1148" s="3301"/>
    </row>
    <row r="1149" spans="2:25" s="1823" customFormat="1" ht="48" customHeight="1" thickBot="1">
      <c r="B1149" s="1858">
        <v>0.58333333333333304</v>
      </c>
      <c r="C1149" s="1844"/>
      <c r="D1149" s="1998">
        <v>32</v>
      </c>
      <c r="E1149" s="1883">
        <v>2188</v>
      </c>
      <c r="F1149" s="1999">
        <v>42</v>
      </c>
      <c r="G1149" s="1883">
        <v>2777</v>
      </c>
      <c r="H1149" s="2010"/>
      <c r="I1149" s="1883"/>
      <c r="J1149" s="1862">
        <f t="shared" si="123"/>
        <v>4965</v>
      </c>
      <c r="K1149" s="1863">
        <f t="shared" si="124"/>
        <v>11.033333333333333</v>
      </c>
      <c r="L1149" s="2000">
        <v>1</v>
      </c>
      <c r="M1149" s="1894" t="s">
        <v>7</v>
      </c>
      <c r="N1149" s="1895">
        <v>12</v>
      </c>
      <c r="O1149" s="3316" t="s">
        <v>94</v>
      </c>
      <c r="P1149" s="3317"/>
      <c r="Q1149" s="1897">
        <v>1</v>
      </c>
      <c r="R1149" s="1898">
        <v>1</v>
      </c>
      <c r="S1149" s="2517" t="s">
        <v>95</v>
      </c>
      <c r="T1149" s="1900">
        <v>184422</v>
      </c>
      <c r="U1149" s="1824"/>
      <c r="V1149" s="3298">
        <f>VLOOKUP(M1149,'[1]TABELA FRETE'!$A$6:$B$12,2,0)</f>
        <v>466.4</v>
      </c>
      <c r="W1149" s="3299"/>
      <c r="X1149" s="3300"/>
      <c r="Y1149" s="3301"/>
    </row>
    <row r="1150" spans="2:25" s="1823" customFormat="1" ht="48" customHeight="1" thickBot="1">
      <c r="B1150" s="1858">
        <v>0.58333333333333304</v>
      </c>
      <c r="C1150" s="1844"/>
      <c r="D1150" s="1998">
        <v>46</v>
      </c>
      <c r="E1150" s="1883">
        <v>3837</v>
      </c>
      <c r="F1150" s="1999"/>
      <c r="G1150" s="1883"/>
      <c r="H1150" s="2010"/>
      <c r="I1150" s="1883"/>
      <c r="J1150" s="1862">
        <f t="shared" si="123"/>
        <v>3837</v>
      </c>
      <c r="K1150" s="1863">
        <f t="shared" si="124"/>
        <v>8.5266666666666673</v>
      </c>
      <c r="L1150" s="1862">
        <v>1</v>
      </c>
      <c r="M1150" s="1949">
        <v>1016</v>
      </c>
      <c r="N1150" s="1853">
        <v>10</v>
      </c>
      <c r="O1150" s="3326" t="s">
        <v>72</v>
      </c>
      <c r="P1150" s="3327"/>
      <c r="Q1150" s="1897">
        <v>2</v>
      </c>
      <c r="R1150" s="1950">
        <v>0</v>
      </c>
      <c r="S1150" s="2510" t="s">
        <v>73</v>
      </c>
      <c r="T1150" s="1950">
        <v>184090</v>
      </c>
      <c r="U1150" s="1824"/>
      <c r="V1150" s="3298">
        <f>VLOOKUP(M1150,'[1]TABELA FRETE'!$A$6:$B$12,2,0)</f>
        <v>425.7</v>
      </c>
      <c r="W1150" s="3299"/>
      <c r="X1150" s="3300"/>
      <c r="Y1150" s="3301"/>
    </row>
    <row r="1151" spans="2:25" s="1823" customFormat="1" ht="63" customHeight="1" thickBot="1">
      <c r="B1151" s="1938">
        <v>0.58333333333333304</v>
      </c>
      <c r="C1151" s="2025"/>
      <c r="D1151" s="1809">
        <v>1129</v>
      </c>
      <c r="E1151" s="1874">
        <v>5500</v>
      </c>
      <c r="F1151" s="1976"/>
      <c r="G1151" s="1872"/>
      <c r="H1151" s="1977"/>
      <c r="I1151" s="1872"/>
      <c r="J1151" s="1862">
        <f>E1151+G1151+I1151</f>
        <v>5500</v>
      </c>
      <c r="K1151" s="1863">
        <f>J1151/450</f>
        <v>12.222222222222221</v>
      </c>
      <c r="L1151" s="1862">
        <v>1</v>
      </c>
      <c r="M1151" s="1949" t="s">
        <v>7</v>
      </c>
      <c r="N1151" s="1853">
        <v>12</v>
      </c>
      <c r="O1151" s="3316" t="s">
        <v>76</v>
      </c>
      <c r="P1151" s="3317"/>
      <c r="Q1151" s="1855">
        <v>1</v>
      </c>
      <c r="R1151" s="1950">
        <v>1</v>
      </c>
      <c r="S1151" s="2510" t="s">
        <v>77</v>
      </c>
      <c r="T1151" s="1950">
        <v>184708</v>
      </c>
      <c r="U1151" s="1824"/>
      <c r="V1151" s="3298">
        <f>VLOOKUP(M1151,'[1]TABELA FRETE'!$A$6:$B$12,2,0)</f>
        <v>466.4</v>
      </c>
      <c r="W1151" s="3299"/>
      <c r="X1151" s="3324"/>
      <c r="Y1151" s="3325"/>
    </row>
    <row r="1152" spans="2:25" s="1823" customFormat="1" ht="63" customHeight="1" thickBot="1">
      <c r="B1152" s="2139">
        <v>0.58333333333333304</v>
      </c>
      <c r="C1152" s="1844"/>
      <c r="D1152" s="2152" t="s">
        <v>87</v>
      </c>
      <c r="E1152" s="2141">
        <v>3763</v>
      </c>
      <c r="F1152" s="478">
        <v>1129</v>
      </c>
      <c r="G1152" s="2141">
        <v>638</v>
      </c>
      <c r="H1152" s="2143"/>
      <c r="I1152" s="2141"/>
      <c r="J1152" s="2144">
        <f t="shared" si="123"/>
        <v>4401</v>
      </c>
      <c r="K1152" s="2145">
        <f t="shared" si="124"/>
        <v>9.7799999999999994</v>
      </c>
      <c r="L1152" s="2144">
        <v>1</v>
      </c>
      <c r="M1152" s="1960" t="s">
        <v>7</v>
      </c>
      <c r="N1152" s="1961">
        <v>12</v>
      </c>
      <c r="O1152" s="3318" t="s">
        <v>153</v>
      </c>
      <c r="P1152" s="3319"/>
      <c r="Q1152" s="1962">
        <v>1</v>
      </c>
      <c r="R1152" s="1965">
        <v>0</v>
      </c>
      <c r="S1152" s="2519" t="s">
        <v>154</v>
      </c>
      <c r="T1152" s="2509">
        <v>664</v>
      </c>
      <c r="U1152" s="1824"/>
      <c r="V1152" s="3320">
        <f>VLOOKUP(M1152,'[1]TABELA FRETE'!$D$25:$E$29,2,0)</f>
        <v>286</v>
      </c>
      <c r="W1152" s="3321"/>
      <c r="X1152" s="3300"/>
      <c r="Y1152" s="3301"/>
    </row>
    <row r="1153" spans="2:25" s="1916" customFormat="1" ht="6" customHeight="1" thickBot="1">
      <c r="B1153" s="1844"/>
      <c r="C1153" s="1844"/>
      <c r="D1153" s="2032"/>
      <c r="E1153" s="1919"/>
      <c r="F1153" s="2033"/>
      <c r="G1153" s="1919"/>
      <c r="H1153" s="1920"/>
      <c r="I1153" s="1919"/>
      <c r="J1153" s="1919"/>
      <c r="K1153" s="1921"/>
      <c r="L1153" s="1919"/>
      <c r="M1153" s="1966"/>
      <c r="N1153" s="1967"/>
      <c r="O1153" s="1968"/>
      <c r="P1153" s="1968"/>
      <c r="Q1153" s="1968"/>
      <c r="R1153" s="1968"/>
      <c r="S1153" s="2034"/>
      <c r="T1153" s="1968"/>
      <c r="U1153" s="1927"/>
      <c r="V1153" s="1928"/>
      <c r="W1153" s="1928"/>
      <c r="X1153" s="1929"/>
      <c r="Y1153" s="1929"/>
    </row>
    <row r="1154" spans="2:25" s="1823" customFormat="1" ht="48" customHeight="1" thickBot="1">
      <c r="B1154" s="1843">
        <v>0.70833333333333304</v>
      </c>
      <c r="C1154" s="1844"/>
      <c r="D1154" s="2035">
        <v>33</v>
      </c>
      <c r="E1154" s="1846">
        <v>2597</v>
      </c>
      <c r="F1154" s="2036">
        <v>36</v>
      </c>
      <c r="G1154" s="1846">
        <v>3096</v>
      </c>
      <c r="H1154" s="1932"/>
      <c r="I1154" s="2037"/>
      <c r="J1154" s="2038">
        <f t="shared" ref="J1154:J1163" si="125">E1154+G1154+I1154</f>
        <v>5693</v>
      </c>
      <c r="K1154" s="2039">
        <f t="shared" ref="K1154:K1162" si="126">J1154/450</f>
        <v>12.651111111111112</v>
      </c>
      <c r="L1154" s="2040">
        <v>1</v>
      </c>
      <c r="M1154" s="1933" t="s">
        <v>7</v>
      </c>
      <c r="N1154" s="1934">
        <v>12</v>
      </c>
      <c r="O1154" s="3328" t="s">
        <v>50</v>
      </c>
      <c r="P1154" s="3329"/>
      <c r="Q1154" s="2041">
        <v>2</v>
      </c>
      <c r="R1154" s="2042">
        <v>0</v>
      </c>
      <c r="S1154" s="2516" t="s">
        <v>105</v>
      </c>
      <c r="T1154" s="2043">
        <v>612</v>
      </c>
      <c r="U1154" s="1824"/>
      <c r="V1154" s="3298">
        <f>VLOOKUP(M1154,'[1]TABELA FRETE'!$A$6:$B$12,2,0)</f>
        <v>466.4</v>
      </c>
      <c r="W1154" s="3299"/>
      <c r="X1154" s="3300"/>
      <c r="Y1154" s="3301"/>
    </row>
    <row r="1155" spans="2:25" s="1823" customFormat="1" ht="48" customHeight="1" thickBot="1">
      <c r="B1155" s="1938">
        <v>0.70833333333333304</v>
      </c>
      <c r="C1155" s="1844"/>
      <c r="D1155" s="2044">
        <v>30</v>
      </c>
      <c r="E1155" s="1872">
        <v>2181</v>
      </c>
      <c r="F1155" s="2045"/>
      <c r="G1155" s="1860"/>
      <c r="H1155" s="2013"/>
      <c r="I1155" s="1872"/>
      <c r="J1155" s="1952">
        <f t="shared" si="125"/>
        <v>2181</v>
      </c>
      <c r="K1155" s="2014">
        <f t="shared" si="126"/>
        <v>4.8466666666666667</v>
      </c>
      <c r="L1155" s="1952">
        <v>1</v>
      </c>
      <c r="M1155" s="1949">
        <v>1016</v>
      </c>
      <c r="N1155" s="1853">
        <v>8</v>
      </c>
      <c r="O1155" s="3330" t="s">
        <v>44</v>
      </c>
      <c r="P1155" s="3331"/>
      <c r="Q1155" s="1889">
        <v>2</v>
      </c>
      <c r="R1155" s="1950">
        <v>0</v>
      </c>
      <c r="S1155" s="2511" t="s">
        <v>103</v>
      </c>
      <c r="T1155" s="1890">
        <v>674</v>
      </c>
      <c r="U1155" s="1824"/>
      <c r="V1155" s="3298">
        <f>VLOOKUP(M1155,'[1]TABELA FRETE'!$A$6:$B$12,2,0)</f>
        <v>425.7</v>
      </c>
      <c r="W1155" s="3299"/>
      <c r="X1155" s="3300"/>
      <c r="Y1155" s="3301"/>
    </row>
    <row r="1156" spans="2:25" s="1823" customFormat="1" ht="48" customHeight="1" thickBot="1">
      <c r="B1156" s="1938">
        <v>0.70833333333333304</v>
      </c>
      <c r="C1156" s="1844"/>
      <c r="D1156" s="2046">
        <v>21</v>
      </c>
      <c r="E1156" s="1883">
        <v>3002</v>
      </c>
      <c r="F1156" s="2047"/>
      <c r="G1156" s="1992"/>
      <c r="H1156" s="2010"/>
      <c r="I1156" s="1883"/>
      <c r="J1156" s="1952">
        <f t="shared" si="125"/>
        <v>3002</v>
      </c>
      <c r="K1156" s="2014">
        <f t="shared" si="126"/>
        <v>6.6711111111111112</v>
      </c>
      <c r="L1156" s="1952">
        <v>1</v>
      </c>
      <c r="M1156" s="1949">
        <v>1016</v>
      </c>
      <c r="N1156" s="1853">
        <v>7</v>
      </c>
      <c r="O1156" s="3330" t="s">
        <v>141</v>
      </c>
      <c r="P1156" s="3331"/>
      <c r="Q1156" s="1889">
        <v>2</v>
      </c>
      <c r="R1156" s="1950">
        <v>0</v>
      </c>
      <c r="S1156" s="2511" t="s">
        <v>730</v>
      </c>
      <c r="T1156" s="1890">
        <v>605</v>
      </c>
      <c r="U1156" s="1824"/>
      <c r="V1156" s="3298">
        <f>VLOOKUP(M1156,'[1]TABELA FRETE'!$A$6:$B$12,2,0)</f>
        <v>425.7</v>
      </c>
      <c r="W1156" s="3299"/>
      <c r="X1156" s="3300"/>
      <c r="Y1156" s="3301"/>
    </row>
    <row r="1157" spans="2:25" s="1823" customFormat="1" ht="49.5" customHeight="1" thickBot="1">
      <c r="B1157" s="1938">
        <v>0.70833333333333304</v>
      </c>
      <c r="C1157" s="1844"/>
      <c r="D1157" s="2044">
        <v>4</v>
      </c>
      <c r="E1157" s="1872">
        <v>1743</v>
      </c>
      <c r="F1157" s="2048"/>
      <c r="G1157" s="1872"/>
      <c r="H1157" s="2049"/>
      <c r="I1157" s="1872"/>
      <c r="J1157" s="1952">
        <f t="shared" si="125"/>
        <v>1743</v>
      </c>
      <c r="K1157" s="2014">
        <f t="shared" si="126"/>
        <v>3.8733333333333335</v>
      </c>
      <c r="L1157" s="1952">
        <v>1</v>
      </c>
      <c r="M1157" s="2050">
        <v>1016</v>
      </c>
      <c r="N1157" s="1981">
        <v>8</v>
      </c>
      <c r="O1157" s="3332" t="s">
        <v>92</v>
      </c>
      <c r="P1157" s="3333"/>
      <c r="Q1157" s="2052">
        <v>2</v>
      </c>
      <c r="R1157" s="1982">
        <v>0</v>
      </c>
      <c r="S1157" s="2518" t="s">
        <v>104</v>
      </c>
      <c r="T1157" s="2053">
        <v>576</v>
      </c>
      <c r="U1157" s="1927"/>
      <c r="V1157" s="3298">
        <f>VLOOKUP(M1157,'[1]TABELA FRETE'!$A$6:$B$12,2,0)</f>
        <v>425.7</v>
      </c>
      <c r="W1157" s="3299"/>
      <c r="X1157" s="3300"/>
      <c r="Y1157" s="3301"/>
    </row>
    <row r="1158" spans="2:25" s="1823" customFormat="1" ht="49.5" customHeight="1" thickBot="1">
      <c r="B1158" s="1938">
        <v>0.70833333333333304</v>
      </c>
      <c r="C1158" s="1844"/>
      <c r="D1158" s="2044">
        <v>18</v>
      </c>
      <c r="E1158" s="1872">
        <v>1746</v>
      </c>
      <c r="F1158" s="2054"/>
      <c r="G1158" s="1883"/>
      <c r="H1158" s="2055"/>
      <c r="I1158" s="1883"/>
      <c r="J1158" s="1952">
        <f t="shared" si="125"/>
        <v>1746</v>
      </c>
      <c r="K1158" s="2014">
        <f t="shared" si="126"/>
        <v>3.88</v>
      </c>
      <c r="L1158" s="1952">
        <v>1</v>
      </c>
      <c r="M1158" s="2050">
        <v>1016</v>
      </c>
      <c r="N1158" s="1981">
        <v>7</v>
      </c>
      <c r="O1158" s="3334" t="s">
        <v>56</v>
      </c>
      <c r="P1158" s="3335"/>
      <c r="Q1158" s="2052">
        <v>1</v>
      </c>
      <c r="R1158" s="1982">
        <v>0</v>
      </c>
      <c r="S1158" s="2518" t="s">
        <v>57</v>
      </c>
      <c r="T1158" s="2053">
        <v>663</v>
      </c>
      <c r="U1158" s="1927"/>
      <c r="V1158" s="3298">
        <f>VLOOKUP(M1158,'[1]TABELA FRETE'!$A$6:$B$12,2,0)</f>
        <v>425.7</v>
      </c>
      <c r="W1158" s="3299"/>
      <c r="X1158" s="3300"/>
      <c r="Y1158" s="3301"/>
    </row>
    <row r="1159" spans="2:25" s="1823" customFormat="1" ht="48" customHeight="1" thickBot="1">
      <c r="B1159" s="1858">
        <v>0.70833333333333304</v>
      </c>
      <c r="C1159" s="1844"/>
      <c r="D1159" s="2044">
        <v>27</v>
      </c>
      <c r="E1159" s="1872">
        <v>1356</v>
      </c>
      <c r="F1159" s="2058">
        <v>15</v>
      </c>
      <c r="G1159" s="1885">
        <v>2290</v>
      </c>
      <c r="H1159" s="2059"/>
      <c r="I1159" s="1883"/>
      <c r="J1159" s="1952">
        <f t="shared" si="125"/>
        <v>3646</v>
      </c>
      <c r="K1159" s="2014">
        <f t="shared" si="126"/>
        <v>8.1022222222222222</v>
      </c>
      <c r="L1159" s="1952">
        <v>1</v>
      </c>
      <c r="M1159" s="1949">
        <v>1016</v>
      </c>
      <c r="N1159" s="1853">
        <v>8</v>
      </c>
      <c r="O1159" s="3326" t="s">
        <v>46</v>
      </c>
      <c r="P1159" s="3327"/>
      <c r="Q1159" s="1889">
        <v>2</v>
      </c>
      <c r="R1159" s="1950">
        <v>0</v>
      </c>
      <c r="S1159" s="2511" t="s">
        <v>47</v>
      </c>
      <c r="T1159" s="1890">
        <v>48</v>
      </c>
      <c r="U1159" s="1824"/>
      <c r="V1159" s="3298">
        <f>VLOOKUP(M1159,'[1]TABELA FRETE'!$A$6:$B$12,2,0)</f>
        <v>425.7</v>
      </c>
      <c r="W1159" s="3299"/>
      <c r="X1159" s="3300"/>
      <c r="Y1159" s="3301"/>
    </row>
    <row r="1160" spans="2:25" s="1823" customFormat="1" ht="48" customHeight="1" thickBot="1">
      <c r="B1160" s="1858">
        <v>0.70833333333333304</v>
      </c>
      <c r="C1160" s="1844"/>
      <c r="D1160" s="2044">
        <v>7</v>
      </c>
      <c r="E1160" s="1872">
        <v>3392</v>
      </c>
      <c r="F1160" s="2012"/>
      <c r="G1160" s="1874"/>
      <c r="H1160" s="2013"/>
      <c r="I1160" s="1872"/>
      <c r="J1160" s="1952">
        <f t="shared" si="125"/>
        <v>3392</v>
      </c>
      <c r="K1160" s="2014">
        <f t="shared" si="126"/>
        <v>7.5377777777777775</v>
      </c>
      <c r="L1160" s="1952">
        <v>1</v>
      </c>
      <c r="M1160" s="1949">
        <v>1016</v>
      </c>
      <c r="N1160" s="1853">
        <v>10</v>
      </c>
      <c r="O1160" s="3326" t="s">
        <v>81</v>
      </c>
      <c r="P1160" s="3327"/>
      <c r="Q1160" s="1889">
        <v>2</v>
      </c>
      <c r="R1160" s="1950">
        <v>0</v>
      </c>
      <c r="S1160" s="2511" t="s">
        <v>82</v>
      </c>
      <c r="T1160" s="1890">
        <v>606</v>
      </c>
      <c r="U1160" s="1824"/>
      <c r="V1160" s="3298">
        <f>VLOOKUP(M1160,'[1]TABELA FRETE'!$A$6:$B$12,2,0)</f>
        <v>425.7</v>
      </c>
      <c r="W1160" s="3299"/>
      <c r="X1160" s="3300"/>
      <c r="Y1160" s="3301"/>
    </row>
    <row r="1161" spans="2:25" s="1823" customFormat="1" ht="48" customHeight="1" thickBot="1">
      <c r="B1161" s="1858">
        <v>0.70833333333333304</v>
      </c>
      <c r="C1161" s="1844"/>
      <c r="D1161" s="2046">
        <v>48</v>
      </c>
      <c r="E1161" s="1883">
        <v>2118</v>
      </c>
      <c r="F1161" s="2060"/>
      <c r="G1161" s="1872"/>
      <c r="H1161" s="1940"/>
      <c r="I1161" s="1874"/>
      <c r="J1161" s="1862">
        <f t="shared" si="125"/>
        <v>2118</v>
      </c>
      <c r="K1161" s="1863">
        <f t="shared" si="126"/>
        <v>4.706666666666667</v>
      </c>
      <c r="L1161" s="1862">
        <v>1</v>
      </c>
      <c r="M1161" s="2050">
        <v>1016</v>
      </c>
      <c r="N1161" s="1981">
        <v>8</v>
      </c>
      <c r="O1161" s="3334" t="s">
        <v>85</v>
      </c>
      <c r="P1161" s="3335"/>
      <c r="Q1161" s="2052">
        <v>2</v>
      </c>
      <c r="R1161" s="1982">
        <v>0</v>
      </c>
      <c r="S1161" s="2518" t="s">
        <v>86</v>
      </c>
      <c r="T1161" s="2053">
        <v>714</v>
      </c>
      <c r="U1161" s="1824"/>
      <c r="V1161" s="3298">
        <f>VLOOKUP(M1161,'[1]TABELA FRETE'!$A$6:$B$12,2,0)</f>
        <v>425.7</v>
      </c>
      <c r="W1161" s="3299"/>
      <c r="X1161" s="3324"/>
      <c r="Y1161" s="3325"/>
    </row>
    <row r="1162" spans="2:25" s="1823" customFormat="1" ht="48" customHeight="1" thickBot="1">
      <c r="B1162" s="1901">
        <v>0.70833333333333304</v>
      </c>
      <c r="C1162" s="1844"/>
      <c r="D1162" s="2061">
        <v>13</v>
      </c>
      <c r="E1162" s="1903">
        <v>2643</v>
      </c>
      <c r="F1162" s="2062"/>
      <c r="G1162" s="1905"/>
      <c r="H1162" s="2063"/>
      <c r="I1162" s="1905"/>
      <c r="J1162" s="2064">
        <f t="shared" si="125"/>
        <v>2643</v>
      </c>
      <c r="K1162" s="2065">
        <f t="shared" si="126"/>
        <v>5.8733333333333331</v>
      </c>
      <c r="L1162" s="2064">
        <v>1</v>
      </c>
      <c r="M1162" s="2066" t="s">
        <v>7</v>
      </c>
      <c r="N1162" s="2067">
        <v>12</v>
      </c>
      <c r="O1162" s="3336" t="s">
        <v>68</v>
      </c>
      <c r="P1162" s="3337"/>
      <c r="Q1162" s="2068">
        <v>1</v>
      </c>
      <c r="R1162" s="1913">
        <v>0</v>
      </c>
      <c r="S1162" s="2514" t="s">
        <v>174</v>
      </c>
      <c r="T1162" s="1912">
        <v>808</v>
      </c>
      <c r="U1162" s="1824"/>
      <c r="V1162" s="3320">
        <f>VLOOKUP(M1162,'[1]TABELA FRETE'!$D$7:$E$12,2,0)</f>
        <v>1161.5999999999999</v>
      </c>
      <c r="W1162" s="3321"/>
      <c r="X1162" s="3310"/>
      <c r="Y1162" s="3311"/>
    </row>
    <row r="1163" spans="2:25" s="1823" customFormat="1" ht="49.5" customHeight="1" thickBot="1">
      <c r="B1163" s="2069" t="s">
        <v>108</v>
      </c>
      <c r="C1163" s="2070"/>
      <c r="D1163" s="2071"/>
      <c r="E1163" s="2072">
        <f>SUM(E1120:E1162)</f>
        <v>124475</v>
      </c>
      <c r="F1163" s="2072" t="s">
        <v>109</v>
      </c>
      <c r="G1163" s="2072">
        <f>SUM(G1120:G1162)</f>
        <v>28059</v>
      </c>
      <c r="H1163" s="2072" t="s">
        <v>109</v>
      </c>
      <c r="I1163" s="1836">
        <f>SUM(I1120:I1162)</f>
        <v>0</v>
      </c>
      <c r="J1163" s="1836">
        <f t="shared" si="125"/>
        <v>152534</v>
      </c>
      <c r="K1163" s="2073">
        <f>SUM(K1120:K1162)</f>
        <v>338.23777777777775</v>
      </c>
      <c r="L1163" s="2074">
        <f>SUM(L1120:L1162)</f>
        <v>40</v>
      </c>
      <c r="M1163" s="2075" t="s">
        <v>110</v>
      </c>
      <c r="N1163" s="2069">
        <f>SUM(N1120:N1162)</f>
        <v>384</v>
      </c>
      <c r="O1163" s="2072" t="s">
        <v>32</v>
      </c>
      <c r="P1163" s="2072"/>
      <c r="Q1163" s="1836"/>
      <c r="R1163" s="2076">
        <f>SUM(R1120:R1162)</f>
        <v>5</v>
      </c>
      <c r="S1163" s="2077" t="s">
        <v>111</v>
      </c>
      <c r="T1163" s="2078"/>
      <c r="U1163" s="1824"/>
      <c r="V1163" s="3338">
        <f>SUM(V1120:W1162)</f>
        <v>18018.000000000004</v>
      </c>
      <c r="W1163" s="3339"/>
      <c r="X1163" s="3342">
        <f>COUNT(X1120:Y1162)</f>
        <v>0</v>
      </c>
      <c r="Y1163" s="3343"/>
    </row>
    <row r="1164" spans="2:25" s="1823" customFormat="1" ht="42" customHeight="1" thickBot="1">
      <c r="B1164" s="3288" t="s">
        <v>112</v>
      </c>
      <c r="C1164" s="3346"/>
      <c r="D1164" s="3346"/>
      <c r="E1164" s="3346"/>
      <c r="F1164" s="3346"/>
      <c r="G1164" s="3346"/>
      <c r="H1164" s="3346"/>
      <c r="I1164" s="3346"/>
      <c r="J1164" s="3346"/>
      <c r="K1164" s="2079">
        <v>44</v>
      </c>
      <c r="L1164" s="3346" t="s">
        <v>113</v>
      </c>
      <c r="M1164" s="3289"/>
      <c r="N1164" s="3347" t="s">
        <v>114</v>
      </c>
      <c r="O1164" s="3348"/>
      <c r="P1164" s="3348"/>
      <c r="Q1164" s="3348"/>
      <c r="R1164" s="3349"/>
      <c r="S1164" s="3347" t="s">
        <v>115</v>
      </c>
      <c r="T1164" s="3349"/>
      <c r="U1164" s="1824"/>
      <c r="V1164" s="3338"/>
      <c r="W1164" s="3339"/>
      <c r="X1164" s="3342"/>
      <c r="Y1164" s="3343"/>
    </row>
    <row r="1165" spans="2:25" s="1823" customFormat="1" ht="6" customHeight="1" thickBot="1">
      <c r="B1165" s="3350" t="s">
        <v>116</v>
      </c>
      <c r="C1165" s="3351"/>
      <c r="D1165" s="3351"/>
      <c r="E1165" s="3354">
        <f>L1163</f>
        <v>40</v>
      </c>
      <c r="F1165" s="3350" t="s">
        <v>30</v>
      </c>
      <c r="G1165" s="3351"/>
      <c r="H1165" s="3354">
        <f>J1163</f>
        <v>152534</v>
      </c>
      <c r="I1165" s="3356"/>
      <c r="J1165" s="3351" t="s">
        <v>117</v>
      </c>
      <c r="K1165" s="3356">
        <f>H1165/E1165</f>
        <v>3813.35</v>
      </c>
      <c r="L1165" s="3354" t="s">
        <v>118</v>
      </c>
      <c r="M1165" s="3354"/>
      <c r="N1165" s="3354"/>
      <c r="O1165" s="3356">
        <v>44</v>
      </c>
      <c r="P1165" s="2080"/>
      <c r="Q1165" s="2080"/>
      <c r="R1165" s="2080"/>
      <c r="S1165" s="2080"/>
      <c r="T1165" s="2081"/>
      <c r="U1165" s="1824"/>
      <c r="V1165" s="3340"/>
      <c r="W1165" s="3341"/>
      <c r="X1165" s="3344"/>
      <c r="Y1165" s="3345"/>
    </row>
    <row r="1166" spans="2:25" s="1823" customFormat="1" ht="42" customHeight="1" thickBot="1">
      <c r="B1166" s="3352"/>
      <c r="C1166" s="3353"/>
      <c r="D1166" s="3353"/>
      <c r="E1166" s="3355"/>
      <c r="F1166" s="3352"/>
      <c r="G1166" s="3353"/>
      <c r="H1166" s="3355"/>
      <c r="I1166" s="3357"/>
      <c r="J1166" s="3353"/>
      <c r="K1166" s="3357"/>
      <c r="L1166" s="3355"/>
      <c r="M1166" s="3355"/>
      <c r="N1166" s="3355"/>
      <c r="O1166" s="3357"/>
      <c r="P1166" s="2082"/>
      <c r="Q1166" s="3358" t="s">
        <v>119</v>
      </c>
      <c r="R1166" s="3359"/>
      <c r="S1166" s="3359"/>
      <c r="T1166" s="3360"/>
      <c r="U1166" s="1824"/>
      <c r="V1166" s="3361" t="s">
        <v>120</v>
      </c>
      <c r="W1166" s="3362"/>
      <c r="X1166" s="3365" t="s">
        <v>121</v>
      </c>
      <c r="Y1166" s="3366"/>
    </row>
    <row r="1167" spans="2:25" s="1823" customFormat="1" ht="39" customHeight="1">
      <c r="B1167" s="3369" t="s">
        <v>122</v>
      </c>
      <c r="C1167" s="3371" t="s">
        <v>33</v>
      </c>
      <c r="D1167" s="3372"/>
      <c r="E1167" s="3375" t="s">
        <v>123</v>
      </c>
      <c r="F1167" s="3376"/>
      <c r="G1167" s="3376"/>
      <c r="H1167" s="3376"/>
      <c r="I1167" s="3376"/>
      <c r="J1167" s="3376"/>
      <c r="K1167" s="3376"/>
      <c r="L1167" s="3376"/>
      <c r="M1167" s="3376"/>
      <c r="N1167" s="3376"/>
      <c r="O1167" s="3377"/>
      <c r="P1167" s="2083"/>
      <c r="Q1167" s="3384" t="s">
        <v>731</v>
      </c>
      <c r="R1167" s="3385"/>
      <c r="S1167" s="3385"/>
      <c r="T1167" s="3386"/>
      <c r="U1167" s="1824"/>
      <c r="V1167" s="3361"/>
      <c r="W1167" s="3362"/>
      <c r="X1167" s="3365"/>
      <c r="Y1167" s="3366"/>
    </row>
    <row r="1168" spans="2:25" s="1823" customFormat="1" ht="39" customHeight="1" thickBot="1">
      <c r="B1168" s="3370"/>
      <c r="C1168" s="3373"/>
      <c r="D1168" s="3374"/>
      <c r="E1168" s="3378"/>
      <c r="F1168" s="3379"/>
      <c r="G1168" s="3379"/>
      <c r="H1168" s="3379"/>
      <c r="I1168" s="3379"/>
      <c r="J1168" s="3379"/>
      <c r="K1168" s="3379"/>
      <c r="L1168" s="3379"/>
      <c r="M1168" s="3379"/>
      <c r="N1168" s="3379"/>
      <c r="O1168" s="3380"/>
      <c r="P1168" s="2084"/>
      <c r="Q1168" s="3387" t="s">
        <v>732</v>
      </c>
      <c r="R1168" s="3388"/>
      <c r="S1168" s="3388"/>
      <c r="T1168" s="3389"/>
      <c r="U1168" s="1824"/>
      <c r="V1168" s="3363"/>
      <c r="W1168" s="3364"/>
      <c r="X1168" s="3367"/>
      <c r="Y1168" s="3368"/>
    </row>
    <row r="1169" spans="1:25" s="1823" customFormat="1" ht="39" customHeight="1" thickBot="1">
      <c r="B1169" s="2085" t="s">
        <v>9</v>
      </c>
      <c r="C1169" s="3390">
        <f>COUNTIF(M1120:M1162,"kia")</f>
        <v>2</v>
      </c>
      <c r="D1169" s="3391"/>
      <c r="E1169" s="3381"/>
      <c r="F1169" s="3382"/>
      <c r="G1169" s="3382"/>
      <c r="H1169" s="3382"/>
      <c r="I1169" s="3382"/>
      <c r="J1169" s="3382"/>
      <c r="K1169" s="3382"/>
      <c r="L1169" s="3382"/>
      <c r="M1169" s="3382"/>
      <c r="N1169" s="3382"/>
      <c r="O1169" s="3383"/>
      <c r="P1169" s="2084"/>
      <c r="Q1169" s="3392" t="s">
        <v>126</v>
      </c>
      <c r="R1169" s="3393"/>
      <c r="S1169" s="3393"/>
      <c r="T1169" s="3394"/>
      <c r="U1169" s="1824"/>
      <c r="V1169" s="1838"/>
      <c r="W1169" s="1838"/>
      <c r="X1169" s="1838"/>
      <c r="Y1169" s="1838"/>
    </row>
    <row r="1170" spans="1:25" s="1823" customFormat="1" ht="39" customHeight="1">
      <c r="B1170" s="2086" t="s">
        <v>8</v>
      </c>
      <c r="C1170" s="3395">
        <f>COUNTIF(M1120:M1162,"iveco")</f>
        <v>0</v>
      </c>
      <c r="D1170" s="3396"/>
      <c r="E1170" s="3397" t="s">
        <v>127</v>
      </c>
      <c r="F1170" s="3398"/>
      <c r="G1170" s="3398"/>
      <c r="H1170" s="3398"/>
      <c r="I1170" s="3398"/>
      <c r="J1170" s="3398"/>
      <c r="K1170" s="3398"/>
      <c r="L1170" s="3398"/>
      <c r="M1170" s="3398"/>
      <c r="N1170" s="3398"/>
      <c r="O1170" s="3399"/>
      <c r="P1170" s="2084"/>
      <c r="Q1170" s="3403" t="s">
        <v>733</v>
      </c>
      <c r="R1170" s="3404"/>
      <c r="S1170" s="3404"/>
      <c r="T1170" s="3405"/>
      <c r="U1170" s="1824"/>
      <c r="V1170" s="3412" t="s">
        <v>129</v>
      </c>
      <c r="W1170" s="3413"/>
      <c r="X1170" s="3413"/>
      <c r="Y1170" s="3414"/>
    </row>
    <row r="1171" spans="1:25" s="1823" customFormat="1" ht="39" customHeight="1" thickBot="1">
      <c r="B1171" s="2086">
        <v>1016</v>
      </c>
      <c r="C1171" s="3395">
        <f>COUNTIF(M1120:M1162,"1016")</f>
        <v>20</v>
      </c>
      <c r="D1171" s="3396"/>
      <c r="E1171" s="3400"/>
      <c r="F1171" s="3401"/>
      <c r="G1171" s="3401"/>
      <c r="H1171" s="3401"/>
      <c r="I1171" s="3401"/>
      <c r="J1171" s="3401"/>
      <c r="K1171" s="3401"/>
      <c r="L1171" s="3401"/>
      <c r="M1171" s="3401"/>
      <c r="N1171" s="3401"/>
      <c r="O1171" s="3402"/>
      <c r="P1171" s="2084"/>
      <c r="Q1171" s="3406"/>
      <c r="R1171" s="3407"/>
      <c r="S1171" s="3407"/>
      <c r="T1171" s="3408"/>
      <c r="U1171" s="1824"/>
      <c r="V1171" s="3415" t="s">
        <v>130</v>
      </c>
      <c r="W1171" s="3416"/>
      <c r="X1171" s="3416"/>
      <c r="Y1171" s="3417"/>
    </row>
    <row r="1172" spans="1:25" s="1823" customFormat="1" ht="39" customHeight="1" thickBot="1">
      <c r="B1172" s="2086" t="s">
        <v>7</v>
      </c>
      <c r="C1172" s="3395">
        <f>COUNTIF(M1120:M1162,"toco")</f>
        <v>14</v>
      </c>
      <c r="D1172" s="3396"/>
      <c r="E1172" s="3421" t="s">
        <v>131</v>
      </c>
      <c r="F1172" s="3422"/>
      <c r="G1172" s="3422"/>
      <c r="H1172" s="3422"/>
      <c r="I1172" s="3422"/>
      <c r="J1172" s="3422"/>
      <c r="K1172" s="3422"/>
      <c r="L1172" s="3422"/>
      <c r="M1172" s="3422"/>
      <c r="N1172" s="3422"/>
      <c r="O1172" s="3423"/>
      <c r="P1172" s="2083"/>
      <c r="Q1172" s="3409"/>
      <c r="R1172" s="3410"/>
      <c r="S1172" s="3410"/>
      <c r="T1172" s="3411"/>
      <c r="U1172" s="1824"/>
      <c r="V1172" s="3418"/>
      <c r="W1172" s="3419"/>
      <c r="X1172" s="3419"/>
      <c r="Y1172" s="3420"/>
    </row>
    <row r="1173" spans="1:25" s="1823" customFormat="1" ht="39" customHeight="1" thickBot="1">
      <c r="B1173" s="2087" t="s">
        <v>6</v>
      </c>
      <c r="C1173" s="3427">
        <f>COUNTIF(M1120:M1162,"truck")</f>
        <v>4</v>
      </c>
      <c r="D1173" s="3428"/>
      <c r="E1173" s="3424"/>
      <c r="F1173" s="3425"/>
      <c r="G1173" s="3425"/>
      <c r="H1173" s="3425"/>
      <c r="I1173" s="3425"/>
      <c r="J1173" s="3425"/>
      <c r="K1173" s="3425"/>
      <c r="L1173" s="3425"/>
      <c r="M1173" s="3425"/>
      <c r="N1173" s="3425"/>
      <c r="O1173" s="3426"/>
      <c r="P1173" s="2083"/>
      <c r="Q1173" s="3429" t="s">
        <v>132</v>
      </c>
      <c r="R1173" s="3430"/>
      <c r="S1173" s="3430"/>
      <c r="T1173" s="3431"/>
      <c r="U1173" s="1824"/>
      <c r="V1173" s="3435" t="s">
        <v>133</v>
      </c>
      <c r="W1173" s="3436"/>
      <c r="X1173" s="3441">
        <f>SUM(E1120:E1162,G1120:G1162,I1120:I1162)</f>
        <v>152534</v>
      </c>
      <c r="Y1173" s="3442"/>
    </row>
    <row r="1174" spans="1:25" s="1823" customFormat="1" ht="39" customHeight="1">
      <c r="B1174" s="3369" t="s">
        <v>134</v>
      </c>
      <c r="C1174" s="3371">
        <f>SUM(C1169:D1173)</f>
        <v>40</v>
      </c>
      <c r="D1174" s="3372"/>
      <c r="E1174" s="3447" t="s">
        <v>135</v>
      </c>
      <c r="F1174" s="3448"/>
      <c r="G1174" s="3448"/>
      <c r="H1174" s="3448"/>
      <c r="I1174" s="3448"/>
      <c r="J1174" s="3448"/>
      <c r="K1174" s="3448"/>
      <c r="L1174" s="3448"/>
      <c r="M1174" s="3448"/>
      <c r="N1174" s="3448"/>
      <c r="O1174" s="3449"/>
      <c r="P1174" s="2088"/>
      <c r="Q1174" s="3429"/>
      <c r="R1174" s="3430"/>
      <c r="S1174" s="3430"/>
      <c r="T1174" s="3431"/>
      <c r="U1174" s="2089"/>
      <c r="V1174" s="3437"/>
      <c r="W1174" s="3438"/>
      <c r="X1174" s="3443"/>
      <c r="Y1174" s="3444"/>
    </row>
    <row r="1175" spans="1:25" s="1823" customFormat="1" ht="39" customHeight="1" thickBot="1">
      <c r="B1175" s="3370"/>
      <c r="C1175" s="3373"/>
      <c r="D1175" s="3374"/>
      <c r="E1175" s="3424"/>
      <c r="F1175" s="3425"/>
      <c r="G1175" s="3425"/>
      <c r="H1175" s="3425"/>
      <c r="I1175" s="3425"/>
      <c r="J1175" s="3425"/>
      <c r="K1175" s="3425"/>
      <c r="L1175" s="3425"/>
      <c r="M1175" s="3425"/>
      <c r="N1175" s="3425"/>
      <c r="O1175" s="3426"/>
      <c r="P1175" s="2090"/>
      <c r="Q1175" s="3429"/>
      <c r="R1175" s="3430"/>
      <c r="S1175" s="3430"/>
      <c r="T1175" s="3431"/>
      <c r="U1175" s="2089"/>
      <c r="V1175" s="3437"/>
      <c r="W1175" s="3438"/>
      <c r="X1175" s="3443"/>
      <c r="Y1175" s="3444"/>
    </row>
    <row r="1176" spans="1:25" s="1842" customFormat="1" ht="39" customHeight="1" thickBot="1">
      <c r="B1176" s="2091" t="s">
        <v>136</v>
      </c>
      <c r="C1176" s="3450" t="s">
        <v>137</v>
      </c>
      <c r="D1176" s="3451"/>
      <c r="E1176" s="3451"/>
      <c r="F1176" s="3451"/>
      <c r="G1176" s="3451"/>
      <c r="H1176" s="3451"/>
      <c r="I1176" s="3451"/>
      <c r="J1176" s="3451"/>
      <c r="K1176" s="3451"/>
      <c r="L1176" s="3451"/>
      <c r="M1176" s="3451"/>
      <c r="N1176" s="3451"/>
      <c r="O1176" s="3452"/>
      <c r="P1176" s="2090"/>
      <c r="Q1176" s="3432"/>
      <c r="R1176" s="3433"/>
      <c r="S1176" s="3433"/>
      <c r="T1176" s="3434"/>
      <c r="V1176" s="3439"/>
      <c r="W1176" s="3440"/>
      <c r="X1176" s="3445"/>
      <c r="Y1176" s="3446"/>
    </row>
    <row r="1183" spans="1:25" ht="13.5" thickBot="1"/>
    <row r="1184" spans="1:25" s="1823" customFormat="1" ht="42.75" customHeight="1" thickBot="1">
      <c r="A1184" s="1823" t="s">
        <v>17</v>
      </c>
      <c r="B1184" s="3258"/>
      <c r="C1184" s="3259"/>
      <c r="D1184" s="3259"/>
      <c r="E1184" s="3259"/>
      <c r="F1184" s="3259"/>
      <c r="G1184" s="3259"/>
      <c r="H1184" s="3259"/>
      <c r="I1184" s="3260"/>
      <c r="J1184" s="3264" t="s">
        <v>18</v>
      </c>
      <c r="K1184" s="3265"/>
      <c r="L1184" s="3265"/>
      <c r="M1184" s="3265"/>
      <c r="N1184" s="3265"/>
      <c r="O1184" s="3265"/>
      <c r="P1184" s="3265"/>
      <c r="Q1184" s="3266"/>
      <c r="R1184" s="3267">
        <v>46162</v>
      </c>
      <c r="S1184" s="3268"/>
      <c r="T1184" s="3269"/>
      <c r="U1184" s="1824"/>
      <c r="V1184" s="3273" t="s">
        <v>19</v>
      </c>
      <c r="W1184" s="3274"/>
      <c r="X1184" s="3273" t="s">
        <v>19</v>
      </c>
      <c r="Y1184" s="3274"/>
    </row>
    <row r="1185" spans="2:25" s="1823" customFormat="1" ht="42.75" customHeight="1" thickBot="1">
      <c r="B1185" s="3261"/>
      <c r="C1185" s="3262"/>
      <c r="D1185" s="3262"/>
      <c r="E1185" s="3262"/>
      <c r="F1185" s="3262"/>
      <c r="G1185" s="3262"/>
      <c r="H1185" s="3262"/>
      <c r="I1185" s="3263"/>
      <c r="J1185" s="3277" t="s">
        <v>20</v>
      </c>
      <c r="K1185" s="3278"/>
      <c r="L1185" s="3278"/>
      <c r="M1185" s="3278"/>
      <c r="N1185" s="3278"/>
      <c r="O1185" s="3278"/>
      <c r="P1185" s="3278"/>
      <c r="Q1185" s="3279"/>
      <c r="R1185" s="3270"/>
      <c r="S1185" s="3271"/>
      <c r="T1185" s="3272"/>
      <c r="U1185" s="1824"/>
      <c r="V1185" s="3275"/>
      <c r="W1185" s="3276"/>
      <c r="X1185" s="3275"/>
      <c r="Y1185" s="3276"/>
    </row>
    <row r="1186" spans="2:25" s="1823" customFormat="1" ht="6" customHeight="1" thickBot="1">
      <c r="B1186" s="1828"/>
      <c r="C1186" s="1829"/>
      <c r="D1186" s="1825"/>
      <c r="E1186" s="1825"/>
      <c r="F1186" s="1825"/>
      <c r="G1186" s="1825"/>
      <c r="H1186" s="1825"/>
      <c r="I1186" s="1825"/>
      <c r="J1186" s="3280"/>
      <c r="K1186" s="3281"/>
      <c r="L1186" s="3281"/>
      <c r="M1186" s="3281"/>
      <c r="N1186" s="3281"/>
      <c r="O1186" s="3281"/>
      <c r="P1186" s="3281"/>
      <c r="Q1186" s="3282"/>
      <c r="R1186" s="1830" t="s">
        <v>21</v>
      </c>
      <c r="S1186" s="1830"/>
      <c r="T1186" s="1831"/>
      <c r="U1186" s="1824"/>
      <c r="V1186" s="1826"/>
      <c r="W1186" s="1827"/>
      <c r="X1186" s="1826"/>
      <c r="Y1186" s="1827"/>
    </row>
    <row r="1187" spans="2:25" s="1823" customFormat="1" ht="54" customHeight="1" thickBot="1">
      <c r="B1187" s="3286" t="s">
        <v>22</v>
      </c>
      <c r="C1187" s="1832"/>
      <c r="D1187" s="3288" t="s">
        <v>23</v>
      </c>
      <c r="E1187" s="3289"/>
      <c r="F1187" s="3288" t="s">
        <v>24</v>
      </c>
      <c r="G1187" s="3289"/>
      <c r="H1187" s="3288" t="s">
        <v>25</v>
      </c>
      <c r="I1187" s="3289"/>
      <c r="J1187" s="3283"/>
      <c r="K1187" s="3284"/>
      <c r="L1187" s="3284"/>
      <c r="M1187" s="3284"/>
      <c r="N1187" s="3284"/>
      <c r="O1187" s="3284"/>
      <c r="P1187" s="3284"/>
      <c r="Q1187" s="3285"/>
      <c r="R1187" s="3290" t="s">
        <v>26</v>
      </c>
      <c r="S1187" s="3291"/>
      <c r="T1187" s="1837">
        <f>L1228</f>
        <v>36</v>
      </c>
      <c r="U1187" s="1838"/>
      <c r="V1187" s="3292" t="s">
        <v>27</v>
      </c>
      <c r="W1187" s="3293"/>
      <c r="X1187" s="3292" t="s">
        <v>28</v>
      </c>
      <c r="Y1187" s="3293"/>
    </row>
    <row r="1188" spans="2:25" s="1823" customFormat="1" ht="54" customHeight="1" thickBot="1">
      <c r="B1188" s="3287"/>
      <c r="C1188" s="1832"/>
      <c r="D1188" s="1840" t="s">
        <v>29</v>
      </c>
      <c r="E1188" s="1840" t="s">
        <v>30</v>
      </c>
      <c r="F1188" s="1840" t="s">
        <v>29</v>
      </c>
      <c r="G1188" s="1840" t="s">
        <v>30</v>
      </c>
      <c r="H1188" s="1840" t="s">
        <v>29</v>
      </c>
      <c r="I1188" s="1840" t="s">
        <v>30</v>
      </c>
      <c r="J1188" s="1834" t="s">
        <v>31</v>
      </c>
      <c r="K1188" s="1840" t="s">
        <v>32</v>
      </c>
      <c r="L1188" s="1840" t="s">
        <v>33</v>
      </c>
      <c r="M1188" s="1840" t="s">
        <v>34</v>
      </c>
      <c r="N1188" s="1840" t="s">
        <v>32</v>
      </c>
      <c r="O1188" s="1833" t="s">
        <v>35</v>
      </c>
      <c r="P1188" s="1834"/>
      <c r="Q1188" s="1840" t="s">
        <v>36</v>
      </c>
      <c r="R1188" s="1840" t="s">
        <v>37</v>
      </c>
      <c r="S1188" s="1840" t="s">
        <v>38</v>
      </c>
      <c r="T1188" s="1841" t="s">
        <v>39</v>
      </c>
      <c r="U1188" s="1838"/>
      <c r="V1188" s="3294"/>
      <c r="W1188" s="3295"/>
      <c r="X1188" s="3294"/>
      <c r="Y1188" s="3295"/>
    </row>
    <row r="1189" spans="2:25" s="1842" customFormat="1" ht="48" customHeight="1" thickBot="1">
      <c r="B1189" s="1843">
        <v>0.41666666666666702</v>
      </c>
      <c r="C1189" s="1844"/>
      <c r="D1189" s="1845">
        <v>28</v>
      </c>
      <c r="E1189" s="1846">
        <v>807</v>
      </c>
      <c r="F1189" s="1847">
        <v>29</v>
      </c>
      <c r="G1189" s="1848">
        <v>1358</v>
      </c>
      <c r="H1189" s="2092"/>
      <c r="I1189" s="1848"/>
      <c r="J1189" s="1850">
        <f t="shared" ref="J1189:J1193" si="127">E1189+G1189+I1189</f>
        <v>2165</v>
      </c>
      <c r="K1189" s="1851">
        <f t="shared" ref="K1189:K1193" si="128">J1189/450</f>
        <v>4.8111111111111109</v>
      </c>
      <c r="L1189" s="1850">
        <v>1</v>
      </c>
      <c r="M1189" s="1933">
        <v>1016</v>
      </c>
      <c r="N1189" s="2093">
        <v>6</v>
      </c>
      <c r="O1189" s="3462" t="s">
        <v>203</v>
      </c>
      <c r="P1189" s="3463"/>
      <c r="Q1189" s="2042">
        <v>2</v>
      </c>
      <c r="R1189" s="1897">
        <v>0</v>
      </c>
      <c r="S1189" s="4003" t="s">
        <v>204</v>
      </c>
      <c r="T1189" s="1896">
        <v>807</v>
      </c>
      <c r="U1189" s="1824"/>
      <c r="V1189" s="3320">
        <f>VLOOKUP(M1189,'[1]TABELA FRETE'!$A$6:$B$12,2,0)</f>
        <v>425.7</v>
      </c>
      <c r="W1189" s="3321"/>
      <c r="X1189" s="3322"/>
      <c r="Y1189" s="3323"/>
    </row>
    <row r="1190" spans="2:25" s="1842" customFormat="1" ht="63" customHeight="1" thickBot="1">
      <c r="B1190" s="1858">
        <v>0.41666666666666702</v>
      </c>
      <c r="C1190" s="1844"/>
      <c r="D1190" s="1859" t="s">
        <v>198</v>
      </c>
      <c r="E1190" s="1860">
        <v>1500</v>
      </c>
      <c r="F1190" s="1859" t="s">
        <v>78</v>
      </c>
      <c r="G1190" s="1861">
        <v>1500</v>
      </c>
      <c r="H1190" s="3302" t="s">
        <v>226</v>
      </c>
      <c r="I1190" s="3303"/>
      <c r="J1190" s="1862">
        <f t="shared" si="127"/>
        <v>3000</v>
      </c>
      <c r="K1190" s="1863">
        <f t="shared" si="128"/>
        <v>6.666666666666667</v>
      </c>
      <c r="L1190" s="1862">
        <v>1</v>
      </c>
      <c r="M1190" s="1864">
        <v>1016</v>
      </c>
      <c r="N1190" s="1865">
        <v>7</v>
      </c>
      <c r="O1190" s="1866" t="s">
        <v>56</v>
      </c>
      <c r="P1190" s="1866"/>
      <c r="Q1190" s="1867">
        <v>1</v>
      </c>
      <c r="R1190" s="1868">
        <v>0</v>
      </c>
      <c r="S1190" s="2512" t="s">
        <v>57</v>
      </c>
      <c r="T1190" s="1870">
        <v>663</v>
      </c>
      <c r="U1190" s="1824"/>
      <c r="V1190" s="3320">
        <f>VLOOKUP(M1190,'[1]TABELA FRETE'!$A$6:$B$12,2,0)</f>
        <v>425.7</v>
      </c>
      <c r="W1190" s="3321"/>
      <c r="X1190" s="3322"/>
      <c r="Y1190" s="3323"/>
    </row>
    <row r="1191" spans="2:25" s="1823" customFormat="1" ht="48" customHeight="1" thickBot="1">
      <c r="B1191" s="1858">
        <v>0.41666666666666702</v>
      </c>
      <c r="C1191" s="1844"/>
      <c r="D1191" s="1871">
        <v>7</v>
      </c>
      <c r="E1191" s="1872">
        <v>1000</v>
      </c>
      <c r="F1191" s="1873"/>
      <c r="G1191" s="1874"/>
      <c r="H1191" s="1940"/>
      <c r="I1191" s="1876"/>
      <c r="J1191" s="1862">
        <f t="shared" si="127"/>
        <v>1000</v>
      </c>
      <c r="K1191" s="1863">
        <f t="shared" si="128"/>
        <v>2.2222222222222223</v>
      </c>
      <c r="L1191" s="1862">
        <v>1</v>
      </c>
      <c r="M1191" s="1877" t="s">
        <v>9</v>
      </c>
      <c r="N1191" s="1878">
        <v>3</v>
      </c>
      <c r="O1191" s="3304" t="s">
        <v>189</v>
      </c>
      <c r="P1191" s="3305"/>
      <c r="Q1191" s="1880">
        <v>1</v>
      </c>
      <c r="R1191" s="1881">
        <v>0</v>
      </c>
      <c r="S1191" s="1803" t="s">
        <v>190</v>
      </c>
      <c r="T1191" s="1870">
        <v>738</v>
      </c>
      <c r="U1191" s="1824"/>
      <c r="V1191" s="3454">
        <f>VLOOKUP(M1191,'[1]TABELA FRETE'!$A$6:$B$12,2,0)</f>
        <v>250.8</v>
      </c>
      <c r="W1191" s="3455"/>
      <c r="X1191" s="3322"/>
      <c r="Y1191" s="3323"/>
    </row>
    <row r="1192" spans="2:25" s="1823" customFormat="1" ht="48" customHeight="1" thickBot="1">
      <c r="B1192" s="1858">
        <v>0.41666666666666702</v>
      </c>
      <c r="C1192" s="1844"/>
      <c r="D1192" s="1871">
        <v>11</v>
      </c>
      <c r="E1192" s="1883">
        <v>2000</v>
      </c>
      <c r="F1192" s="1884"/>
      <c r="G1192" s="1885"/>
      <c r="H1192" s="1956"/>
      <c r="I1192" s="1886"/>
      <c r="J1192" s="1862">
        <f t="shared" si="127"/>
        <v>2000</v>
      </c>
      <c r="K1192" s="1863">
        <f t="shared" si="128"/>
        <v>4.4444444444444446</v>
      </c>
      <c r="L1192" s="1862">
        <v>1</v>
      </c>
      <c r="M1192" s="1887" t="s">
        <v>8</v>
      </c>
      <c r="N1192" s="1888">
        <v>4</v>
      </c>
      <c r="O1192" s="3326" t="s">
        <v>96</v>
      </c>
      <c r="P1192" s="3327"/>
      <c r="Q1192" s="1891">
        <v>2</v>
      </c>
      <c r="R1192" s="1892">
        <v>0</v>
      </c>
      <c r="S1192" s="4004" t="s">
        <v>97</v>
      </c>
      <c r="T1192" s="1892">
        <v>456</v>
      </c>
      <c r="U1192" s="1824"/>
      <c r="V1192" s="3454">
        <f>VLOOKUP(M1192,'[1]TABELA FRETE'!$A$6:$B$12,2,0)</f>
        <v>286</v>
      </c>
      <c r="W1192" s="3455"/>
      <c r="X1192" s="3322"/>
      <c r="Y1192" s="3323"/>
    </row>
    <row r="1193" spans="2:25" s="1823" customFormat="1" ht="48" customHeight="1" thickBot="1">
      <c r="B1193" s="1901">
        <v>0.41666666666666702</v>
      </c>
      <c r="C1193" s="1844"/>
      <c r="D1193" s="1902">
        <v>11</v>
      </c>
      <c r="E1193" s="1903">
        <v>1238</v>
      </c>
      <c r="F1193" s="1904"/>
      <c r="G1193" s="1905"/>
      <c r="H1193" s="2063"/>
      <c r="I1193" s="1907"/>
      <c r="J1193" s="1908">
        <f t="shared" si="127"/>
        <v>1238</v>
      </c>
      <c r="K1193" s="1909">
        <f t="shared" si="128"/>
        <v>2.7511111111111113</v>
      </c>
      <c r="L1193" s="1908">
        <v>1</v>
      </c>
      <c r="M1193" s="1910" t="s">
        <v>9</v>
      </c>
      <c r="N1193" s="1911">
        <v>3</v>
      </c>
      <c r="O1193" s="3308" t="s">
        <v>98</v>
      </c>
      <c r="P1193" s="3309"/>
      <c r="Q1193" s="1913">
        <v>1</v>
      </c>
      <c r="R1193" s="1914">
        <v>0</v>
      </c>
      <c r="S1193" s="2514" t="s">
        <v>99</v>
      </c>
      <c r="T1193" s="1912">
        <v>496</v>
      </c>
      <c r="U1193" s="1824"/>
      <c r="V1193" s="3320">
        <f>VLOOKUP(M1193,'[1]TABELA FRETE'!$A$6:$B$12,2,0)</f>
        <v>250.8</v>
      </c>
      <c r="W1193" s="3321"/>
      <c r="X1193" s="3460"/>
      <c r="Y1193" s="3461"/>
    </row>
    <row r="1194" spans="2:25" s="1916" customFormat="1" ht="6" customHeight="1" thickBot="1">
      <c r="B1194" s="1844"/>
      <c r="C1194" s="1844"/>
      <c r="D1194" s="1917"/>
      <c r="E1194" s="1918"/>
      <c r="F1194" s="1917"/>
      <c r="G1194" s="1919"/>
      <c r="H1194" s="1920"/>
      <c r="I1194" s="1919"/>
      <c r="J1194" s="1919"/>
      <c r="K1194" s="1921"/>
      <c r="L1194" s="1919"/>
      <c r="M1194" s="1922"/>
      <c r="N1194" s="1923"/>
      <c r="O1194" s="1924"/>
      <c r="P1194" s="1924"/>
      <c r="Q1194" s="1925"/>
      <c r="R1194" s="1925"/>
      <c r="S1194" s="1926"/>
      <c r="T1194" s="1924"/>
      <c r="U1194" s="1927"/>
      <c r="V1194" s="1928"/>
      <c r="W1194" s="1928"/>
      <c r="X1194" s="1929"/>
      <c r="Y1194" s="1929"/>
    </row>
    <row r="1195" spans="2:25" s="1823" customFormat="1" ht="48" customHeight="1" thickBot="1">
      <c r="B1195" s="1843">
        <v>0.5</v>
      </c>
      <c r="C1195" s="1844"/>
      <c r="D1195" s="1845">
        <v>8</v>
      </c>
      <c r="E1195" s="1846">
        <v>4000</v>
      </c>
      <c r="F1195" s="1930"/>
      <c r="G1195" s="1931"/>
      <c r="H1195" s="1932"/>
      <c r="I1195" s="1848"/>
      <c r="J1195" s="1850">
        <f t="shared" ref="J1195:J1218" si="129">E1195+G1195+I1195</f>
        <v>4000</v>
      </c>
      <c r="K1195" s="1851">
        <f t="shared" ref="K1195:K1218" si="130">J1195/450</f>
        <v>8.8888888888888893</v>
      </c>
      <c r="L1195" s="1848">
        <v>1</v>
      </c>
      <c r="M1195" s="1933">
        <v>1016</v>
      </c>
      <c r="N1195" s="1934">
        <v>10</v>
      </c>
      <c r="O1195" s="3462" t="s">
        <v>81</v>
      </c>
      <c r="P1195" s="3463"/>
      <c r="Q1195" s="1935">
        <v>2</v>
      </c>
      <c r="R1195" s="2042">
        <v>0</v>
      </c>
      <c r="S1195" s="2515" t="s">
        <v>82</v>
      </c>
      <c r="T1195" s="1936">
        <v>606</v>
      </c>
      <c r="U1195" s="1824"/>
      <c r="V1195" s="3320">
        <f>VLOOKUP(M1195,'[1]TABELA FRETE'!$A$6:$B$12,2,0)</f>
        <v>425.7</v>
      </c>
      <c r="W1195" s="3321"/>
      <c r="X1195" s="3322"/>
      <c r="Y1195" s="3323"/>
    </row>
    <row r="1196" spans="2:25" s="1823" customFormat="1" ht="48" customHeight="1" thickBot="1">
      <c r="B1196" s="1974">
        <v>0.5</v>
      </c>
      <c r="C1196" s="1844"/>
      <c r="D1196" s="2095">
        <v>14</v>
      </c>
      <c r="E1196" s="1861">
        <v>2400</v>
      </c>
      <c r="F1196" s="518">
        <v>8</v>
      </c>
      <c r="G1196" s="1982">
        <v>146</v>
      </c>
      <c r="H1196" s="1981"/>
      <c r="I1196" s="1861"/>
      <c r="J1196" s="1983">
        <f>E1196+G1196+I1196</f>
        <v>2546</v>
      </c>
      <c r="K1196" s="1984">
        <f>J1196/450</f>
        <v>5.6577777777777776</v>
      </c>
      <c r="L1196" s="1983">
        <v>1</v>
      </c>
      <c r="M1196" s="2016">
        <v>1016</v>
      </c>
      <c r="N1196" s="2109">
        <v>8</v>
      </c>
      <c r="O1196" s="3464" t="s">
        <v>46</v>
      </c>
      <c r="P1196" s="3465"/>
      <c r="Q1196" s="1988">
        <v>2</v>
      </c>
      <c r="R1196" s="2024">
        <v>0</v>
      </c>
      <c r="S1196" s="4005" t="s">
        <v>47</v>
      </c>
      <c r="T1196" s="2024">
        <v>48</v>
      </c>
      <c r="U1196" s="1824"/>
      <c r="V1196" s="3320">
        <f>VLOOKUP(M1196,'[1]TABELA FRETE'!$A$6:$B$12,2,0)</f>
        <v>425.7</v>
      </c>
      <c r="W1196" s="3321"/>
      <c r="X1196" s="3322"/>
      <c r="Y1196" s="3323"/>
    </row>
    <row r="1197" spans="2:25" s="1823" customFormat="1" ht="48" customHeight="1" thickBot="1">
      <c r="B1197" s="1974">
        <v>0.5</v>
      </c>
      <c r="C1197" s="1844"/>
      <c r="D1197" s="1871">
        <v>12</v>
      </c>
      <c r="E1197" s="1876">
        <v>2129</v>
      </c>
      <c r="F1197" s="1873"/>
      <c r="G1197" s="1874"/>
      <c r="H1197" s="1981"/>
      <c r="I1197" s="1861"/>
      <c r="J1197" s="1862">
        <f t="shared" si="129"/>
        <v>2129</v>
      </c>
      <c r="K1197" s="1863">
        <f t="shared" si="130"/>
        <v>4.7311111111111108</v>
      </c>
      <c r="L1197" s="1862">
        <v>1</v>
      </c>
      <c r="M1197" s="1949">
        <v>1016</v>
      </c>
      <c r="N1197" s="1853">
        <v>6</v>
      </c>
      <c r="O1197" s="3306" t="s">
        <v>139</v>
      </c>
      <c r="P1197" s="3307"/>
      <c r="Q1197" s="1855">
        <v>1</v>
      </c>
      <c r="R1197" s="1950">
        <v>0</v>
      </c>
      <c r="S1197" s="2510" t="s">
        <v>140</v>
      </c>
      <c r="T1197" s="1950">
        <v>809</v>
      </c>
      <c r="U1197" s="1824"/>
      <c r="V1197" s="3320">
        <f>VLOOKUP(M1197,'[1]TABELA FRETE'!$A$6:$B$12,2,0)</f>
        <v>425.7</v>
      </c>
      <c r="W1197" s="3321"/>
      <c r="X1197" s="3322"/>
      <c r="Y1197" s="3323"/>
    </row>
    <row r="1198" spans="2:25" s="1823" customFormat="1" ht="48" customHeight="1" thickBot="1">
      <c r="B1198" s="1938">
        <v>0.5</v>
      </c>
      <c r="C1198" s="1844"/>
      <c r="D1198" s="2095">
        <v>38</v>
      </c>
      <c r="E1198" s="1861">
        <v>2106</v>
      </c>
      <c r="F1198" s="2096"/>
      <c r="G1198" s="1982"/>
      <c r="H1198" s="1981"/>
      <c r="I1198" s="1861"/>
      <c r="J1198" s="1862">
        <f t="shared" si="129"/>
        <v>2106</v>
      </c>
      <c r="K1198" s="1863">
        <f t="shared" si="130"/>
        <v>4.68</v>
      </c>
      <c r="L1198" s="1862">
        <v>1</v>
      </c>
      <c r="M1198" s="1949">
        <v>1016</v>
      </c>
      <c r="N1198" s="1853">
        <v>7</v>
      </c>
      <c r="O1198" s="3306" t="s">
        <v>141</v>
      </c>
      <c r="P1198" s="3307"/>
      <c r="Q1198" s="1897">
        <v>2</v>
      </c>
      <c r="R1198" s="1950">
        <v>0</v>
      </c>
      <c r="S1198" s="2510" t="s">
        <v>142</v>
      </c>
      <c r="T1198" s="1950">
        <v>605</v>
      </c>
      <c r="U1198" s="1824"/>
      <c r="V1198" s="3320">
        <f>VLOOKUP(M1198,'[1]TABELA FRETE'!$A$6:$B$12,2,0)</f>
        <v>425.7</v>
      </c>
      <c r="W1198" s="3321"/>
      <c r="X1198" s="3322"/>
      <c r="Y1198" s="3323"/>
    </row>
    <row r="1199" spans="2:25" s="1823" customFormat="1" ht="48" customHeight="1" thickBot="1">
      <c r="B1199" s="1938">
        <v>0.5</v>
      </c>
      <c r="C1199" s="1844"/>
      <c r="D1199" s="2095">
        <v>9</v>
      </c>
      <c r="E1199" s="1860">
        <v>2610</v>
      </c>
      <c r="F1199" s="2096"/>
      <c r="G1199" s="1982"/>
      <c r="H1199" s="1981"/>
      <c r="I1199" s="1876"/>
      <c r="J1199" s="1862">
        <f t="shared" si="129"/>
        <v>2610</v>
      </c>
      <c r="K1199" s="1984">
        <f t="shared" si="130"/>
        <v>5.8</v>
      </c>
      <c r="L1199" s="1862">
        <v>1</v>
      </c>
      <c r="M1199" s="1894">
        <v>1016</v>
      </c>
      <c r="N1199" s="1895">
        <v>8</v>
      </c>
      <c r="O1199" s="3306" t="s">
        <v>106</v>
      </c>
      <c r="P1199" s="3307"/>
      <c r="Q1199" s="1897">
        <v>2</v>
      </c>
      <c r="R1199" s="1898">
        <v>0</v>
      </c>
      <c r="S1199" s="2510" t="s">
        <v>107</v>
      </c>
      <c r="T1199" s="2005">
        <v>606</v>
      </c>
      <c r="U1199" s="1824"/>
      <c r="V1199" s="3320">
        <f>VLOOKUP(M1199,'[1]TABELA FRETE'!$A$6:$B$12,2,0)</f>
        <v>425.7</v>
      </c>
      <c r="W1199" s="3321"/>
      <c r="X1199" s="3322"/>
      <c r="Y1199" s="3323"/>
    </row>
    <row r="1200" spans="2:25" s="1823" customFormat="1" ht="48" customHeight="1" thickBot="1">
      <c r="B1200" s="1938">
        <v>0.5</v>
      </c>
      <c r="C1200" s="1844"/>
      <c r="D1200" s="373">
        <v>1</v>
      </c>
      <c r="E1200" s="1872">
        <v>1622</v>
      </c>
      <c r="F1200" s="373">
        <v>40</v>
      </c>
      <c r="G1200" s="1872">
        <v>3963</v>
      </c>
      <c r="H1200" s="1977"/>
      <c r="I1200" s="1872"/>
      <c r="J1200" s="1862">
        <f>E1200+G1200+I1200</f>
        <v>5585</v>
      </c>
      <c r="K1200" s="1863">
        <f>J1200/450</f>
        <v>12.411111111111111</v>
      </c>
      <c r="L1200" s="1862">
        <v>1</v>
      </c>
      <c r="M1200" s="1894" t="s">
        <v>7</v>
      </c>
      <c r="N1200" s="1895">
        <v>12</v>
      </c>
      <c r="O1200" s="3306" t="s">
        <v>50</v>
      </c>
      <c r="P1200" s="3307"/>
      <c r="Q1200" s="1897">
        <v>2</v>
      </c>
      <c r="R1200" s="1898">
        <v>0</v>
      </c>
      <c r="S1200" s="2510" t="s">
        <v>51</v>
      </c>
      <c r="T1200" s="2005">
        <v>612</v>
      </c>
      <c r="U1200" s="1824"/>
      <c r="V1200" s="3320">
        <f>VLOOKUP(M1200,'[1]TABELA FRETE'!$A$6:$B$12,2,0)</f>
        <v>466.4</v>
      </c>
      <c r="W1200" s="3321"/>
      <c r="X1200" s="3322"/>
      <c r="Y1200" s="3323"/>
    </row>
    <row r="1201" spans="2:25" s="1823" customFormat="1" ht="48" customHeight="1" thickBot="1">
      <c r="B1201" s="1938">
        <v>0.5</v>
      </c>
      <c r="C1201" s="1844"/>
      <c r="D1201" s="1871">
        <v>34</v>
      </c>
      <c r="E1201" s="1872">
        <v>5633</v>
      </c>
      <c r="F1201" s="1873"/>
      <c r="G1201" s="1874"/>
      <c r="H1201" s="1940"/>
      <c r="I1201" s="1876"/>
      <c r="J1201" s="1862">
        <f t="shared" si="129"/>
        <v>5633</v>
      </c>
      <c r="K1201" s="1863">
        <f t="shared" si="130"/>
        <v>12.517777777777777</v>
      </c>
      <c r="L1201" s="1862">
        <v>1</v>
      </c>
      <c r="M1201" s="1894" t="s">
        <v>6</v>
      </c>
      <c r="N1201" s="1895">
        <v>14</v>
      </c>
      <c r="O1201" s="3306" t="s">
        <v>64</v>
      </c>
      <c r="P1201" s="3307"/>
      <c r="Q1201" s="1897">
        <v>1</v>
      </c>
      <c r="R1201" s="1898">
        <v>0</v>
      </c>
      <c r="S1201" s="2517" t="s">
        <v>65</v>
      </c>
      <c r="T1201" s="1900">
        <v>598</v>
      </c>
      <c r="U1201" s="1824"/>
      <c r="V1201" s="3320">
        <f>VLOOKUP(M1201,'[1]TABELA FRETE'!$A$6:$B$12,2,0)</f>
        <v>489.5</v>
      </c>
      <c r="W1201" s="3321"/>
      <c r="X1201" s="3322"/>
      <c r="Y1201" s="3323"/>
    </row>
    <row r="1202" spans="2:25" s="1823" customFormat="1" ht="48" customHeight="1" thickBot="1">
      <c r="B1202" s="1938">
        <v>0.5</v>
      </c>
      <c r="C1202" s="1844"/>
      <c r="D1202" s="1871">
        <v>35</v>
      </c>
      <c r="E1202" s="1872">
        <v>2050</v>
      </c>
      <c r="F1202" s="2096">
        <v>43</v>
      </c>
      <c r="G1202" s="1982">
        <v>4337</v>
      </c>
      <c r="H1202" s="1940"/>
      <c r="I1202" s="1876"/>
      <c r="J1202" s="1862">
        <f t="shared" si="129"/>
        <v>6387</v>
      </c>
      <c r="K1202" s="1863">
        <f t="shared" si="130"/>
        <v>14.193333333333333</v>
      </c>
      <c r="L1202" s="1862">
        <v>1</v>
      </c>
      <c r="M1202" s="1949" t="s">
        <v>6</v>
      </c>
      <c r="N1202" s="1853">
        <v>14</v>
      </c>
      <c r="O1202" s="3306" t="s">
        <v>54</v>
      </c>
      <c r="P1202" s="3307"/>
      <c r="Q1202" s="1855">
        <v>1</v>
      </c>
      <c r="R1202" s="1950">
        <v>0</v>
      </c>
      <c r="S1202" s="2510" t="s">
        <v>55</v>
      </c>
      <c r="T1202" s="1950">
        <v>590</v>
      </c>
      <c r="U1202" s="1824"/>
      <c r="V1202" s="3320">
        <f>VLOOKUP(M1202,'[1]TABELA FRETE'!$A$6:$B$12,2,0)</f>
        <v>489.5</v>
      </c>
      <c r="W1202" s="3321"/>
      <c r="X1202" s="3322"/>
      <c r="Y1202" s="3323"/>
    </row>
    <row r="1203" spans="2:25" s="1823" customFormat="1" ht="48" customHeight="1" thickBot="1">
      <c r="B1203" s="1901">
        <v>0.5</v>
      </c>
      <c r="C1203" s="1844"/>
      <c r="D1203" s="1902">
        <v>45</v>
      </c>
      <c r="E1203" s="1903">
        <v>4808</v>
      </c>
      <c r="F1203" s="4001"/>
      <c r="G1203" s="4002"/>
      <c r="H1203" s="2063"/>
      <c r="I1203" s="1907"/>
      <c r="J1203" s="1908">
        <f t="shared" si="129"/>
        <v>4808</v>
      </c>
      <c r="K1203" s="1909">
        <f t="shared" si="130"/>
        <v>10.684444444444445</v>
      </c>
      <c r="L1203" s="1908">
        <v>1</v>
      </c>
      <c r="M1203" s="2027" t="s">
        <v>7</v>
      </c>
      <c r="N1203" s="2028">
        <v>12</v>
      </c>
      <c r="O1203" s="3308" t="s">
        <v>62</v>
      </c>
      <c r="P1203" s="3309"/>
      <c r="Q1203" s="2122">
        <v>2</v>
      </c>
      <c r="R1203" s="2030">
        <v>0</v>
      </c>
      <c r="S1203" s="4006" t="s">
        <v>63</v>
      </c>
      <c r="T1203" s="2030">
        <v>740</v>
      </c>
      <c r="U1203" s="1824"/>
      <c r="V1203" s="3320">
        <f>VLOOKUP(M1203,'[1]TABELA FRETE'!$A$6:$B$12,2,0)</f>
        <v>466.4</v>
      </c>
      <c r="W1203" s="3321"/>
      <c r="X1203" s="3322"/>
      <c r="Y1203" s="3323"/>
    </row>
    <row r="1204" spans="2:25" s="1916" customFormat="1" ht="6" customHeight="1" thickBot="1">
      <c r="B1204" s="1844"/>
      <c r="C1204" s="1844"/>
      <c r="D1204" s="1917"/>
      <c r="E1204" s="1918"/>
      <c r="F1204" s="1917"/>
      <c r="G1204" s="1919"/>
      <c r="H1204" s="1920"/>
      <c r="I1204" s="1919"/>
      <c r="J1204" s="1919"/>
      <c r="K1204" s="1921"/>
      <c r="L1204" s="1919"/>
      <c r="M1204" s="1966"/>
      <c r="N1204" s="1967"/>
      <c r="O1204" s="1924"/>
      <c r="P1204" s="1924"/>
      <c r="Q1204" s="1925"/>
      <c r="R1204" s="1925"/>
      <c r="S1204" s="1926"/>
      <c r="T1204" s="1968"/>
      <c r="U1204" s="1927"/>
      <c r="V1204" s="1928"/>
      <c r="W1204" s="1928"/>
      <c r="X1204" s="1929"/>
      <c r="Y1204" s="1929"/>
    </row>
    <row r="1205" spans="2:25" s="1823" customFormat="1" ht="48" customHeight="1" thickBot="1">
      <c r="B1205" s="1843">
        <v>0.58333333333333304</v>
      </c>
      <c r="C1205" s="1844"/>
      <c r="D1205" s="1969">
        <v>5</v>
      </c>
      <c r="E1205" s="1846">
        <v>1102</v>
      </c>
      <c r="F1205" s="2102">
        <v>20</v>
      </c>
      <c r="G1205" s="2103">
        <v>2573</v>
      </c>
      <c r="H1205" s="2104"/>
      <c r="I1205" s="2105"/>
      <c r="J1205" s="1850">
        <f t="shared" si="129"/>
        <v>3675</v>
      </c>
      <c r="K1205" s="1851">
        <f t="shared" si="130"/>
        <v>8.1666666666666661</v>
      </c>
      <c r="L1205" s="1850">
        <v>1</v>
      </c>
      <c r="M1205" s="2106">
        <v>1016</v>
      </c>
      <c r="N1205" s="1932">
        <v>8</v>
      </c>
      <c r="O1205" s="3462" t="s">
        <v>90</v>
      </c>
      <c r="P1205" s="3463"/>
      <c r="Q1205" s="2038">
        <v>2</v>
      </c>
      <c r="R1205" s="1846">
        <v>0</v>
      </c>
      <c r="S1205" s="4007" t="s">
        <v>91</v>
      </c>
      <c r="T1205" s="2108">
        <v>674</v>
      </c>
      <c r="U1205" s="1824"/>
      <c r="V1205" s="3320">
        <f>VLOOKUP(M1205,'[1]TABELA FRETE'!$A$6:$B$12,2,0)</f>
        <v>425.7</v>
      </c>
      <c r="W1205" s="3321"/>
      <c r="X1205" s="3322"/>
      <c r="Y1205" s="3323"/>
    </row>
    <row r="1206" spans="2:25" s="1823" customFormat="1" ht="48" customHeight="1" thickBot="1">
      <c r="B1206" s="1974">
        <v>0.58333333333333304</v>
      </c>
      <c r="C1206" s="1844"/>
      <c r="D1206" s="1975">
        <v>25</v>
      </c>
      <c r="E1206" s="1874">
        <v>2840</v>
      </c>
      <c r="F1206" s="1976">
        <v>22</v>
      </c>
      <c r="G1206" s="1872">
        <v>1565</v>
      </c>
      <c r="H1206" s="2010"/>
      <c r="I1206" s="1883"/>
      <c r="J1206" s="1862">
        <f t="shared" si="129"/>
        <v>4405</v>
      </c>
      <c r="K1206" s="1863">
        <f t="shared" si="130"/>
        <v>9.7888888888888896</v>
      </c>
      <c r="L1206" s="2000">
        <v>1</v>
      </c>
      <c r="M1206" s="1894" t="s">
        <v>7</v>
      </c>
      <c r="N1206" s="1895">
        <v>11</v>
      </c>
      <c r="O1206" s="3306" t="s">
        <v>42</v>
      </c>
      <c r="P1206" s="3307"/>
      <c r="Q1206" s="1897">
        <v>3</v>
      </c>
      <c r="R1206" s="1900">
        <v>0</v>
      </c>
      <c r="S1206" s="2517" t="s">
        <v>43</v>
      </c>
      <c r="T1206" s="1950">
        <v>479</v>
      </c>
      <c r="U1206" s="1824"/>
      <c r="V1206" s="3320">
        <f>VLOOKUP(M1206,'[1]TABELA FRETE'!$A$6:$B$12,2,0)</f>
        <v>466.4</v>
      </c>
      <c r="W1206" s="3321"/>
      <c r="X1206" s="3458"/>
      <c r="Y1206" s="3459"/>
    </row>
    <row r="1207" spans="2:25" s="1823" customFormat="1" ht="48" customHeight="1" thickBot="1">
      <c r="B1207" s="1974">
        <v>0.58333333333333304</v>
      </c>
      <c r="C1207" s="1844"/>
      <c r="D1207" s="1975">
        <v>31</v>
      </c>
      <c r="E1207" s="1874">
        <v>3070</v>
      </c>
      <c r="F1207" s="1945"/>
      <c r="G1207" s="1872"/>
      <c r="H1207" s="1977"/>
      <c r="I1207" s="1872"/>
      <c r="J1207" s="1862">
        <f t="shared" si="129"/>
        <v>3070</v>
      </c>
      <c r="K1207" s="1863">
        <f t="shared" si="130"/>
        <v>6.822222222222222</v>
      </c>
      <c r="L1207" s="1862">
        <v>1</v>
      </c>
      <c r="M1207" s="1996">
        <v>1016</v>
      </c>
      <c r="N1207" s="1997">
        <v>8</v>
      </c>
      <c r="O1207" s="3326" t="s">
        <v>159</v>
      </c>
      <c r="P1207" s="3327"/>
      <c r="Q1207" s="1855">
        <v>1</v>
      </c>
      <c r="R1207" s="1950">
        <v>0</v>
      </c>
      <c r="S1207" s="2510" t="s">
        <v>160</v>
      </c>
      <c r="T1207" s="1950">
        <v>456</v>
      </c>
      <c r="U1207" s="1824"/>
      <c r="V1207" s="3320">
        <f>VLOOKUP(M1207,'[1]TABELA FRETE'!$A$6:$B$12,2,0)</f>
        <v>425.7</v>
      </c>
      <c r="W1207" s="3321"/>
      <c r="X1207" s="3460"/>
      <c r="Y1207" s="3461"/>
    </row>
    <row r="1208" spans="2:25" s="1823" customFormat="1" ht="48" customHeight="1" thickBot="1">
      <c r="B1208" s="1974">
        <v>0.58333333333333304</v>
      </c>
      <c r="C1208" s="1844"/>
      <c r="D1208" s="1979">
        <v>17</v>
      </c>
      <c r="E1208" s="1860">
        <v>3499</v>
      </c>
      <c r="F1208" s="1980"/>
      <c r="G1208" s="1860"/>
      <c r="H1208" s="1981"/>
      <c r="I1208" s="1982"/>
      <c r="J1208" s="1983">
        <f t="shared" si="129"/>
        <v>3499</v>
      </c>
      <c r="K1208" s="1984">
        <f t="shared" si="130"/>
        <v>7.775555555555556</v>
      </c>
      <c r="L1208" s="1994">
        <v>1</v>
      </c>
      <c r="M1208" s="2016">
        <v>1016</v>
      </c>
      <c r="N1208" s="2109">
        <v>10</v>
      </c>
      <c r="O1208" s="3306" t="s">
        <v>72</v>
      </c>
      <c r="P1208" s="3307"/>
      <c r="Q1208" s="1988">
        <v>2</v>
      </c>
      <c r="R1208" s="1989">
        <v>0</v>
      </c>
      <c r="S1208" s="4008" t="s">
        <v>73</v>
      </c>
      <c r="T1208" s="2024">
        <v>184090</v>
      </c>
      <c r="U1208" s="1824"/>
      <c r="V1208" s="3320">
        <f>VLOOKUP(M1208,'[1]TABELA FRETE'!$A$6:$B$12,2,0)</f>
        <v>425.7</v>
      </c>
      <c r="W1208" s="3321"/>
      <c r="X1208" s="3322"/>
      <c r="Y1208" s="3323"/>
    </row>
    <row r="1209" spans="2:25" s="1823" customFormat="1" ht="48" customHeight="1" thickBot="1">
      <c r="B1209" s="1974">
        <v>0.58333333333333304</v>
      </c>
      <c r="C1209" s="1844"/>
      <c r="D1209" s="1998">
        <v>23</v>
      </c>
      <c r="E1209" s="1883">
        <v>4007</v>
      </c>
      <c r="F1209" s="1999">
        <v>44</v>
      </c>
      <c r="G1209" s="1883">
        <v>1116</v>
      </c>
      <c r="H1209" s="1956"/>
      <c r="I1209" s="1885"/>
      <c r="J1209" s="2000">
        <f t="shared" si="129"/>
        <v>5123</v>
      </c>
      <c r="K1209" s="2001">
        <f t="shared" si="130"/>
        <v>11.384444444444444</v>
      </c>
      <c r="L1209" s="2000">
        <v>1</v>
      </c>
      <c r="M1209" s="1894" t="s">
        <v>7</v>
      </c>
      <c r="N1209" s="1895">
        <v>12</v>
      </c>
      <c r="O1209" s="3306" t="s">
        <v>153</v>
      </c>
      <c r="P1209" s="3307"/>
      <c r="Q1209" s="1897">
        <v>1</v>
      </c>
      <c r="R1209" s="1898">
        <v>0</v>
      </c>
      <c r="S1209" s="2517" t="s">
        <v>154</v>
      </c>
      <c r="T1209" s="1900">
        <v>664</v>
      </c>
      <c r="U1209" s="1824"/>
      <c r="V1209" s="3320">
        <f>VLOOKUP(M1209,'[1]TABELA FRETE'!$A$6:$B$12,2,0)</f>
        <v>466.4</v>
      </c>
      <c r="W1209" s="3321"/>
      <c r="X1209" s="3322"/>
      <c r="Y1209" s="3323"/>
    </row>
    <row r="1210" spans="2:25" s="1823" customFormat="1" ht="48" customHeight="1" thickBot="1">
      <c r="B1210" s="1938">
        <v>0.58333333333333304</v>
      </c>
      <c r="C1210" s="1844"/>
      <c r="D1210" s="1998">
        <v>10</v>
      </c>
      <c r="E1210" s="1883">
        <v>4238</v>
      </c>
      <c r="F1210" s="1976"/>
      <c r="G1210" s="1872"/>
      <c r="H1210" s="1940"/>
      <c r="I1210" s="1874"/>
      <c r="J1210" s="1862">
        <f t="shared" si="129"/>
        <v>4238</v>
      </c>
      <c r="K1210" s="1863">
        <f t="shared" si="130"/>
        <v>9.4177777777777774</v>
      </c>
      <c r="L1210" s="1862">
        <v>1</v>
      </c>
      <c r="M1210" s="1894" t="s">
        <v>7</v>
      </c>
      <c r="N1210" s="1895">
        <v>11</v>
      </c>
      <c r="O1210" s="3326" t="s">
        <v>52</v>
      </c>
      <c r="P1210" s="3327"/>
      <c r="Q1210" s="1897">
        <v>1</v>
      </c>
      <c r="R1210" s="1898">
        <v>0</v>
      </c>
      <c r="S1210" s="2517" t="s">
        <v>53</v>
      </c>
      <c r="T1210" s="1900">
        <v>633</v>
      </c>
      <c r="U1210" s="1824"/>
      <c r="V1210" s="3320">
        <f>VLOOKUP(M1210,'[1]TABELA FRETE'!$A$6:$B$12,2,0)</f>
        <v>466.4</v>
      </c>
      <c r="W1210" s="3321"/>
      <c r="X1210" s="3322"/>
      <c r="Y1210" s="3323"/>
    </row>
    <row r="1211" spans="2:25" s="1823" customFormat="1" ht="63" customHeight="1" thickBot="1">
      <c r="B1211" s="1938">
        <v>0.58333333333333304</v>
      </c>
      <c r="C1211" s="1844"/>
      <c r="D1211" s="2003" t="s">
        <v>78</v>
      </c>
      <c r="E1211" s="1872">
        <v>3373</v>
      </c>
      <c r="F1211" s="1976"/>
      <c r="G1211" s="1872"/>
      <c r="H1211" s="1940"/>
      <c r="I1211" s="1874"/>
      <c r="J1211" s="1862">
        <f t="shared" si="129"/>
        <v>3373</v>
      </c>
      <c r="K1211" s="1863">
        <f t="shared" si="130"/>
        <v>7.4955555555555557</v>
      </c>
      <c r="L1211" s="1862">
        <v>1</v>
      </c>
      <c r="M1211" s="1894">
        <v>1016</v>
      </c>
      <c r="N1211" s="1895">
        <v>8</v>
      </c>
      <c r="O1211" s="3306" t="s">
        <v>157</v>
      </c>
      <c r="P1211" s="3307"/>
      <c r="Q1211" s="1897">
        <v>1</v>
      </c>
      <c r="R1211" s="1898">
        <v>0</v>
      </c>
      <c r="S1211" s="2510" t="s">
        <v>158</v>
      </c>
      <c r="T1211" s="2005">
        <v>642</v>
      </c>
      <c r="U1211" s="1824"/>
      <c r="V1211" s="3320">
        <f>VLOOKUP(M1211,'[1]TABELA FRETE'!$A$6:$B$12,2,0)</f>
        <v>425.7</v>
      </c>
      <c r="W1211" s="3321"/>
      <c r="X1211" s="3322"/>
      <c r="Y1211" s="3323"/>
    </row>
    <row r="1212" spans="2:25" s="1823" customFormat="1" ht="48" customHeight="1" thickBot="1">
      <c r="B1212" s="1938">
        <v>0.58333333333333304</v>
      </c>
      <c r="C1212" s="1844"/>
      <c r="D1212" s="472">
        <v>19</v>
      </c>
      <c r="E1212" s="1872">
        <v>5933</v>
      </c>
      <c r="F1212" s="1976"/>
      <c r="G1212" s="1872"/>
      <c r="H1212" s="1977"/>
      <c r="I1212" s="1872"/>
      <c r="J1212" s="1862">
        <f>E1212+G1212+I1212</f>
        <v>5933</v>
      </c>
      <c r="K1212" s="1863">
        <f>J1212/450</f>
        <v>13.184444444444445</v>
      </c>
      <c r="L1212" s="1862">
        <v>1</v>
      </c>
      <c r="M1212" s="1949" t="s">
        <v>6</v>
      </c>
      <c r="N1212" s="2006">
        <v>14</v>
      </c>
      <c r="O1212" s="3466" t="s">
        <v>220</v>
      </c>
      <c r="P1212" s="3467"/>
      <c r="Q1212" s="2007">
        <v>1</v>
      </c>
      <c r="R1212" s="2008">
        <v>0</v>
      </c>
      <c r="S1212" s="4009" t="s">
        <v>221</v>
      </c>
      <c r="T1212" s="2008">
        <v>184422</v>
      </c>
      <c r="U1212" s="1824"/>
      <c r="V1212" s="3320">
        <f>VLOOKUP(M1212,'[1]TABELA FRETE'!$A$6:$B$12,2,0)</f>
        <v>489.5</v>
      </c>
      <c r="W1212" s="3321"/>
      <c r="X1212" s="3460"/>
      <c r="Y1212" s="3461"/>
    </row>
    <row r="1213" spans="2:25" s="1823" customFormat="1" ht="48" customHeight="1" thickBot="1">
      <c r="B1213" s="2116">
        <v>0.58333333333333304</v>
      </c>
      <c r="C1213" s="1844"/>
      <c r="D1213" s="1991">
        <v>3</v>
      </c>
      <c r="E1213" s="1992">
        <v>1140</v>
      </c>
      <c r="F1213" s="3999">
        <v>26</v>
      </c>
      <c r="G1213" s="1992">
        <v>1151</v>
      </c>
      <c r="H1213" s="3997"/>
      <c r="I1213" s="1992"/>
      <c r="J1213" s="1983">
        <f t="shared" si="129"/>
        <v>2291</v>
      </c>
      <c r="K1213" s="1984">
        <f t="shared" si="130"/>
        <v>5.0911111111111111</v>
      </c>
      <c r="L1213" s="3998">
        <v>1</v>
      </c>
      <c r="M1213" s="2016">
        <v>1016</v>
      </c>
      <c r="N1213" s="2109">
        <v>6</v>
      </c>
      <c r="O1213" s="3326" t="s">
        <v>83</v>
      </c>
      <c r="P1213" s="3327"/>
      <c r="Q1213" s="1988">
        <v>2</v>
      </c>
      <c r="R1213" s="2024">
        <v>0</v>
      </c>
      <c r="S1213" s="4005" t="s">
        <v>84</v>
      </c>
      <c r="T1213" s="2024">
        <v>655</v>
      </c>
      <c r="U1213" s="1824"/>
      <c r="V1213" s="3320">
        <f>VLOOKUP(M1213,'[1]TABELA FRETE'!$A$6:$B$12,2,0)</f>
        <v>425.7</v>
      </c>
      <c r="W1213" s="3321"/>
      <c r="X1213" s="3322"/>
      <c r="Y1213" s="3323"/>
    </row>
    <row r="1214" spans="2:25" s="1823" customFormat="1" ht="48" customHeight="1" thickBot="1">
      <c r="B1214" s="1938">
        <v>0.58333333333333304</v>
      </c>
      <c r="C1214" s="1844"/>
      <c r="D1214" s="1809">
        <v>32</v>
      </c>
      <c r="E1214" s="1872">
        <v>1748</v>
      </c>
      <c r="F1214" s="1976">
        <v>42</v>
      </c>
      <c r="G1214" s="1872">
        <v>2270</v>
      </c>
      <c r="H1214" s="1977"/>
      <c r="I1214" s="1872"/>
      <c r="J1214" s="1862">
        <f t="shared" si="129"/>
        <v>4018</v>
      </c>
      <c r="K1214" s="1863">
        <f t="shared" si="130"/>
        <v>8.9288888888888884</v>
      </c>
      <c r="L1214" s="1862">
        <v>1</v>
      </c>
      <c r="M1214" s="1894" t="s">
        <v>7</v>
      </c>
      <c r="N1214" s="1895">
        <v>12</v>
      </c>
      <c r="O1214" s="3326" t="s">
        <v>94</v>
      </c>
      <c r="P1214" s="3327"/>
      <c r="Q1214" s="1897">
        <v>1</v>
      </c>
      <c r="R1214" s="1900">
        <v>1</v>
      </c>
      <c r="S1214" s="2517" t="s">
        <v>95</v>
      </c>
      <c r="T1214" s="1950">
        <v>184422</v>
      </c>
      <c r="U1214" s="1824"/>
      <c r="V1214" s="3320">
        <f>VLOOKUP(M1214,'[1]TABELA FRETE'!$A$6:$B$12,2,0)</f>
        <v>466.4</v>
      </c>
      <c r="W1214" s="3321"/>
      <c r="X1214" s="3322"/>
      <c r="Y1214" s="3323"/>
    </row>
    <row r="1215" spans="2:25" s="1823" customFormat="1" ht="48" customHeight="1" thickBot="1">
      <c r="B1215" s="1974">
        <v>0.58333333333333304</v>
      </c>
      <c r="C1215" s="1844"/>
      <c r="D1215" s="1979">
        <v>46</v>
      </c>
      <c r="E1215" s="1982">
        <v>2788</v>
      </c>
      <c r="F1215" s="2114"/>
      <c r="G1215" s="1982"/>
      <c r="H1215" s="1981"/>
      <c r="I1215" s="1982"/>
      <c r="J1215" s="1983">
        <f>E1215+G1215+I1215</f>
        <v>2788</v>
      </c>
      <c r="K1215" s="1984">
        <f>J1215/450</f>
        <v>6.1955555555555559</v>
      </c>
      <c r="L1215" s="1983">
        <v>1</v>
      </c>
      <c r="M1215" s="2016">
        <v>1016</v>
      </c>
      <c r="N1215" s="2109">
        <v>8</v>
      </c>
      <c r="O1215" s="3306" t="s">
        <v>92</v>
      </c>
      <c r="P1215" s="3307"/>
      <c r="Q1215" s="1988">
        <v>2</v>
      </c>
      <c r="R1215" s="1989">
        <v>0</v>
      </c>
      <c r="S1215" s="4008" t="s">
        <v>93</v>
      </c>
      <c r="T1215" s="2024">
        <v>576</v>
      </c>
      <c r="U1215" s="2115"/>
      <c r="V1215" s="3320">
        <f>VLOOKUP(M1215,'[1]TABELA FRETE'!$A$6:$B$12,2,0)</f>
        <v>425.7</v>
      </c>
      <c r="W1215" s="3321"/>
      <c r="X1215" s="3460"/>
      <c r="Y1215" s="3461"/>
    </row>
    <row r="1216" spans="2:25" s="1823" customFormat="1" ht="48" customHeight="1" thickBot="1">
      <c r="B1216" s="1938">
        <v>0.58333333333333304</v>
      </c>
      <c r="C1216" s="1844"/>
      <c r="D1216" s="444">
        <v>47</v>
      </c>
      <c r="E1216" s="1872">
        <v>3688</v>
      </c>
      <c r="F1216" s="2003"/>
      <c r="G1216" s="1872"/>
      <c r="H1216" s="1940"/>
      <c r="I1216" s="1876"/>
      <c r="J1216" s="1862">
        <f>E1216+G1216+I1216</f>
        <v>3688</v>
      </c>
      <c r="K1216" s="1863">
        <f>J1216/450</f>
        <v>8.1955555555555559</v>
      </c>
      <c r="L1216" s="1862">
        <v>1</v>
      </c>
      <c r="M1216" s="1949">
        <v>1016</v>
      </c>
      <c r="N1216" s="1853">
        <v>8</v>
      </c>
      <c r="O1216" s="3306" t="s">
        <v>85</v>
      </c>
      <c r="P1216" s="3307"/>
      <c r="Q1216" s="1897">
        <v>2</v>
      </c>
      <c r="R1216" s="1950">
        <v>0</v>
      </c>
      <c r="S1216" s="2510" t="s">
        <v>86</v>
      </c>
      <c r="T1216" s="1950">
        <v>714</v>
      </c>
      <c r="U1216" s="1824"/>
      <c r="V1216" s="3320">
        <f>VLOOKUP(M1216,'[1]TABELA FRETE'!$A$6:$B$12,2,0)</f>
        <v>425.7</v>
      </c>
      <c r="W1216" s="3321"/>
      <c r="X1216" s="3322"/>
      <c r="Y1216" s="3323"/>
    </row>
    <row r="1217" spans="2:25" s="1823" customFormat="1" ht="63" customHeight="1" thickBot="1">
      <c r="B1217" s="2116">
        <v>0.58333333333333304</v>
      </c>
      <c r="C1217" s="1844"/>
      <c r="D1217" s="2117">
        <v>1129</v>
      </c>
      <c r="E1217" s="1992">
        <v>3277</v>
      </c>
      <c r="F1217" s="2117" t="s">
        <v>198</v>
      </c>
      <c r="G1217" s="1992">
        <v>2223</v>
      </c>
      <c r="H1217" s="2118"/>
      <c r="I1217" s="1992"/>
      <c r="J1217" s="1983">
        <f t="shared" si="129"/>
        <v>5500</v>
      </c>
      <c r="K1217" s="1984">
        <f t="shared" si="130"/>
        <v>12.222222222222221</v>
      </c>
      <c r="L1217" s="1994">
        <v>1</v>
      </c>
      <c r="M1217" s="2016" t="s">
        <v>7</v>
      </c>
      <c r="N1217" s="2109">
        <v>12</v>
      </c>
      <c r="O1217" s="3326" t="s">
        <v>76</v>
      </c>
      <c r="P1217" s="3327"/>
      <c r="Q1217" s="1988">
        <v>1</v>
      </c>
      <c r="R1217" s="2024">
        <v>1</v>
      </c>
      <c r="S1217" s="4005" t="s">
        <v>77</v>
      </c>
      <c r="T1217" s="2024">
        <v>184708</v>
      </c>
      <c r="U1217" s="1824"/>
      <c r="V1217" s="3320">
        <f>VLOOKUP(M1217,'[1]TABELA FRETE'!$D$25:$E$29,2,0)</f>
        <v>286</v>
      </c>
      <c r="W1217" s="3321"/>
      <c r="X1217" s="3458"/>
      <c r="Y1217" s="3459"/>
    </row>
    <row r="1218" spans="2:25" s="1823" customFormat="1" ht="63" customHeight="1" thickBot="1">
      <c r="B1218" s="1901">
        <v>0.58333333333333304</v>
      </c>
      <c r="C1218" s="1844"/>
      <c r="D1218" s="4000" t="s">
        <v>87</v>
      </c>
      <c r="E1218" s="1905">
        <v>1444</v>
      </c>
      <c r="F1218" s="1958">
        <v>6</v>
      </c>
      <c r="G1218" s="1903">
        <v>1109</v>
      </c>
      <c r="H1218" s="1959"/>
      <c r="I1218" s="1903"/>
      <c r="J1218" s="1908">
        <f t="shared" si="129"/>
        <v>2553</v>
      </c>
      <c r="K1218" s="1909">
        <f t="shared" si="130"/>
        <v>5.6733333333333329</v>
      </c>
      <c r="L1218" s="1908">
        <v>1</v>
      </c>
      <c r="M1218" s="2120">
        <v>1016</v>
      </c>
      <c r="N1218" s="2121">
        <v>8</v>
      </c>
      <c r="O1218" s="3308" t="s">
        <v>44</v>
      </c>
      <c r="P1218" s="3309"/>
      <c r="Q1218" s="2122">
        <v>2</v>
      </c>
      <c r="R1218" s="2030">
        <v>0</v>
      </c>
      <c r="S1218" s="4006" t="s">
        <v>197</v>
      </c>
      <c r="T1218" s="2030">
        <v>674</v>
      </c>
      <c r="U1218" s="1824"/>
      <c r="V1218" s="3320">
        <f>VLOOKUP(M1218,'[1]TABELA FRETE'!$A$6:$B$12,2,0)</f>
        <v>425.7</v>
      </c>
      <c r="W1218" s="3321"/>
      <c r="X1218" s="3460"/>
      <c r="Y1218" s="3461"/>
    </row>
    <row r="1219" spans="2:25" s="1916" customFormat="1" ht="6" customHeight="1" thickBot="1">
      <c r="B1219" s="1844"/>
      <c r="C1219" s="1844"/>
      <c r="D1219" s="2032"/>
      <c r="E1219" s="1919"/>
      <c r="F1219" s="2033"/>
      <c r="G1219" s="1919"/>
      <c r="H1219" s="1920"/>
      <c r="I1219" s="1919"/>
      <c r="J1219" s="1919"/>
      <c r="K1219" s="1921"/>
      <c r="L1219" s="1919"/>
      <c r="M1219" s="1966"/>
      <c r="N1219" s="1967"/>
      <c r="O1219" s="1968"/>
      <c r="P1219" s="1968"/>
      <c r="Q1219" s="1968"/>
      <c r="R1219" s="1968"/>
      <c r="S1219" s="2034"/>
      <c r="T1219" s="1968"/>
      <c r="U1219" s="1927"/>
      <c r="V1219" s="1928"/>
      <c r="W1219" s="1928"/>
      <c r="X1219" s="1929"/>
      <c r="Y1219" s="1929"/>
    </row>
    <row r="1220" spans="2:25" s="1823" customFormat="1" ht="48" customHeight="1" thickBot="1">
      <c r="B1220" s="1843">
        <v>0.70833333333333304</v>
      </c>
      <c r="C1220" s="1844"/>
      <c r="D1220" s="2123">
        <v>33</v>
      </c>
      <c r="E1220" s="1846">
        <v>2784</v>
      </c>
      <c r="F1220" s="2123">
        <v>36</v>
      </c>
      <c r="G1220" s="1846">
        <v>2288</v>
      </c>
      <c r="H1220" s="2123"/>
      <c r="I1220" s="1846"/>
      <c r="J1220" s="2038">
        <f t="shared" ref="J1220:J1228" si="131">E1220+G1220+I1220</f>
        <v>5072</v>
      </c>
      <c r="K1220" s="2039">
        <f t="shared" ref="K1220:K1227" si="132">J1220/450</f>
        <v>11.271111111111111</v>
      </c>
      <c r="L1220" s="2040">
        <v>1</v>
      </c>
      <c r="M1220" s="1852" t="s">
        <v>7</v>
      </c>
      <c r="N1220" s="1971">
        <v>12</v>
      </c>
      <c r="O1220" s="3296" t="s">
        <v>62</v>
      </c>
      <c r="P1220" s="3297"/>
      <c r="Q1220" s="1972">
        <v>2</v>
      </c>
      <c r="R1220" s="1856">
        <v>0</v>
      </c>
      <c r="S1220" s="2520" t="s">
        <v>63</v>
      </c>
      <c r="T1220" s="1856">
        <v>740</v>
      </c>
      <c r="U1220" s="1824"/>
      <c r="V1220" s="3320">
        <f>VLOOKUP(M1220,'[1]TABELA FRETE'!$A$6:$B$12,2,0)</f>
        <v>466.4</v>
      </c>
      <c r="W1220" s="3321"/>
      <c r="X1220" s="3322"/>
      <c r="Y1220" s="3323"/>
    </row>
    <row r="1221" spans="2:25" s="1823" customFormat="1" ht="48" customHeight="1" thickBot="1">
      <c r="B1221" s="1938">
        <v>0.70833333333333304</v>
      </c>
      <c r="C1221" s="1844"/>
      <c r="D1221" s="2124">
        <v>30</v>
      </c>
      <c r="E1221" s="1872">
        <v>1523</v>
      </c>
      <c r="F1221" s="2045">
        <v>21</v>
      </c>
      <c r="G1221" s="1860">
        <v>1702</v>
      </c>
      <c r="H1221" s="2013"/>
      <c r="I1221" s="1872"/>
      <c r="J1221" s="1952">
        <f t="shared" si="131"/>
        <v>3225</v>
      </c>
      <c r="K1221" s="2014">
        <f t="shared" si="132"/>
        <v>7.166666666666667</v>
      </c>
      <c r="L1221" s="1952">
        <v>1</v>
      </c>
      <c r="M1221" s="1949">
        <v>1016</v>
      </c>
      <c r="N1221" s="1853">
        <v>8</v>
      </c>
      <c r="O1221" s="3326" t="s">
        <v>44</v>
      </c>
      <c r="P1221" s="3327"/>
      <c r="Q1221" s="1897">
        <v>2</v>
      </c>
      <c r="R1221" s="1950">
        <v>2</v>
      </c>
      <c r="S1221" s="2510" t="s">
        <v>103</v>
      </c>
      <c r="T1221" s="1950">
        <v>674</v>
      </c>
      <c r="U1221" s="1824"/>
      <c r="V1221" s="3320">
        <f>VLOOKUP(M1221,'[1]TABELA FRETE'!$A$6:$B$12,2,0)</f>
        <v>425.7</v>
      </c>
      <c r="W1221" s="3321"/>
      <c r="X1221" s="3322"/>
      <c r="Y1221" s="3323"/>
    </row>
    <row r="1222" spans="2:25" s="1823" customFormat="1" ht="48" customHeight="1" thickBot="1">
      <c r="B1222" s="1938">
        <v>0.70833333333333304</v>
      </c>
      <c r="C1222" s="1844"/>
      <c r="D1222" s="2124">
        <v>4</v>
      </c>
      <c r="E1222" s="1872">
        <v>1493</v>
      </c>
      <c r="F1222" s="2126"/>
      <c r="G1222" s="1860"/>
      <c r="H1222" s="2049"/>
      <c r="I1222" s="1872"/>
      <c r="J1222" s="1952">
        <f t="shared" si="131"/>
        <v>1493</v>
      </c>
      <c r="K1222" s="2014">
        <f t="shared" si="132"/>
        <v>3.3177777777777777</v>
      </c>
      <c r="L1222" s="1952">
        <v>1</v>
      </c>
      <c r="M1222" s="1949">
        <v>1016</v>
      </c>
      <c r="N1222" s="1853">
        <v>8</v>
      </c>
      <c r="O1222" s="3326" t="s">
        <v>92</v>
      </c>
      <c r="P1222" s="3327"/>
      <c r="Q1222" s="1855">
        <v>2</v>
      </c>
      <c r="R1222" s="1950">
        <v>2</v>
      </c>
      <c r="S1222" s="2510" t="s">
        <v>104</v>
      </c>
      <c r="T1222" s="1950">
        <v>576</v>
      </c>
      <c r="U1222" s="1927"/>
      <c r="V1222" s="3320">
        <f>VLOOKUP(M1222,'[1]TABELA FRETE'!$A$6:$B$12,2,0)</f>
        <v>425.7</v>
      </c>
      <c r="W1222" s="3321"/>
      <c r="X1222" s="3322"/>
      <c r="Y1222" s="3323"/>
    </row>
    <row r="1223" spans="2:25" s="1823" customFormat="1" ht="48" customHeight="1" thickBot="1">
      <c r="B1223" s="1938">
        <v>0.70833333333333304</v>
      </c>
      <c r="C1223" s="1844"/>
      <c r="D1223" s="2124">
        <v>18</v>
      </c>
      <c r="E1223" s="1872">
        <v>1733</v>
      </c>
      <c r="F1223" s="2126"/>
      <c r="G1223" s="1860"/>
      <c r="H1223" s="2049"/>
      <c r="I1223" s="1872"/>
      <c r="J1223" s="1952">
        <f t="shared" si="131"/>
        <v>1733</v>
      </c>
      <c r="K1223" s="2014">
        <f t="shared" si="132"/>
        <v>3.8511111111111109</v>
      </c>
      <c r="L1223" s="1952">
        <v>1</v>
      </c>
      <c r="M1223" s="1894">
        <v>1016</v>
      </c>
      <c r="N1223" s="2112">
        <v>7</v>
      </c>
      <c r="O1223" s="3466" t="s">
        <v>56</v>
      </c>
      <c r="P1223" s="3467"/>
      <c r="Q1223" s="1897">
        <v>1</v>
      </c>
      <c r="R1223" s="1898">
        <v>0</v>
      </c>
      <c r="S1223" s="2513" t="s">
        <v>57</v>
      </c>
      <c r="T1223" s="1900">
        <v>663</v>
      </c>
      <c r="U1223" s="1927"/>
      <c r="V1223" s="3320">
        <f>VLOOKUP(M1223,'[1]TABELA FRETE'!$A$6:$B$12,2,0)</f>
        <v>425.7</v>
      </c>
      <c r="W1223" s="3321"/>
      <c r="X1223" s="3322"/>
      <c r="Y1223" s="3323"/>
    </row>
    <row r="1224" spans="2:25" s="1823" customFormat="1" ht="48" customHeight="1" thickBot="1">
      <c r="B1224" s="1858">
        <v>0.70833333333333304</v>
      </c>
      <c r="C1224" s="1844"/>
      <c r="D1224" s="2124">
        <v>27</v>
      </c>
      <c r="E1224" s="1872">
        <v>860</v>
      </c>
      <c r="F1224" s="2048" t="s">
        <v>201</v>
      </c>
      <c r="G1224" s="1872">
        <v>1608</v>
      </c>
      <c r="H1224" s="2013"/>
      <c r="I1224" s="1872"/>
      <c r="J1224" s="1952">
        <f t="shared" si="131"/>
        <v>2468</v>
      </c>
      <c r="K1224" s="2014">
        <f t="shared" si="132"/>
        <v>5.4844444444444447</v>
      </c>
      <c r="L1224" s="1952">
        <v>1</v>
      </c>
      <c r="M1224" s="1949">
        <v>1016</v>
      </c>
      <c r="N1224" s="1853">
        <v>8</v>
      </c>
      <c r="O1224" s="3326" t="s">
        <v>106</v>
      </c>
      <c r="P1224" s="3327"/>
      <c r="Q1224" s="1855">
        <v>1</v>
      </c>
      <c r="R1224" s="1950">
        <v>2</v>
      </c>
      <c r="S1224" s="2510" t="s">
        <v>734</v>
      </c>
      <c r="T1224" s="1950">
        <v>606</v>
      </c>
      <c r="U1224" s="1824"/>
      <c r="V1224" s="3320">
        <f>VLOOKUP(M1224,'[1]TABELA FRETE'!$A$6:$B$12,2,0)</f>
        <v>425.7</v>
      </c>
      <c r="W1224" s="3321"/>
      <c r="X1224" s="3322"/>
      <c r="Y1224" s="3323"/>
    </row>
    <row r="1225" spans="2:25" s="1823" customFormat="1" ht="48" customHeight="1" thickBot="1">
      <c r="B1225" s="1858">
        <v>0.70833333333333304</v>
      </c>
      <c r="C1225" s="1844"/>
      <c r="D1225" s="2124">
        <v>7</v>
      </c>
      <c r="E1225" s="1874">
        <v>4018</v>
      </c>
      <c r="F1225" s="2048"/>
      <c r="G1225" s="1872"/>
      <c r="H1225" s="2049"/>
      <c r="I1225" s="1872"/>
      <c r="J1225" s="2000">
        <f t="shared" si="131"/>
        <v>4018</v>
      </c>
      <c r="K1225" s="2001">
        <f t="shared" si="132"/>
        <v>8.9288888888888884</v>
      </c>
      <c r="L1225" s="2000">
        <v>1</v>
      </c>
      <c r="M1225" s="1949" t="s">
        <v>7</v>
      </c>
      <c r="N1225" s="1853">
        <v>12</v>
      </c>
      <c r="O1225" s="3326" t="s">
        <v>50</v>
      </c>
      <c r="P1225" s="3327"/>
      <c r="Q1225" s="1855">
        <v>2</v>
      </c>
      <c r="R1225" s="1950">
        <v>2</v>
      </c>
      <c r="S1225" s="2510" t="s">
        <v>105</v>
      </c>
      <c r="T1225" s="1950">
        <v>612</v>
      </c>
      <c r="U1225" s="1927"/>
      <c r="V1225" s="3320">
        <f>VLOOKUP(M1225,'[1]TABELA FRETE'!$A$6:$B$12,2,0)</f>
        <v>466.4</v>
      </c>
      <c r="W1225" s="3321"/>
      <c r="X1225" s="3322"/>
      <c r="Y1225" s="3323"/>
    </row>
    <row r="1226" spans="2:25" s="1823" customFormat="1" ht="48" customHeight="1" thickBot="1">
      <c r="B1226" s="1938">
        <v>0.70833333333333304</v>
      </c>
      <c r="C1226" s="1844"/>
      <c r="D1226" s="2127">
        <v>48</v>
      </c>
      <c r="E1226" s="1872">
        <v>1762</v>
      </c>
      <c r="F1226" s="2060"/>
      <c r="G1226" s="1872"/>
      <c r="H1226" s="1940"/>
      <c r="I1226" s="1874"/>
      <c r="J1226" s="1862">
        <f t="shared" si="131"/>
        <v>1762</v>
      </c>
      <c r="K1226" s="1863">
        <f t="shared" si="132"/>
        <v>3.9155555555555557</v>
      </c>
      <c r="L1226" s="1862">
        <v>1</v>
      </c>
      <c r="M1226" s="1894">
        <v>1016</v>
      </c>
      <c r="N1226" s="1895">
        <v>8</v>
      </c>
      <c r="O1226" s="3306" t="s">
        <v>85</v>
      </c>
      <c r="P1226" s="3307"/>
      <c r="Q1226" s="1897">
        <v>2</v>
      </c>
      <c r="R1226" s="1898">
        <v>3</v>
      </c>
      <c r="S1226" s="2513" t="s">
        <v>86</v>
      </c>
      <c r="T1226" s="1900">
        <v>714</v>
      </c>
      <c r="U1226" s="1824"/>
      <c r="V1226" s="3320">
        <f>VLOOKUP(M1226,'[1]TABELA FRETE'!$A$6:$B$12,2,0)</f>
        <v>425.7</v>
      </c>
      <c r="W1226" s="3321"/>
      <c r="X1226" s="3322"/>
      <c r="Y1226" s="3323"/>
    </row>
    <row r="1227" spans="2:25" s="1823" customFormat="1" ht="48" customHeight="1" thickBot="1">
      <c r="B1227" s="1901">
        <v>0.70833333333333304</v>
      </c>
      <c r="C1227" s="1844"/>
      <c r="D1227" s="2128">
        <v>13</v>
      </c>
      <c r="E1227" s="1903">
        <v>1916</v>
      </c>
      <c r="F1227" s="2062"/>
      <c r="G1227" s="1905"/>
      <c r="H1227" s="2063"/>
      <c r="I1227" s="1905"/>
      <c r="J1227" s="2064">
        <f t="shared" si="131"/>
        <v>1916</v>
      </c>
      <c r="K1227" s="2065">
        <f t="shared" si="132"/>
        <v>4.2577777777777781</v>
      </c>
      <c r="L1227" s="2064">
        <v>1</v>
      </c>
      <c r="M1227" s="2027" t="s">
        <v>7</v>
      </c>
      <c r="N1227" s="2028">
        <v>12</v>
      </c>
      <c r="O1227" s="3470" t="s">
        <v>68</v>
      </c>
      <c r="P1227" s="3471"/>
      <c r="Q1227" s="2122">
        <v>1</v>
      </c>
      <c r="R1227" s="2030">
        <v>1</v>
      </c>
      <c r="S1227" s="4006" t="s">
        <v>174</v>
      </c>
      <c r="T1227" s="2030">
        <v>808</v>
      </c>
      <c r="U1227" s="1824"/>
      <c r="V1227" s="3320">
        <f>VLOOKUP(M1227,'[1]TABELA FRETE'!$D$7:$E$12,2,0)</f>
        <v>1161.5999999999999</v>
      </c>
      <c r="W1227" s="3321"/>
      <c r="X1227" s="3322"/>
      <c r="Y1227" s="3323"/>
    </row>
    <row r="1228" spans="2:25" s="1823" customFormat="1" ht="46.5" customHeight="1" thickBot="1">
      <c r="B1228" s="2069" t="s">
        <v>108</v>
      </c>
      <c r="C1228" s="2070"/>
      <c r="D1228" s="2071"/>
      <c r="E1228" s="2072">
        <f>SUM(E1189:E1227)</f>
        <v>92139</v>
      </c>
      <c r="F1228" s="2072" t="s">
        <v>109</v>
      </c>
      <c r="G1228" s="2072">
        <f>SUM(G1189:G1227)</f>
        <v>28909</v>
      </c>
      <c r="H1228" s="2072" t="s">
        <v>109</v>
      </c>
      <c r="I1228" s="1836">
        <f>SUM(I1189:I1227)</f>
        <v>0</v>
      </c>
      <c r="J1228" s="1836">
        <f t="shared" si="131"/>
        <v>121048</v>
      </c>
      <c r="K1228" s="2073">
        <f>SUM(K1189:K1227)</f>
        <v>268.9955555555556</v>
      </c>
      <c r="L1228" s="2074">
        <f>SUM(L1189:L1227)</f>
        <v>36</v>
      </c>
      <c r="M1228" s="2075" t="s">
        <v>110</v>
      </c>
      <c r="N1228" s="2069">
        <f>SUM(N1189:N1227)</f>
        <v>325</v>
      </c>
      <c r="O1228" s="2072" t="s">
        <v>32</v>
      </c>
      <c r="P1228" s="2072"/>
      <c r="Q1228" s="1836"/>
      <c r="R1228" s="2076">
        <f>SUM(R1189:R1227)</f>
        <v>14</v>
      </c>
      <c r="S1228" s="2077" t="s">
        <v>111</v>
      </c>
      <c r="T1228" s="2078"/>
      <c r="U1228" s="1824"/>
      <c r="V1228" s="3472">
        <f>SUM(V1189:W1227)</f>
        <v>15948.900000000003</v>
      </c>
      <c r="W1228" s="3473"/>
      <c r="X1228" s="3474">
        <f>COUNT(X1189:Y1227)</f>
        <v>0</v>
      </c>
      <c r="Y1228" s="3475"/>
    </row>
    <row r="1229" spans="2:25" s="1823" customFormat="1" ht="39" customHeight="1" thickBot="1">
      <c r="B1229" s="3288" t="s">
        <v>112</v>
      </c>
      <c r="C1229" s="3346"/>
      <c r="D1229" s="3346"/>
      <c r="E1229" s="3346"/>
      <c r="F1229" s="3346"/>
      <c r="G1229" s="3346"/>
      <c r="H1229" s="3346"/>
      <c r="I1229" s="3346"/>
      <c r="J1229" s="3346"/>
      <c r="K1229" s="2079">
        <v>44</v>
      </c>
      <c r="L1229" s="3346" t="s">
        <v>113</v>
      </c>
      <c r="M1229" s="3289"/>
      <c r="N1229" s="3347" t="s">
        <v>114</v>
      </c>
      <c r="O1229" s="3348"/>
      <c r="P1229" s="3348"/>
      <c r="Q1229" s="3348"/>
      <c r="R1229" s="3349"/>
      <c r="S1229" s="3347" t="s">
        <v>115</v>
      </c>
      <c r="T1229" s="3349"/>
      <c r="U1229" s="1824"/>
      <c r="V1229" s="3338"/>
      <c r="W1229" s="3339"/>
      <c r="X1229" s="3342"/>
      <c r="Y1229" s="3343"/>
    </row>
    <row r="1230" spans="2:25" s="1823" customFormat="1" ht="6.75" customHeight="1" thickBot="1">
      <c r="B1230" s="3350" t="s">
        <v>116</v>
      </c>
      <c r="C1230" s="3351"/>
      <c r="D1230" s="3351"/>
      <c r="E1230" s="3354">
        <f>L1228</f>
        <v>36</v>
      </c>
      <c r="F1230" s="3350" t="s">
        <v>30</v>
      </c>
      <c r="G1230" s="3351"/>
      <c r="H1230" s="3354">
        <f>J1228</f>
        <v>121048</v>
      </c>
      <c r="I1230" s="3356"/>
      <c r="J1230" s="3351" t="s">
        <v>117</v>
      </c>
      <c r="K1230" s="3356">
        <f>H1230/E1230</f>
        <v>3362.4444444444443</v>
      </c>
      <c r="L1230" s="3354" t="s">
        <v>118</v>
      </c>
      <c r="M1230" s="3354"/>
      <c r="N1230" s="3354"/>
      <c r="O1230" s="3356">
        <v>44</v>
      </c>
      <c r="P1230" s="2080"/>
      <c r="Q1230" s="2080"/>
      <c r="R1230" s="2080"/>
      <c r="S1230" s="2080"/>
      <c r="T1230" s="2081"/>
      <c r="U1230" s="1824"/>
      <c r="V1230" s="3340"/>
      <c r="W1230" s="3341"/>
      <c r="X1230" s="3344"/>
      <c r="Y1230" s="3345"/>
    </row>
    <row r="1231" spans="2:25" s="1823" customFormat="1" ht="34.5" customHeight="1" thickBot="1">
      <c r="B1231" s="3352"/>
      <c r="C1231" s="3353"/>
      <c r="D1231" s="3353"/>
      <c r="E1231" s="3355"/>
      <c r="F1231" s="3352"/>
      <c r="G1231" s="3353"/>
      <c r="H1231" s="3355"/>
      <c r="I1231" s="3357"/>
      <c r="J1231" s="3353"/>
      <c r="K1231" s="3357"/>
      <c r="L1231" s="3355"/>
      <c r="M1231" s="3355"/>
      <c r="N1231" s="3355"/>
      <c r="O1231" s="3357"/>
      <c r="P1231" s="2082"/>
      <c r="Q1231" s="3358" t="s">
        <v>119</v>
      </c>
      <c r="R1231" s="3359"/>
      <c r="S1231" s="3359"/>
      <c r="T1231" s="3360"/>
      <c r="U1231" s="1824"/>
      <c r="V1231" s="3361" t="s">
        <v>120</v>
      </c>
      <c r="W1231" s="3362"/>
      <c r="X1231" s="3365" t="s">
        <v>121</v>
      </c>
      <c r="Y1231" s="3366"/>
    </row>
    <row r="1232" spans="2:25" s="1823" customFormat="1" ht="40.5" customHeight="1">
      <c r="B1232" s="3369" t="s">
        <v>122</v>
      </c>
      <c r="C1232" s="3371" t="s">
        <v>33</v>
      </c>
      <c r="D1232" s="3372"/>
      <c r="E1232" s="3375" t="s">
        <v>123</v>
      </c>
      <c r="F1232" s="3376"/>
      <c r="G1232" s="3376"/>
      <c r="H1232" s="3376"/>
      <c r="I1232" s="3376"/>
      <c r="J1232" s="3376"/>
      <c r="K1232" s="3376"/>
      <c r="L1232" s="3376"/>
      <c r="M1232" s="3376"/>
      <c r="N1232" s="3376"/>
      <c r="O1232" s="3377"/>
      <c r="P1232" s="2083"/>
      <c r="Q1232" s="3384" t="s">
        <v>731</v>
      </c>
      <c r="R1232" s="3385"/>
      <c r="S1232" s="3385"/>
      <c r="T1232" s="3386"/>
      <c r="U1232" s="1824"/>
      <c r="V1232" s="3361"/>
      <c r="W1232" s="3362"/>
      <c r="X1232" s="3365"/>
      <c r="Y1232" s="3366"/>
    </row>
    <row r="1233" spans="2:25" s="1823" customFormat="1" ht="40.5" customHeight="1" thickBot="1">
      <c r="B1233" s="3370"/>
      <c r="C1233" s="3476"/>
      <c r="D1233" s="3477"/>
      <c r="E1233" s="3378"/>
      <c r="F1233" s="3379"/>
      <c r="G1233" s="3379"/>
      <c r="H1233" s="3379"/>
      <c r="I1233" s="3379"/>
      <c r="J1233" s="3379"/>
      <c r="K1233" s="3379"/>
      <c r="L1233" s="3379"/>
      <c r="M1233" s="3379"/>
      <c r="N1233" s="3379"/>
      <c r="O1233" s="3380"/>
      <c r="P1233" s="2084"/>
      <c r="Q1233" s="3387" t="s">
        <v>732</v>
      </c>
      <c r="R1233" s="3388"/>
      <c r="S1233" s="3388"/>
      <c r="T1233" s="3389"/>
      <c r="U1233" s="1824"/>
      <c r="V1233" s="3363"/>
      <c r="W1233" s="3364"/>
      <c r="X1233" s="3367"/>
      <c r="Y1233" s="3368"/>
    </row>
    <row r="1234" spans="2:25" s="1823" customFormat="1" ht="40.5" customHeight="1" thickBot="1">
      <c r="B1234" s="2085" t="s">
        <v>9</v>
      </c>
      <c r="C1234" s="3478">
        <f>COUNTIF(M1189:M1227,"kia")</f>
        <v>2</v>
      </c>
      <c r="D1234" s="3479"/>
      <c r="E1234" s="3381"/>
      <c r="F1234" s="3382"/>
      <c r="G1234" s="3382"/>
      <c r="H1234" s="3382"/>
      <c r="I1234" s="3382"/>
      <c r="J1234" s="3382"/>
      <c r="K1234" s="3382"/>
      <c r="L1234" s="3382"/>
      <c r="M1234" s="3382"/>
      <c r="N1234" s="3382"/>
      <c r="O1234" s="3383"/>
      <c r="P1234" s="2084"/>
      <c r="Q1234" s="3392" t="s">
        <v>126</v>
      </c>
      <c r="R1234" s="3393"/>
      <c r="S1234" s="3393"/>
      <c r="T1234" s="3394"/>
      <c r="U1234" s="1824"/>
      <c r="V1234" s="1838"/>
      <c r="W1234" s="1838"/>
      <c r="X1234" s="1838"/>
      <c r="Y1234" s="1838"/>
    </row>
    <row r="1235" spans="2:25" s="1823" customFormat="1" ht="40.5" customHeight="1">
      <c r="B1235" s="2086" t="s">
        <v>8</v>
      </c>
      <c r="C1235" s="3480">
        <f>COUNTIF(M1189:M1227,"iveco")</f>
        <v>1</v>
      </c>
      <c r="D1235" s="3481"/>
      <c r="E1235" s="3397" t="s">
        <v>127</v>
      </c>
      <c r="F1235" s="3398"/>
      <c r="G1235" s="3398"/>
      <c r="H1235" s="3398"/>
      <c r="I1235" s="3398"/>
      <c r="J1235" s="3398"/>
      <c r="K1235" s="3398"/>
      <c r="L1235" s="3398"/>
      <c r="M1235" s="3398"/>
      <c r="N1235" s="3398"/>
      <c r="O1235" s="3399"/>
      <c r="P1235" s="2084"/>
      <c r="Q1235" s="3403" t="s">
        <v>733</v>
      </c>
      <c r="R1235" s="3404"/>
      <c r="S1235" s="3404"/>
      <c r="T1235" s="3405"/>
      <c r="U1235" s="1824"/>
      <c r="V1235" s="3412" t="s">
        <v>129</v>
      </c>
      <c r="W1235" s="3413"/>
      <c r="X1235" s="3413"/>
      <c r="Y1235" s="3414"/>
    </row>
    <row r="1236" spans="2:25" s="1823" customFormat="1" ht="40.5" customHeight="1" thickBot="1">
      <c r="B1236" s="2086">
        <v>1016</v>
      </c>
      <c r="C1236" s="3480">
        <f>COUNTIF(M1189:M1227,"1016")</f>
        <v>20</v>
      </c>
      <c r="D1236" s="3481"/>
      <c r="E1236" s="3400"/>
      <c r="F1236" s="3401"/>
      <c r="G1236" s="3401"/>
      <c r="H1236" s="3401"/>
      <c r="I1236" s="3401"/>
      <c r="J1236" s="3401"/>
      <c r="K1236" s="3401"/>
      <c r="L1236" s="3401"/>
      <c r="M1236" s="3401"/>
      <c r="N1236" s="3401"/>
      <c r="O1236" s="3402"/>
      <c r="P1236" s="2084"/>
      <c r="Q1236" s="3406"/>
      <c r="R1236" s="3407"/>
      <c r="S1236" s="3407"/>
      <c r="T1236" s="3408"/>
      <c r="U1236" s="1824"/>
      <c r="V1236" s="3415" t="s">
        <v>130</v>
      </c>
      <c r="W1236" s="3416"/>
      <c r="X1236" s="3416"/>
      <c r="Y1236" s="3417"/>
    </row>
    <row r="1237" spans="2:25" s="1823" customFormat="1" ht="40.5" customHeight="1" thickBot="1">
      <c r="B1237" s="2086" t="s">
        <v>7</v>
      </c>
      <c r="C1237" s="3480">
        <f>COUNTIF(M1189:M1227,"toco")</f>
        <v>10</v>
      </c>
      <c r="D1237" s="3481"/>
      <c r="E1237" s="3421" t="s">
        <v>131</v>
      </c>
      <c r="F1237" s="3422"/>
      <c r="G1237" s="3422"/>
      <c r="H1237" s="3422"/>
      <c r="I1237" s="3422"/>
      <c r="J1237" s="3422"/>
      <c r="K1237" s="3422"/>
      <c r="L1237" s="3422"/>
      <c r="M1237" s="3422"/>
      <c r="N1237" s="3422"/>
      <c r="O1237" s="3423"/>
      <c r="P1237" s="2083"/>
      <c r="Q1237" s="3409"/>
      <c r="R1237" s="3410"/>
      <c r="S1237" s="3410"/>
      <c r="T1237" s="3411"/>
      <c r="U1237" s="1824"/>
      <c r="V1237" s="3418"/>
      <c r="W1237" s="3419"/>
      <c r="X1237" s="3419"/>
      <c r="Y1237" s="3420"/>
    </row>
    <row r="1238" spans="2:25" s="1823" customFormat="1" ht="40.5" customHeight="1" thickBot="1">
      <c r="B1238" s="2087" t="s">
        <v>6</v>
      </c>
      <c r="C1238" s="3482">
        <f>COUNTIF(M1189:M1227,"truck")</f>
        <v>3</v>
      </c>
      <c r="D1238" s="3483"/>
      <c r="E1238" s="3424"/>
      <c r="F1238" s="3425"/>
      <c r="G1238" s="3425"/>
      <c r="H1238" s="3425"/>
      <c r="I1238" s="3425"/>
      <c r="J1238" s="3425"/>
      <c r="K1238" s="3425"/>
      <c r="L1238" s="3425"/>
      <c r="M1238" s="3425"/>
      <c r="N1238" s="3425"/>
      <c r="O1238" s="3426"/>
      <c r="P1238" s="2083"/>
      <c r="Q1238" s="3429" t="s">
        <v>132</v>
      </c>
      <c r="R1238" s="3430"/>
      <c r="S1238" s="3430"/>
      <c r="T1238" s="3431"/>
      <c r="U1238" s="1824"/>
      <c r="V1238" s="3435" t="s">
        <v>133</v>
      </c>
      <c r="W1238" s="3436"/>
      <c r="X1238" s="3441">
        <f>SUM(E1189:E1227,G1189:G1227,I1189:I1227)</f>
        <v>121048</v>
      </c>
      <c r="Y1238" s="3442"/>
    </row>
    <row r="1239" spans="2:25" s="1823" customFormat="1" ht="40.5" customHeight="1">
      <c r="B1239" s="3369" t="s">
        <v>134</v>
      </c>
      <c r="C1239" s="3476">
        <f>SUM(C1234:D1238)</f>
        <v>36</v>
      </c>
      <c r="D1239" s="3477"/>
      <c r="E1239" s="2552" t="s">
        <v>737</v>
      </c>
      <c r="F1239" s="3448"/>
      <c r="G1239" s="3448"/>
      <c r="H1239" s="3448"/>
      <c r="I1239" s="3448"/>
      <c r="J1239" s="3448"/>
      <c r="K1239" s="3448"/>
      <c r="L1239" s="3448"/>
      <c r="M1239" s="3448"/>
      <c r="N1239" s="3448"/>
      <c r="O1239" s="3449"/>
      <c r="P1239" s="2088"/>
      <c r="Q1239" s="3429"/>
      <c r="R1239" s="3430"/>
      <c r="S1239" s="3430"/>
      <c r="T1239" s="3431"/>
      <c r="U1239" s="2089"/>
      <c r="V1239" s="3437"/>
      <c r="W1239" s="3438"/>
      <c r="X1239" s="3443"/>
      <c r="Y1239" s="3444"/>
    </row>
    <row r="1240" spans="2:25" s="1823" customFormat="1" ht="40.5" customHeight="1" thickBot="1">
      <c r="B1240" s="3370"/>
      <c r="C1240" s="3373"/>
      <c r="D1240" s="3374"/>
      <c r="E1240" s="3424"/>
      <c r="F1240" s="3425"/>
      <c r="G1240" s="3425"/>
      <c r="H1240" s="3425"/>
      <c r="I1240" s="3425"/>
      <c r="J1240" s="3425"/>
      <c r="K1240" s="3425"/>
      <c r="L1240" s="3425"/>
      <c r="M1240" s="3425"/>
      <c r="N1240" s="3425"/>
      <c r="O1240" s="3426"/>
      <c r="P1240" s="2090"/>
      <c r="Q1240" s="3429"/>
      <c r="R1240" s="3430"/>
      <c r="S1240" s="3430"/>
      <c r="T1240" s="3431"/>
      <c r="U1240" s="2089"/>
      <c r="V1240" s="3437"/>
      <c r="W1240" s="3438"/>
      <c r="X1240" s="3443"/>
      <c r="Y1240" s="3444"/>
    </row>
    <row r="1241" spans="2:25" s="1842" customFormat="1" ht="40.5" customHeight="1" thickBot="1">
      <c r="B1241" s="2091" t="s">
        <v>136</v>
      </c>
      <c r="C1241" s="3450" t="s">
        <v>137</v>
      </c>
      <c r="D1241" s="3451"/>
      <c r="E1241" s="3451"/>
      <c r="F1241" s="3451"/>
      <c r="G1241" s="3451"/>
      <c r="H1241" s="3451"/>
      <c r="I1241" s="3451"/>
      <c r="J1241" s="3451"/>
      <c r="K1241" s="3451"/>
      <c r="L1241" s="3451"/>
      <c r="M1241" s="3451"/>
      <c r="N1241" s="3451"/>
      <c r="O1241" s="3452"/>
      <c r="P1241" s="2090"/>
      <c r="Q1241" s="3432"/>
      <c r="R1241" s="3433"/>
      <c r="S1241" s="3433"/>
      <c r="T1241" s="3434"/>
      <c r="V1241" s="3439"/>
      <c r="W1241" s="3440"/>
      <c r="X1241" s="3445"/>
      <c r="Y1241" s="3446"/>
    </row>
    <row r="1248" spans="2:25" ht="13.5" thickBot="1"/>
    <row r="1249" spans="1:25" s="1823" customFormat="1" ht="42.75" customHeight="1" thickBot="1">
      <c r="A1249" s="1823" t="s">
        <v>17</v>
      </c>
      <c r="B1249" s="3484"/>
      <c r="C1249" s="3485"/>
      <c r="D1249" s="3485"/>
      <c r="E1249" s="3485"/>
      <c r="F1249" s="3485"/>
      <c r="G1249" s="3485"/>
      <c r="H1249" s="3485"/>
      <c r="I1249" s="3486"/>
      <c r="J1249" s="3490" t="s">
        <v>18</v>
      </c>
      <c r="K1249" s="3491"/>
      <c r="L1249" s="3491"/>
      <c r="M1249" s="3491"/>
      <c r="N1249" s="3491"/>
      <c r="O1249" s="3491"/>
      <c r="P1249" s="3491"/>
      <c r="Q1249" s="3492"/>
      <c r="R1249" s="3267">
        <v>46163</v>
      </c>
      <c r="S1249" s="3268"/>
      <c r="T1249" s="3269"/>
      <c r="U1249" s="1824"/>
      <c r="V1249" s="3273" t="s">
        <v>19</v>
      </c>
      <c r="W1249" s="3274"/>
      <c r="X1249" s="3273" t="s">
        <v>19</v>
      </c>
      <c r="Y1249" s="3274"/>
    </row>
    <row r="1250" spans="1:25" s="1823" customFormat="1" ht="42.75" customHeight="1" thickBot="1">
      <c r="B1250" s="3487"/>
      <c r="C1250" s="3488"/>
      <c r="D1250" s="3488"/>
      <c r="E1250" s="3488"/>
      <c r="F1250" s="3488"/>
      <c r="G1250" s="3488"/>
      <c r="H1250" s="3488"/>
      <c r="I1250" s="3489"/>
      <c r="J1250" s="3277" t="s">
        <v>20</v>
      </c>
      <c r="K1250" s="3278"/>
      <c r="L1250" s="3278"/>
      <c r="M1250" s="3278"/>
      <c r="N1250" s="3278"/>
      <c r="O1250" s="3278"/>
      <c r="P1250" s="3278"/>
      <c r="Q1250" s="3279"/>
      <c r="R1250" s="3270"/>
      <c r="S1250" s="3271"/>
      <c r="T1250" s="3272"/>
      <c r="U1250" s="1824"/>
      <c r="V1250" s="3275"/>
      <c r="W1250" s="3276"/>
      <c r="X1250" s="3275"/>
      <c r="Y1250" s="3276"/>
    </row>
    <row r="1251" spans="1:25" s="1823" customFormat="1" ht="6" customHeight="1" thickBot="1">
      <c r="B1251" s="2131"/>
      <c r="C1251" s="2132"/>
      <c r="D1251" s="2130"/>
      <c r="E1251" s="2130"/>
      <c r="F1251" s="2130"/>
      <c r="G1251" s="2130"/>
      <c r="H1251" s="2130"/>
      <c r="I1251" s="2130"/>
      <c r="J1251" s="3280"/>
      <c r="K1251" s="3281"/>
      <c r="L1251" s="3281"/>
      <c r="M1251" s="3281"/>
      <c r="N1251" s="3281"/>
      <c r="O1251" s="3281"/>
      <c r="P1251" s="3281"/>
      <c r="Q1251" s="3282"/>
      <c r="R1251" s="2133" t="s">
        <v>21</v>
      </c>
      <c r="S1251" s="2133"/>
      <c r="T1251" s="2134"/>
      <c r="U1251" s="1824"/>
      <c r="V1251" s="1826"/>
      <c r="W1251" s="1827"/>
      <c r="X1251" s="1826"/>
      <c r="Y1251" s="1827"/>
    </row>
    <row r="1252" spans="1:25" s="1823" customFormat="1" ht="54" customHeight="1" thickBot="1">
      <c r="B1252" s="3286" t="s">
        <v>22</v>
      </c>
      <c r="C1252" s="1832"/>
      <c r="D1252" s="3288" t="s">
        <v>23</v>
      </c>
      <c r="E1252" s="3289"/>
      <c r="F1252" s="3288" t="s">
        <v>24</v>
      </c>
      <c r="G1252" s="3289"/>
      <c r="H1252" s="3288" t="s">
        <v>25</v>
      </c>
      <c r="I1252" s="3289"/>
      <c r="J1252" s="3283"/>
      <c r="K1252" s="3284"/>
      <c r="L1252" s="3284"/>
      <c r="M1252" s="3284"/>
      <c r="N1252" s="3284"/>
      <c r="O1252" s="3284"/>
      <c r="P1252" s="3284"/>
      <c r="Q1252" s="3285"/>
      <c r="R1252" s="3290" t="s">
        <v>26</v>
      </c>
      <c r="S1252" s="3291"/>
      <c r="T1252" s="2135">
        <f>L1298</f>
        <v>41</v>
      </c>
      <c r="U1252" s="1838"/>
      <c r="V1252" s="3292" t="s">
        <v>27</v>
      </c>
      <c r="W1252" s="3293"/>
      <c r="X1252" s="3292" t="s">
        <v>28</v>
      </c>
      <c r="Y1252" s="3293"/>
    </row>
    <row r="1253" spans="1:25" s="1823" customFormat="1" ht="54" customHeight="1" thickBot="1">
      <c r="B1253" s="3287"/>
      <c r="C1253" s="1832"/>
      <c r="D1253" s="1840" t="s">
        <v>29</v>
      </c>
      <c r="E1253" s="1840" t="s">
        <v>30</v>
      </c>
      <c r="F1253" s="1840" t="s">
        <v>29</v>
      </c>
      <c r="G1253" s="1840" t="s">
        <v>30</v>
      </c>
      <c r="H1253" s="1840" t="s">
        <v>29</v>
      </c>
      <c r="I1253" s="1840" t="s">
        <v>30</v>
      </c>
      <c r="J1253" s="1834" t="s">
        <v>31</v>
      </c>
      <c r="K1253" s="1840" t="s">
        <v>32</v>
      </c>
      <c r="L1253" s="1840" t="s">
        <v>33</v>
      </c>
      <c r="M1253" s="1840" t="s">
        <v>34</v>
      </c>
      <c r="N1253" s="1840" t="s">
        <v>32</v>
      </c>
      <c r="O1253" s="1833" t="s">
        <v>35</v>
      </c>
      <c r="P1253" s="1834"/>
      <c r="Q1253" s="1840" t="s">
        <v>36</v>
      </c>
      <c r="R1253" s="1840" t="s">
        <v>37</v>
      </c>
      <c r="S1253" s="1840" t="s">
        <v>38</v>
      </c>
      <c r="T1253" s="2136" t="s">
        <v>39</v>
      </c>
      <c r="U1253" s="1838"/>
      <c r="V1253" s="3493"/>
      <c r="W1253" s="3494"/>
      <c r="X1253" s="3493"/>
      <c r="Y1253" s="3494"/>
    </row>
    <row r="1254" spans="1:25" s="1842" customFormat="1" ht="48" customHeight="1" thickBot="1">
      <c r="B1254" s="1843">
        <v>0.41666666666666702</v>
      </c>
      <c r="C1254" s="1844"/>
      <c r="D1254" s="1845">
        <v>28</v>
      </c>
      <c r="E1254" s="1846"/>
      <c r="F1254" s="1847">
        <v>29</v>
      </c>
      <c r="G1254" s="1848"/>
      <c r="H1254" s="2092"/>
      <c r="I1254" s="1848"/>
      <c r="J1254" s="1850">
        <f t="shared" ref="J1254:J1259" si="133">E1254+G1254+I1254</f>
        <v>0</v>
      </c>
      <c r="K1254" s="1851">
        <f t="shared" ref="K1254:K1259" si="134">J1254/450</f>
        <v>0</v>
      </c>
      <c r="L1254" s="1850">
        <v>1</v>
      </c>
      <c r="M1254" s="1852"/>
      <c r="N1254" s="1853"/>
      <c r="O1254" s="3296"/>
      <c r="P1254" s="3297"/>
      <c r="Q1254" s="1855"/>
      <c r="R1254" s="1856"/>
      <c r="S1254" s="1857"/>
      <c r="T1254" s="1856"/>
      <c r="U1254" s="1824"/>
      <c r="V1254" s="3320" t="e">
        <f>VLOOKUP(M1254,'[1]TABELA FRETE'!$A$6:$B$12,2,0)</f>
        <v>#N/A</v>
      </c>
      <c r="W1254" s="3321"/>
      <c r="X1254" s="3322"/>
      <c r="Y1254" s="3323"/>
    </row>
    <row r="1255" spans="1:25" s="1842" customFormat="1" ht="63" customHeight="1" thickBot="1">
      <c r="B1255" s="1858">
        <v>0.41666666666666702</v>
      </c>
      <c r="C1255" s="1844"/>
      <c r="D1255" s="1859" t="s">
        <v>198</v>
      </c>
      <c r="E1255" s="1860"/>
      <c r="F1255" s="1859" t="s">
        <v>78</v>
      </c>
      <c r="G1255" s="1861"/>
      <c r="H1255" s="3302" t="s">
        <v>226</v>
      </c>
      <c r="I1255" s="3303"/>
      <c r="J1255" s="1862">
        <f t="shared" si="133"/>
        <v>0</v>
      </c>
      <c r="K1255" s="1863">
        <f t="shared" si="134"/>
        <v>0</v>
      </c>
      <c r="L1255" s="1862">
        <v>1</v>
      </c>
      <c r="M1255" s="1864"/>
      <c r="N1255" s="1865"/>
      <c r="O1255" s="1866"/>
      <c r="P1255" s="1866"/>
      <c r="Q1255" s="1867"/>
      <c r="R1255" s="1868"/>
      <c r="S1255" s="1869"/>
      <c r="T1255" s="1870"/>
      <c r="U1255" s="1824"/>
      <c r="V1255" s="3320" t="e">
        <f>VLOOKUP(M1255,'[1]TABELA FRETE'!$A$6:$B$12,2,0)</f>
        <v>#N/A</v>
      </c>
      <c r="W1255" s="3321"/>
      <c r="X1255" s="3322"/>
      <c r="Y1255" s="3323"/>
    </row>
    <row r="1256" spans="1:25" s="1823" customFormat="1" ht="48" customHeight="1" thickBot="1">
      <c r="B1256" s="1858">
        <v>0.41666666666666702</v>
      </c>
      <c r="C1256" s="1844"/>
      <c r="D1256" s="1871">
        <v>7</v>
      </c>
      <c r="E1256" s="1872"/>
      <c r="F1256" s="1873"/>
      <c r="G1256" s="1874"/>
      <c r="H1256" s="1940"/>
      <c r="I1256" s="1876"/>
      <c r="J1256" s="1862">
        <f t="shared" si="133"/>
        <v>0</v>
      </c>
      <c r="K1256" s="1863">
        <f t="shared" si="134"/>
        <v>0</v>
      </c>
      <c r="L1256" s="1862">
        <v>1</v>
      </c>
      <c r="M1256" s="1877" t="s">
        <v>9</v>
      </c>
      <c r="N1256" s="1878">
        <v>3</v>
      </c>
      <c r="O1256" s="3304" t="s">
        <v>189</v>
      </c>
      <c r="P1256" s="3305"/>
      <c r="Q1256" s="1880">
        <v>1</v>
      </c>
      <c r="R1256" s="1881">
        <v>0</v>
      </c>
      <c r="S1256" s="1882" t="s">
        <v>190</v>
      </c>
      <c r="T1256" s="1870">
        <v>738</v>
      </c>
      <c r="U1256" s="1824"/>
      <c r="V1256" s="3320">
        <f>VLOOKUP(M1256,'[1]TABELA FRETE'!$A$6:$B$12,2,0)</f>
        <v>250.8</v>
      </c>
      <c r="W1256" s="3321"/>
      <c r="X1256" s="3322"/>
      <c r="Y1256" s="3323"/>
    </row>
    <row r="1257" spans="1:25" s="1823" customFormat="1" ht="48" customHeight="1" thickBot="1">
      <c r="B1257" s="1858">
        <v>0.41666666666666702</v>
      </c>
      <c r="C1257" s="1844"/>
      <c r="D1257" s="1871">
        <v>11</v>
      </c>
      <c r="E1257" s="1883"/>
      <c r="F1257" s="1884"/>
      <c r="G1257" s="1885"/>
      <c r="H1257" s="1956"/>
      <c r="I1257" s="1886"/>
      <c r="J1257" s="1862">
        <f t="shared" si="133"/>
        <v>0</v>
      </c>
      <c r="K1257" s="1863">
        <f t="shared" si="134"/>
        <v>0</v>
      </c>
      <c r="L1257" s="1862">
        <v>1</v>
      </c>
      <c r="M1257" s="1887" t="s">
        <v>8</v>
      </c>
      <c r="N1257" s="1888">
        <v>4</v>
      </c>
      <c r="O1257" s="3326" t="s">
        <v>96</v>
      </c>
      <c r="P1257" s="3327"/>
      <c r="Q1257" s="1891">
        <v>2</v>
      </c>
      <c r="R1257" s="1892">
        <v>0</v>
      </c>
      <c r="S1257" s="1893" t="s">
        <v>97</v>
      </c>
      <c r="T1257" s="1892">
        <v>456</v>
      </c>
      <c r="U1257" s="1824"/>
      <c r="V1257" s="3320">
        <f>VLOOKUP(M1257,'[1]TABELA FRETE'!$A$6:$B$12,2,0)</f>
        <v>286</v>
      </c>
      <c r="W1257" s="3321"/>
      <c r="X1257" s="3322"/>
      <c r="Y1257" s="3323"/>
    </row>
    <row r="1258" spans="1:25" s="1823" customFormat="1" ht="48" customHeight="1" thickBot="1">
      <c r="B1258" s="1858">
        <v>0.41666666666666702</v>
      </c>
      <c r="C1258" s="1844"/>
      <c r="D1258" s="1955">
        <v>11</v>
      </c>
      <c r="E1258" s="1883"/>
      <c r="F1258" s="1884"/>
      <c r="G1258" s="1885"/>
      <c r="H1258" s="1956"/>
      <c r="I1258" s="1886"/>
      <c r="J1258" s="1862">
        <f t="shared" si="133"/>
        <v>0</v>
      </c>
      <c r="K1258" s="1863">
        <f t="shared" si="134"/>
        <v>0</v>
      </c>
      <c r="L1258" s="2000">
        <v>1</v>
      </c>
      <c r="M1258" s="1894">
        <v>1016</v>
      </c>
      <c r="N1258" s="1895">
        <v>6</v>
      </c>
      <c r="O1258" s="3306" t="s">
        <v>203</v>
      </c>
      <c r="P1258" s="3307"/>
      <c r="Q1258" s="1897">
        <v>2</v>
      </c>
      <c r="R1258" s="1898">
        <v>0</v>
      </c>
      <c r="S1258" s="1899" t="s">
        <v>204</v>
      </c>
      <c r="T1258" s="1900">
        <v>807</v>
      </c>
      <c r="U1258" s="1824"/>
      <c r="V1258" s="3456">
        <v>212</v>
      </c>
      <c r="W1258" s="3457"/>
      <c r="X1258" s="3458"/>
      <c r="Y1258" s="3459"/>
    </row>
    <row r="1259" spans="1:25" s="1823" customFormat="1" ht="48" customHeight="1" thickBot="1">
      <c r="B1259" s="1901">
        <v>0.41666666666666702</v>
      </c>
      <c r="C1259" s="1844"/>
      <c r="D1259" s="1902">
        <v>11</v>
      </c>
      <c r="E1259" s="1903"/>
      <c r="F1259" s="1904"/>
      <c r="G1259" s="1905"/>
      <c r="H1259" s="2063"/>
      <c r="I1259" s="1907"/>
      <c r="J1259" s="1908">
        <f t="shared" si="133"/>
        <v>0</v>
      </c>
      <c r="K1259" s="1909">
        <f t="shared" si="134"/>
        <v>0</v>
      </c>
      <c r="L1259" s="1908">
        <v>1</v>
      </c>
      <c r="M1259" s="1910" t="s">
        <v>9</v>
      </c>
      <c r="N1259" s="1911">
        <v>3</v>
      </c>
      <c r="O1259" s="3308" t="s">
        <v>98</v>
      </c>
      <c r="P1259" s="3309"/>
      <c r="Q1259" s="1913">
        <v>1</v>
      </c>
      <c r="R1259" s="1914">
        <v>0</v>
      </c>
      <c r="S1259" s="1915" t="s">
        <v>99</v>
      </c>
      <c r="T1259" s="1912">
        <v>496</v>
      </c>
      <c r="U1259" s="1824"/>
      <c r="V1259" s="3320">
        <f>VLOOKUP(M1259,'[1]TABELA FRETE'!$A$6:$B$12,2,0)</f>
        <v>250.8</v>
      </c>
      <c r="W1259" s="3321"/>
      <c r="X1259" s="3460"/>
      <c r="Y1259" s="3461"/>
    </row>
    <row r="1260" spans="1:25" s="1916" customFormat="1" ht="6" customHeight="1" thickBot="1">
      <c r="B1260" s="1844"/>
      <c r="C1260" s="1844"/>
      <c r="D1260" s="1917"/>
      <c r="E1260" s="1918"/>
      <c r="F1260" s="1917"/>
      <c r="G1260" s="1919"/>
      <c r="H1260" s="1920"/>
      <c r="I1260" s="1919"/>
      <c r="J1260" s="1919"/>
      <c r="K1260" s="1921"/>
      <c r="L1260" s="1919"/>
      <c r="M1260" s="1922"/>
      <c r="N1260" s="1923"/>
      <c r="O1260" s="1924"/>
      <c r="P1260" s="1924"/>
      <c r="Q1260" s="1925"/>
      <c r="R1260" s="1925"/>
      <c r="S1260" s="1926"/>
      <c r="T1260" s="1924"/>
      <c r="U1260" s="1927"/>
      <c r="V1260" s="1928"/>
      <c r="W1260" s="1928"/>
      <c r="X1260" s="1929"/>
      <c r="Y1260" s="1929"/>
    </row>
    <row r="1261" spans="1:25" s="1823" customFormat="1" ht="48" customHeight="1" thickBot="1">
      <c r="B1261" s="1843">
        <v>0.5</v>
      </c>
      <c r="C1261" s="1844"/>
      <c r="D1261" s="1845">
        <v>8</v>
      </c>
      <c r="E1261" s="1846"/>
      <c r="F1261" s="1930"/>
      <c r="G1261" s="1931"/>
      <c r="H1261" s="1932"/>
      <c r="I1261" s="1848"/>
      <c r="J1261" s="1850">
        <f t="shared" ref="J1261:J1287" si="135">E1261+G1261+I1261</f>
        <v>0</v>
      </c>
      <c r="K1261" s="1851">
        <f t="shared" ref="K1261:K1287" si="136">J1261/450</f>
        <v>0</v>
      </c>
      <c r="L1261" s="1850">
        <v>1</v>
      </c>
      <c r="M1261" s="1933"/>
      <c r="N1261" s="1934"/>
      <c r="O1261" s="3462"/>
      <c r="P1261" s="3463"/>
      <c r="Q1261" s="1935"/>
      <c r="R1261" s="1936"/>
      <c r="S1261" s="1937"/>
      <c r="T1261" s="1856"/>
      <c r="U1261" s="1824"/>
      <c r="V1261" s="3320" t="e">
        <f>VLOOKUP(M1261,'[1]TABELA FRETE'!$A$6:$B$12,2,0)</f>
        <v>#N/A</v>
      </c>
      <c r="W1261" s="3321"/>
      <c r="X1261" s="3322"/>
      <c r="Y1261" s="3323"/>
    </row>
    <row r="1262" spans="1:25" s="1823" customFormat="1" ht="48" customHeight="1" thickBot="1">
      <c r="B1262" s="1974">
        <v>0.5</v>
      </c>
      <c r="C1262" s="1844"/>
      <c r="D1262" s="2095">
        <v>14</v>
      </c>
      <c r="E1262" s="1860"/>
      <c r="F1262" s="2137"/>
      <c r="G1262" s="2098"/>
      <c r="H1262" s="1981"/>
      <c r="I1262" s="1861"/>
      <c r="J1262" s="1983">
        <f t="shared" si="135"/>
        <v>0</v>
      </c>
      <c r="K1262" s="1984">
        <f t="shared" si="136"/>
        <v>0</v>
      </c>
      <c r="L1262" s="1983">
        <v>1</v>
      </c>
      <c r="M1262" s="1951"/>
      <c r="N1262" s="1940"/>
      <c r="O1262" s="3334"/>
      <c r="P1262" s="3335"/>
      <c r="Q1262" s="1952"/>
      <c r="R1262" s="2138"/>
      <c r="S1262" s="1953"/>
      <c r="T1262" s="1954"/>
      <c r="U1262" s="1824"/>
      <c r="V1262" s="3320" t="e">
        <f>VLOOKUP(M1262,'[1]TABELA FRETE'!$A$6:$B$12,2,0)</f>
        <v>#N/A</v>
      </c>
      <c r="W1262" s="3321"/>
      <c r="X1262" s="3322"/>
      <c r="Y1262" s="3323"/>
    </row>
    <row r="1263" spans="1:25" s="1823" customFormat="1" ht="48" customHeight="1" thickBot="1">
      <c r="B1263" s="1974">
        <v>0.5</v>
      </c>
      <c r="C1263" s="1844"/>
      <c r="D1263" s="1871">
        <v>12</v>
      </c>
      <c r="E1263" s="1876"/>
      <c r="F1263" s="1873"/>
      <c r="G1263" s="1874"/>
      <c r="H1263" s="1981"/>
      <c r="I1263" s="1861"/>
      <c r="J1263" s="1862">
        <f t="shared" si="135"/>
        <v>0</v>
      </c>
      <c r="K1263" s="1863">
        <f t="shared" si="136"/>
        <v>0</v>
      </c>
      <c r="L1263" s="1862">
        <v>1</v>
      </c>
      <c r="M1263" s="1949"/>
      <c r="N1263" s="1853"/>
      <c r="O1263" s="3306"/>
      <c r="P1263" s="3307"/>
      <c r="Q1263" s="1897"/>
      <c r="R1263" s="1898"/>
      <c r="S1263" s="1947"/>
      <c r="T1263" s="1950"/>
      <c r="U1263" s="1824"/>
      <c r="V1263" s="3320" t="e">
        <f>VLOOKUP(M1263,'[1]TABELA FRETE'!$A$6:$B$12,2,0)</f>
        <v>#N/A</v>
      </c>
      <c r="W1263" s="3321"/>
      <c r="X1263" s="3322"/>
      <c r="Y1263" s="3323"/>
    </row>
    <row r="1264" spans="1:25" s="1823" customFormat="1" ht="48" customHeight="1" thickBot="1">
      <c r="B1264" s="1974">
        <v>0.5</v>
      </c>
      <c r="C1264" s="1844"/>
      <c r="D1264" s="2095">
        <v>9</v>
      </c>
      <c r="E1264" s="1860"/>
      <c r="F1264" s="2096">
        <v>1</v>
      </c>
      <c r="G1264" s="1982"/>
      <c r="H1264" s="1981"/>
      <c r="I1264" s="1876"/>
      <c r="J1264" s="1862">
        <f t="shared" si="135"/>
        <v>0</v>
      </c>
      <c r="K1264" s="1984">
        <f t="shared" si="136"/>
        <v>0</v>
      </c>
      <c r="L1264" s="1862">
        <v>1</v>
      </c>
      <c r="M1264" s="1894"/>
      <c r="N1264" s="1895"/>
      <c r="O1264" s="3306"/>
      <c r="P1264" s="3307"/>
      <c r="Q1264" s="1897"/>
      <c r="R1264" s="1898"/>
      <c r="S1264" s="1947"/>
      <c r="T1264" s="1900"/>
      <c r="U1264" s="1824"/>
      <c r="V1264" s="3320" t="e">
        <f>VLOOKUP(M1264,'[1]TABELA FRETE'!$A$6:$B$12,2,0)</f>
        <v>#N/A</v>
      </c>
      <c r="W1264" s="3321"/>
      <c r="X1264" s="3322"/>
      <c r="Y1264" s="3323"/>
    </row>
    <row r="1265" spans="2:25" s="1823" customFormat="1" ht="48" customHeight="1" thickBot="1">
      <c r="B1265" s="1974">
        <v>0.5</v>
      </c>
      <c r="C1265" s="1844"/>
      <c r="D1265" s="1871">
        <v>38</v>
      </c>
      <c r="E1265" s="1876"/>
      <c r="F1265" s="1873"/>
      <c r="G1265" s="1874"/>
      <c r="H1265" s="1981"/>
      <c r="I1265" s="1861"/>
      <c r="J1265" s="1862">
        <f t="shared" si="135"/>
        <v>0</v>
      </c>
      <c r="K1265" s="1863">
        <f t="shared" si="136"/>
        <v>0</v>
      </c>
      <c r="L1265" s="1862">
        <v>1</v>
      </c>
      <c r="M1265" s="1949"/>
      <c r="N1265" s="1853"/>
      <c r="O1265" s="3326"/>
      <c r="P1265" s="3327"/>
      <c r="Q1265" s="1855"/>
      <c r="R1265" s="1950"/>
      <c r="S1265" s="1857"/>
      <c r="T1265" s="1950"/>
      <c r="U1265" s="1824"/>
      <c r="V1265" s="3320" t="e">
        <f>VLOOKUP(M1265,'[1]TABELA FRETE'!$A$6:$B$12,2,0)</f>
        <v>#N/A</v>
      </c>
      <c r="W1265" s="3321"/>
      <c r="X1265" s="3322"/>
      <c r="Y1265" s="3323"/>
    </row>
    <row r="1266" spans="2:25" s="1823" customFormat="1" ht="48" customHeight="1" thickBot="1">
      <c r="B1266" s="1974">
        <v>0.5</v>
      </c>
      <c r="C1266" s="1844"/>
      <c r="D1266" s="1871">
        <v>34</v>
      </c>
      <c r="E1266" s="1872"/>
      <c r="F1266" s="1873"/>
      <c r="G1266" s="1874"/>
      <c r="H1266" s="1940"/>
      <c r="I1266" s="1876"/>
      <c r="J1266" s="1862">
        <f t="shared" si="135"/>
        <v>0</v>
      </c>
      <c r="K1266" s="1863">
        <f t="shared" si="136"/>
        <v>0</v>
      </c>
      <c r="L1266" s="1862">
        <v>1</v>
      </c>
      <c r="M1266" s="1894"/>
      <c r="N1266" s="1895"/>
      <c r="O1266" s="3306"/>
      <c r="P1266" s="3307"/>
      <c r="Q1266" s="1897"/>
      <c r="R1266" s="1900"/>
      <c r="S1266" s="1947"/>
      <c r="T1266" s="1950"/>
      <c r="U1266" s="1824"/>
      <c r="V1266" s="3320" t="e">
        <f>VLOOKUP(M1266,'[1]TABELA FRETE'!$A$6:$B$12,2,0)</f>
        <v>#N/A</v>
      </c>
      <c r="W1266" s="3321"/>
      <c r="X1266" s="3322"/>
      <c r="Y1266" s="3323"/>
    </row>
    <row r="1267" spans="2:25" s="1823" customFormat="1" ht="48" customHeight="1" thickBot="1">
      <c r="B1267" s="1974">
        <v>0.5</v>
      </c>
      <c r="C1267" s="1844"/>
      <c r="D1267" s="1871">
        <v>43</v>
      </c>
      <c r="E1267" s="1872"/>
      <c r="F1267" s="1873"/>
      <c r="G1267" s="1874"/>
      <c r="H1267" s="1940"/>
      <c r="I1267" s="1876"/>
      <c r="J1267" s="1862">
        <f t="shared" si="135"/>
        <v>0</v>
      </c>
      <c r="K1267" s="1863">
        <f t="shared" si="136"/>
        <v>0</v>
      </c>
      <c r="L1267" s="1862">
        <v>1</v>
      </c>
      <c r="M1267" s="1949"/>
      <c r="N1267" s="1853"/>
      <c r="O1267" s="3326"/>
      <c r="P1267" s="3327"/>
      <c r="Q1267" s="1897"/>
      <c r="R1267" s="1950"/>
      <c r="S1267" s="1857"/>
      <c r="T1267" s="1950"/>
      <c r="U1267" s="1824"/>
      <c r="V1267" s="3320" t="e">
        <f>VLOOKUP(M1267,'[1]TABELA FRETE'!$A$6:$B$12,2,0)</f>
        <v>#N/A</v>
      </c>
      <c r="W1267" s="3321"/>
      <c r="X1267" s="3322"/>
      <c r="Y1267" s="3323"/>
    </row>
    <row r="1268" spans="2:25" s="1823" customFormat="1" ht="48" customHeight="1" thickBot="1">
      <c r="B1268" s="1974">
        <v>0.5</v>
      </c>
      <c r="C1268" s="1844"/>
      <c r="D1268" s="1871">
        <v>35</v>
      </c>
      <c r="E1268" s="1872"/>
      <c r="F1268" s="2096"/>
      <c r="G1268" s="1982"/>
      <c r="H1268" s="1940"/>
      <c r="I1268" s="1876"/>
      <c r="J1268" s="1862">
        <f t="shared" si="135"/>
        <v>0</v>
      </c>
      <c r="K1268" s="1863">
        <f t="shared" si="136"/>
        <v>0</v>
      </c>
      <c r="L1268" s="1862">
        <v>1</v>
      </c>
      <c r="M1268" s="1894"/>
      <c r="N1268" s="1895"/>
      <c r="O1268" s="3316"/>
      <c r="P1268" s="3317"/>
      <c r="Q1268" s="1941"/>
      <c r="R1268" s="1942"/>
      <c r="S1268" s="1943"/>
      <c r="T1268" s="1944"/>
      <c r="U1268" s="1824"/>
      <c r="V1268" s="3320" t="e">
        <f>VLOOKUP(M1268,'[1]TABELA FRETE'!$A$6:$B$12,2,0)</f>
        <v>#N/A</v>
      </c>
      <c r="W1268" s="3321"/>
      <c r="X1268" s="3322"/>
      <c r="Y1268" s="3323"/>
    </row>
    <row r="1269" spans="2:25" s="1823" customFormat="1" ht="48" customHeight="1" thickBot="1">
      <c r="B1269" s="1974">
        <v>0.5</v>
      </c>
      <c r="C1269" s="1844"/>
      <c r="D1269" s="1871">
        <v>45</v>
      </c>
      <c r="E1269" s="1872"/>
      <c r="F1269" s="2097"/>
      <c r="G1269" s="2098"/>
      <c r="H1269" s="1940"/>
      <c r="I1269" s="1876"/>
      <c r="J1269" s="1862">
        <f t="shared" si="135"/>
        <v>0</v>
      </c>
      <c r="K1269" s="1863">
        <f t="shared" si="136"/>
        <v>0</v>
      </c>
      <c r="L1269" s="1862">
        <v>1</v>
      </c>
      <c r="M1269" s="1894"/>
      <c r="N1269" s="1895"/>
      <c r="O1269" s="3466"/>
      <c r="P1269" s="3467"/>
      <c r="Q1269" s="1897"/>
      <c r="R1269" s="1898"/>
      <c r="S1269" s="1947"/>
      <c r="T1269" s="1900"/>
      <c r="U1269" s="1824"/>
      <c r="V1269" s="3320" t="e">
        <f>VLOOKUP(M1269,'[1]TABELA FRETE'!$A$6:$B$12,2,0)</f>
        <v>#N/A</v>
      </c>
      <c r="W1269" s="3321"/>
      <c r="X1269" s="3322"/>
      <c r="Y1269" s="3323"/>
    </row>
    <row r="1270" spans="2:25" s="1823" customFormat="1" ht="48" customHeight="1" thickBot="1">
      <c r="B1270" s="1974">
        <v>0.5</v>
      </c>
      <c r="C1270" s="1844"/>
      <c r="D1270" s="1871">
        <v>47</v>
      </c>
      <c r="E1270" s="1872"/>
      <c r="F1270" s="1945"/>
      <c r="G1270" s="1946"/>
      <c r="H1270" s="1940"/>
      <c r="I1270" s="1876"/>
      <c r="J1270" s="1862">
        <f t="shared" si="135"/>
        <v>0</v>
      </c>
      <c r="K1270" s="1863">
        <f t="shared" si="136"/>
        <v>0</v>
      </c>
      <c r="L1270" s="1862">
        <v>1</v>
      </c>
      <c r="M1270" s="1894"/>
      <c r="N1270" s="1895"/>
      <c r="O1270" s="3466"/>
      <c r="P1270" s="3467"/>
      <c r="Q1270" s="1897"/>
      <c r="R1270" s="1898"/>
      <c r="S1270" s="1947"/>
      <c r="T1270" s="1900"/>
      <c r="U1270" s="1824"/>
      <c r="V1270" s="3320" t="e">
        <f>VLOOKUP(M1270,'[1]TABELA FRETE'!$A$6:$B$12,2,0)</f>
        <v>#N/A</v>
      </c>
      <c r="W1270" s="3321"/>
      <c r="X1270" s="3322"/>
      <c r="Y1270" s="3323"/>
    </row>
    <row r="1271" spans="2:25" s="1823" customFormat="1" ht="48" customHeight="1" thickBot="1">
      <c r="B1271" s="2139">
        <v>0.5</v>
      </c>
      <c r="C1271" s="1844"/>
      <c r="D1271" s="2140">
        <v>19</v>
      </c>
      <c r="E1271" s="2141"/>
      <c r="F1271" s="2142"/>
      <c r="G1271" s="2141"/>
      <c r="H1271" s="2143"/>
      <c r="I1271" s="2141"/>
      <c r="J1271" s="2144">
        <f>E1271+G1271+I1271</f>
        <v>0</v>
      </c>
      <c r="K1271" s="2145">
        <f>J1271/450</f>
        <v>0</v>
      </c>
      <c r="L1271" s="2144">
        <v>1</v>
      </c>
      <c r="M1271" s="1960"/>
      <c r="N1271" s="1961"/>
      <c r="O1271" s="3495"/>
      <c r="P1271" s="3496"/>
      <c r="Q1271" s="1962"/>
      <c r="R1271" s="1963"/>
      <c r="S1271" s="1964"/>
      <c r="T1271" s="1965"/>
      <c r="U1271" s="1824"/>
      <c r="V1271" s="3320" t="e">
        <f>VLOOKUP(M1271,'[1]TABELA FRETE'!$A$6:$B$12,2,0)</f>
        <v>#N/A</v>
      </c>
      <c r="W1271" s="3321"/>
      <c r="X1271" s="3460"/>
      <c r="Y1271" s="3461"/>
    </row>
    <row r="1272" spans="2:25" s="1916" customFormat="1" ht="6" customHeight="1" thickBot="1">
      <c r="B1272" s="1844"/>
      <c r="C1272" s="1844"/>
      <c r="D1272" s="1917"/>
      <c r="E1272" s="1918"/>
      <c r="F1272" s="1917"/>
      <c r="G1272" s="1919"/>
      <c r="H1272" s="1920"/>
      <c r="I1272" s="1919"/>
      <c r="J1272" s="1919"/>
      <c r="K1272" s="1921"/>
      <c r="L1272" s="1919"/>
      <c r="M1272" s="1922"/>
      <c r="N1272" s="1923"/>
      <c r="O1272" s="1924"/>
      <c r="P1272" s="1924"/>
      <c r="Q1272" s="1925"/>
      <c r="R1272" s="1925"/>
      <c r="S1272" s="1926"/>
      <c r="T1272" s="1924"/>
      <c r="U1272" s="1927"/>
      <c r="V1272" s="1928"/>
      <c r="W1272" s="1928"/>
      <c r="X1272" s="1929"/>
      <c r="Y1272" s="1929"/>
    </row>
    <row r="1273" spans="2:25" s="1823" customFormat="1" ht="48" customHeight="1" thickBot="1">
      <c r="B1273" s="1843">
        <v>0.58333333333333304</v>
      </c>
      <c r="C1273" s="1978"/>
      <c r="D1273" s="1969">
        <v>5</v>
      </c>
      <c r="E1273" s="1846"/>
      <c r="F1273" s="2102">
        <v>20</v>
      </c>
      <c r="G1273" s="2103"/>
      <c r="H1273" s="2104"/>
      <c r="I1273" s="2105"/>
      <c r="J1273" s="1850">
        <f t="shared" si="135"/>
        <v>0</v>
      </c>
      <c r="K1273" s="1851">
        <f t="shared" si="136"/>
        <v>0</v>
      </c>
      <c r="L1273" s="1850">
        <v>1</v>
      </c>
      <c r="M1273" s="2146"/>
      <c r="N1273" s="2147"/>
      <c r="O1273" s="3462"/>
      <c r="P1273" s="3463"/>
      <c r="Q1273" s="1972"/>
      <c r="R1273" s="1856"/>
      <c r="S1273" s="1973"/>
      <c r="T1273" s="1856"/>
      <c r="U1273" s="1824"/>
      <c r="V1273" s="3320" t="e">
        <f>VLOOKUP(M1273,'[1]TABELA FRETE'!$A$6:$B$12,2,0)</f>
        <v>#N/A</v>
      </c>
      <c r="W1273" s="3321"/>
      <c r="X1273" s="3322"/>
      <c r="Y1273" s="3323"/>
    </row>
    <row r="1274" spans="2:25" s="1823" customFormat="1" ht="48" customHeight="1" thickBot="1">
      <c r="B1274" s="1974">
        <v>0.58333333333333304</v>
      </c>
      <c r="C1274" s="1844"/>
      <c r="D1274" s="1975">
        <v>25</v>
      </c>
      <c r="E1274" s="1874"/>
      <c r="F1274" s="1976">
        <v>22</v>
      </c>
      <c r="G1274" s="1872"/>
      <c r="H1274" s="2010"/>
      <c r="I1274" s="1883"/>
      <c r="J1274" s="1862">
        <f t="shared" si="135"/>
        <v>0</v>
      </c>
      <c r="K1274" s="1863">
        <f t="shared" si="136"/>
        <v>0</v>
      </c>
      <c r="L1274" s="2000">
        <v>1</v>
      </c>
      <c r="M1274" s="1894"/>
      <c r="N1274" s="1895"/>
      <c r="O1274" s="3316"/>
      <c r="P1274" s="3317"/>
      <c r="Q1274" s="1941"/>
      <c r="R1274" s="1942"/>
      <c r="S1274" s="1943"/>
      <c r="T1274" s="1944"/>
      <c r="U1274" s="1824"/>
      <c r="V1274" s="3320" t="e">
        <f>VLOOKUP(M1274,'[1]TABELA FRETE'!$A$6:$B$12,2,0)</f>
        <v>#N/A</v>
      </c>
      <c r="W1274" s="3321"/>
      <c r="X1274" s="3458"/>
      <c r="Y1274" s="3459"/>
    </row>
    <row r="1275" spans="2:25" s="1823" customFormat="1" ht="48" customHeight="1" thickBot="1">
      <c r="B1275" s="1938">
        <v>0.58333333333333304</v>
      </c>
      <c r="C1275" s="1844"/>
      <c r="D1275" s="1975">
        <v>31</v>
      </c>
      <c r="E1275" s="1874"/>
      <c r="F1275" s="1945"/>
      <c r="G1275" s="1872"/>
      <c r="H1275" s="1977"/>
      <c r="I1275" s="1872"/>
      <c r="J1275" s="1862">
        <f t="shared" si="135"/>
        <v>0</v>
      </c>
      <c r="K1275" s="1863">
        <f t="shared" si="136"/>
        <v>0</v>
      </c>
      <c r="L1275" s="1862">
        <v>1</v>
      </c>
      <c r="M1275" s="1949"/>
      <c r="N1275" s="1853"/>
      <c r="O1275" s="3326"/>
      <c r="P1275" s="3327"/>
      <c r="Q1275" s="1855"/>
      <c r="R1275" s="1950"/>
      <c r="S1275" s="1857"/>
      <c r="T1275" s="1950"/>
      <c r="U1275" s="1824"/>
      <c r="V1275" s="3320" t="e">
        <f>VLOOKUP(M1275,'[1]TABELA FRETE'!$A$6:$B$12,2,0)</f>
        <v>#N/A</v>
      </c>
      <c r="W1275" s="3321"/>
      <c r="X1275" s="3460"/>
      <c r="Y1275" s="3461"/>
    </row>
    <row r="1276" spans="2:25" s="1823" customFormat="1" ht="48" customHeight="1" thickBot="1">
      <c r="B1276" s="1974">
        <v>0.58333333333333304</v>
      </c>
      <c r="C1276" s="1844"/>
      <c r="D1276" s="1979">
        <v>17</v>
      </c>
      <c r="E1276" s="1860"/>
      <c r="F1276" s="1980"/>
      <c r="G1276" s="1860"/>
      <c r="H1276" s="1981"/>
      <c r="I1276" s="1982"/>
      <c r="J1276" s="1983">
        <f t="shared" si="135"/>
        <v>0</v>
      </c>
      <c r="K1276" s="1984">
        <f t="shared" si="136"/>
        <v>0</v>
      </c>
      <c r="L1276" s="1994">
        <v>1</v>
      </c>
      <c r="M1276" s="2016"/>
      <c r="N1276" s="2017"/>
      <c r="O1276" s="3497"/>
      <c r="P1276" s="3498"/>
      <c r="Q1276" s="2018"/>
      <c r="R1276" s="2019"/>
      <c r="S1276" s="2020"/>
      <c r="T1276" s="2019"/>
      <c r="U1276" s="1824"/>
      <c r="V1276" s="3320" t="e">
        <f>VLOOKUP(M1276,'[1]TABELA FRETE'!$A$6:$B$12,2,0)</f>
        <v>#N/A</v>
      </c>
      <c r="W1276" s="3321"/>
      <c r="X1276" s="3322"/>
      <c r="Y1276" s="3323"/>
    </row>
    <row r="1277" spans="2:25" s="1823" customFormat="1" ht="48" customHeight="1" thickBot="1">
      <c r="B1277" s="1974">
        <v>0.58333333333333304</v>
      </c>
      <c r="C1277" s="1844"/>
      <c r="D1277" s="1998">
        <v>23</v>
      </c>
      <c r="E1277" s="1883"/>
      <c r="F1277" s="1999">
        <v>44</v>
      </c>
      <c r="G1277" s="1883"/>
      <c r="H1277" s="1956"/>
      <c r="I1277" s="1885"/>
      <c r="J1277" s="2000">
        <f t="shared" si="135"/>
        <v>0</v>
      </c>
      <c r="K1277" s="2001">
        <f t="shared" si="136"/>
        <v>0</v>
      </c>
      <c r="L1277" s="2000">
        <v>1</v>
      </c>
      <c r="M1277" s="2016"/>
      <c r="N1277" s="2109"/>
      <c r="O1277" s="3464"/>
      <c r="P1277" s="3465"/>
      <c r="Q1277" s="1988"/>
      <c r="R1277" s="1989"/>
      <c r="S1277" s="2023"/>
      <c r="T1277" s="2024"/>
      <c r="U1277" s="1824"/>
      <c r="V1277" s="3320" t="e">
        <f>VLOOKUP(M1277,'[1]TABELA FRETE'!$A$6:$B$12,2,0)</f>
        <v>#N/A</v>
      </c>
      <c r="W1277" s="3321"/>
      <c r="X1277" s="3322"/>
      <c r="Y1277" s="3323"/>
    </row>
    <row r="1278" spans="2:25" s="1823" customFormat="1" ht="48" customHeight="1" thickBot="1">
      <c r="B1278" s="1938">
        <v>0.58333333333333304</v>
      </c>
      <c r="C1278" s="1844"/>
      <c r="D1278" s="1998">
        <v>10</v>
      </c>
      <c r="E1278" s="1883"/>
      <c r="F1278" s="1976"/>
      <c r="G1278" s="1872"/>
      <c r="H1278" s="1940"/>
      <c r="I1278" s="1874"/>
      <c r="J1278" s="1862">
        <f t="shared" si="135"/>
        <v>0</v>
      </c>
      <c r="K1278" s="1863">
        <f t="shared" si="136"/>
        <v>0</v>
      </c>
      <c r="L1278" s="1862">
        <v>1</v>
      </c>
      <c r="M1278" s="2148"/>
      <c r="N1278" s="2149"/>
      <c r="O1278" s="3464"/>
      <c r="P1278" s="3465"/>
      <c r="Q1278" s="1868"/>
      <c r="R1278" s="1880"/>
      <c r="S1278" s="2150"/>
      <c r="T1278" s="1879"/>
      <c r="U1278" s="1824"/>
      <c r="V1278" s="3320" t="e">
        <f>VLOOKUP(M1278,'[1]TABELA FRETE'!$A$6:$B$12,2,0)</f>
        <v>#N/A</v>
      </c>
      <c r="W1278" s="3321"/>
      <c r="X1278" s="3322"/>
      <c r="Y1278" s="3323"/>
    </row>
    <row r="1279" spans="2:25" s="1823" customFormat="1" ht="62.25" customHeight="1" thickBot="1">
      <c r="B1279" s="1858">
        <v>0.58333333333333304</v>
      </c>
      <c r="C1279" s="1844"/>
      <c r="D1279" s="2021" t="s">
        <v>152</v>
      </c>
      <c r="E1279" s="1883"/>
      <c r="F1279" s="1976"/>
      <c r="G1279" s="1883"/>
      <c r="H1279" s="1956"/>
      <c r="I1279" s="1885"/>
      <c r="J1279" s="1862">
        <f t="shared" si="135"/>
        <v>0</v>
      </c>
      <c r="K1279" s="1863">
        <f t="shared" si="136"/>
        <v>0</v>
      </c>
      <c r="L1279" s="1862">
        <v>1</v>
      </c>
      <c r="M1279" s="2148"/>
      <c r="N1279" s="2149"/>
      <c r="O1279" s="3464"/>
      <c r="P1279" s="3465"/>
      <c r="Q1279" s="1868"/>
      <c r="R1279" s="1880"/>
      <c r="S1279" s="2150"/>
      <c r="T1279" s="1879"/>
      <c r="U1279" s="1824"/>
      <c r="V1279" s="3320" t="e">
        <f>VLOOKUP(M1279,'[1]TABELA FRETE'!$A$6:$B$12,2,0)</f>
        <v>#N/A</v>
      </c>
      <c r="W1279" s="3321"/>
      <c r="X1279" s="3322"/>
      <c r="Y1279" s="3323"/>
    </row>
    <row r="1280" spans="2:25" s="1823" customFormat="1" ht="48" customHeight="1" thickBot="1">
      <c r="B1280" s="1858">
        <v>0.58333333333333304</v>
      </c>
      <c r="C1280" s="1844"/>
      <c r="D1280" s="1998">
        <v>26</v>
      </c>
      <c r="E1280" s="1883"/>
      <c r="F1280" s="1976"/>
      <c r="G1280" s="1883"/>
      <c r="H1280" s="2010"/>
      <c r="I1280" s="1883"/>
      <c r="J1280" s="1862">
        <f t="shared" si="135"/>
        <v>0</v>
      </c>
      <c r="K1280" s="1863">
        <f t="shared" si="136"/>
        <v>0</v>
      </c>
      <c r="L1280" s="2000">
        <v>1</v>
      </c>
      <c r="M1280" s="1894"/>
      <c r="N1280" s="1895"/>
      <c r="O1280" s="3306"/>
      <c r="P1280" s="3307"/>
      <c r="Q1280" s="1897"/>
      <c r="R1280" s="1898"/>
      <c r="S1280" s="1947"/>
      <c r="T1280" s="1900"/>
      <c r="U1280" s="1824"/>
      <c r="V1280" s="3320" t="e">
        <f>VLOOKUP(M1280,'[1]TABELA FRETE'!$A$6:$B$12,2,0)</f>
        <v>#N/A</v>
      </c>
      <c r="W1280" s="3321"/>
      <c r="X1280" s="3322"/>
      <c r="Y1280" s="3323"/>
    </row>
    <row r="1281" spans="2:25" s="1823" customFormat="1" ht="48" customHeight="1" thickBot="1">
      <c r="B1281" s="1858">
        <v>0.58333333333333304</v>
      </c>
      <c r="C1281" s="1844"/>
      <c r="D1281" s="1998">
        <v>3</v>
      </c>
      <c r="E1281" s="1883"/>
      <c r="F1281" s="2011"/>
      <c r="G1281" s="1883"/>
      <c r="H1281" s="2010"/>
      <c r="I1281" s="1883"/>
      <c r="J1281" s="1862">
        <f t="shared" si="135"/>
        <v>0</v>
      </c>
      <c r="K1281" s="1863">
        <f t="shared" si="136"/>
        <v>0</v>
      </c>
      <c r="L1281" s="2000">
        <v>1</v>
      </c>
      <c r="M1281" s="1894"/>
      <c r="N1281" s="1895"/>
      <c r="O1281" s="3306"/>
      <c r="P1281" s="3307"/>
      <c r="Q1281" s="1897"/>
      <c r="R1281" s="1898"/>
      <c r="S1281" s="1947"/>
      <c r="T1281" s="1900"/>
      <c r="U1281" s="1824"/>
      <c r="V1281" s="3320" t="e">
        <f>VLOOKUP(M1281,'[1]TABELA FRETE'!$A$6:$B$12,2,0)</f>
        <v>#N/A</v>
      </c>
      <c r="W1281" s="3321"/>
      <c r="X1281" s="3322"/>
      <c r="Y1281" s="3323"/>
    </row>
    <row r="1282" spans="2:25" s="1823" customFormat="1" ht="48" customHeight="1" thickBot="1">
      <c r="B1282" s="1858">
        <v>0.58333333333333304</v>
      </c>
      <c r="C1282" s="1844"/>
      <c r="D1282" s="1998">
        <v>40</v>
      </c>
      <c r="E1282" s="1883"/>
      <c r="F1282" s="1999"/>
      <c r="G1282" s="1883"/>
      <c r="H1282" s="2010"/>
      <c r="I1282" s="1883"/>
      <c r="J1282" s="1862">
        <f t="shared" si="135"/>
        <v>0</v>
      </c>
      <c r="K1282" s="1863">
        <f t="shared" si="136"/>
        <v>0</v>
      </c>
      <c r="L1282" s="2000">
        <v>1</v>
      </c>
      <c r="M1282" s="1985"/>
      <c r="N1282" s="1986"/>
      <c r="O1282" s="3464"/>
      <c r="P1282" s="3465"/>
      <c r="Q1282" s="1988"/>
      <c r="R1282" s="1989"/>
      <c r="S1282" s="2023"/>
      <c r="T1282" s="2022"/>
      <c r="U1282" s="1824"/>
      <c r="V1282" s="3320" t="e">
        <f>VLOOKUP(M1282,'[1]TABELA FRETE'!$A$6:$B$12,2,0)</f>
        <v>#N/A</v>
      </c>
      <c r="W1282" s="3321"/>
      <c r="X1282" s="3322"/>
      <c r="Y1282" s="3323"/>
    </row>
    <row r="1283" spans="2:25" s="1823" customFormat="1" ht="48" customHeight="1" thickBot="1">
      <c r="B1283" s="1858">
        <v>0.58333333333333304</v>
      </c>
      <c r="C1283" s="1844"/>
      <c r="D1283" s="1998">
        <v>32</v>
      </c>
      <c r="E1283" s="1883"/>
      <c r="F1283" s="1999"/>
      <c r="G1283" s="1883"/>
      <c r="H1283" s="2010"/>
      <c r="I1283" s="1883"/>
      <c r="J1283" s="1862">
        <f t="shared" si="135"/>
        <v>0</v>
      </c>
      <c r="K1283" s="1863">
        <f t="shared" si="136"/>
        <v>0</v>
      </c>
      <c r="L1283" s="2000">
        <v>1</v>
      </c>
      <c r="M1283" s="1894"/>
      <c r="N1283" s="1895"/>
      <c r="O1283" s="3306"/>
      <c r="P1283" s="3307"/>
      <c r="Q1283" s="1897"/>
      <c r="R1283" s="1898"/>
      <c r="S1283" s="1857"/>
      <c r="T1283" s="2005"/>
      <c r="U1283" s="1824"/>
      <c r="V1283" s="3320" t="e">
        <f>VLOOKUP(M1283,'[1]TABELA FRETE'!$A$6:$B$12,2,0)</f>
        <v>#N/A</v>
      </c>
      <c r="W1283" s="3321"/>
      <c r="X1283" s="3322"/>
      <c r="Y1283" s="3323"/>
    </row>
    <row r="1284" spans="2:25" s="1823" customFormat="1" ht="48" customHeight="1" thickBot="1">
      <c r="B1284" s="1858">
        <v>0.58333333333333304</v>
      </c>
      <c r="C1284" s="1844"/>
      <c r="D1284" s="1998">
        <v>42</v>
      </c>
      <c r="E1284" s="1883"/>
      <c r="F1284" s="1999"/>
      <c r="G1284" s="1883"/>
      <c r="H1284" s="2010"/>
      <c r="I1284" s="1883"/>
      <c r="J1284" s="1862">
        <f t="shared" si="135"/>
        <v>0</v>
      </c>
      <c r="K1284" s="1863">
        <f t="shared" si="136"/>
        <v>0</v>
      </c>
      <c r="L1284" s="2000">
        <v>1</v>
      </c>
      <c r="M1284" s="1894"/>
      <c r="N1284" s="1895"/>
      <c r="O1284" s="3306"/>
      <c r="P1284" s="3307"/>
      <c r="Q1284" s="1897"/>
      <c r="R1284" s="1898"/>
      <c r="S1284" s="1947"/>
      <c r="T1284" s="1900"/>
      <c r="U1284" s="1824"/>
      <c r="V1284" s="3320" t="e">
        <f>VLOOKUP(M1284,'[1]TABELA FRETE'!$A$6:$B$12,2,0)</f>
        <v>#N/A</v>
      </c>
      <c r="W1284" s="3321"/>
      <c r="X1284" s="3322"/>
      <c r="Y1284" s="3323"/>
    </row>
    <row r="1285" spans="2:25" s="1823" customFormat="1" ht="48" customHeight="1" thickBot="1">
      <c r="B1285" s="1858">
        <v>0.58333333333333304</v>
      </c>
      <c r="C1285" s="1844"/>
      <c r="D1285" s="1809">
        <v>6</v>
      </c>
      <c r="E1285" s="1872"/>
      <c r="F1285" s="2060"/>
      <c r="G1285" s="1872"/>
      <c r="H1285" s="1977"/>
      <c r="I1285" s="1872"/>
      <c r="J1285" s="1862">
        <f>E1285+G1285+I1285</f>
        <v>0</v>
      </c>
      <c r="K1285" s="1863">
        <f>J1285/450</f>
        <v>0</v>
      </c>
      <c r="L1285" s="1862">
        <v>1</v>
      </c>
      <c r="M1285" s="1949"/>
      <c r="N1285" s="1853"/>
      <c r="O1285" s="3326"/>
      <c r="P1285" s="3327"/>
      <c r="Q1285" s="1897"/>
      <c r="R1285" s="1950"/>
      <c r="S1285" s="1857"/>
      <c r="T1285" s="1950"/>
      <c r="U1285" s="1824"/>
      <c r="V1285" s="3320" t="e">
        <f>VLOOKUP(M1285,'[1]TABELA FRETE'!$A$6:$B$12,2,0)</f>
        <v>#N/A</v>
      </c>
      <c r="W1285" s="3321"/>
      <c r="X1285" s="3322"/>
      <c r="Y1285" s="3323"/>
    </row>
    <row r="1286" spans="2:25" s="1823" customFormat="1" ht="48" customHeight="1" thickBot="1">
      <c r="B1286" s="1938">
        <v>0.58333333333333304</v>
      </c>
      <c r="C1286" s="1844"/>
      <c r="D1286" s="1809">
        <v>46</v>
      </c>
      <c r="E1286" s="1874"/>
      <c r="F1286" s="1976"/>
      <c r="G1286" s="1872"/>
      <c r="H1286" s="1977"/>
      <c r="I1286" s="1872"/>
      <c r="J1286" s="1862">
        <f>E1286+G1286+I1286</f>
        <v>0</v>
      </c>
      <c r="K1286" s="1863">
        <f>J1286/450</f>
        <v>0</v>
      </c>
      <c r="L1286" s="1862">
        <v>1</v>
      </c>
      <c r="M1286" s="1949"/>
      <c r="N1286" s="2006"/>
      <c r="O1286" s="3466"/>
      <c r="P1286" s="3467"/>
      <c r="Q1286" s="2007"/>
      <c r="R1286" s="2008"/>
      <c r="S1286" s="2009"/>
      <c r="T1286" s="2008"/>
      <c r="U1286" s="1824"/>
      <c r="V1286" s="3320" t="e">
        <f>VLOOKUP(M1286,'[1]TABELA FRETE'!$A$6:$B$12,2,0)</f>
        <v>#N/A</v>
      </c>
      <c r="W1286" s="3321"/>
      <c r="X1286" s="3460"/>
      <c r="Y1286" s="3461"/>
    </row>
    <row r="1287" spans="2:25" s="1823" customFormat="1" ht="62.25" customHeight="1" thickBot="1">
      <c r="B1287" s="2139">
        <v>0.58333333333333304</v>
      </c>
      <c r="C1287" s="2151"/>
      <c r="D1287" s="2152" t="s">
        <v>87</v>
      </c>
      <c r="E1287" s="2141"/>
      <c r="F1287" s="2142">
        <v>1129</v>
      </c>
      <c r="G1287" s="2141"/>
      <c r="H1287" s="2143"/>
      <c r="I1287" s="2141"/>
      <c r="J1287" s="2144">
        <f t="shared" si="135"/>
        <v>0</v>
      </c>
      <c r="K1287" s="2145">
        <f t="shared" si="136"/>
        <v>0</v>
      </c>
      <c r="L1287" s="2144">
        <v>1</v>
      </c>
      <c r="M1287" s="1960"/>
      <c r="N1287" s="1961"/>
      <c r="O1287" s="3495"/>
      <c r="P1287" s="3496"/>
      <c r="Q1287" s="1962"/>
      <c r="R1287" s="1963"/>
      <c r="S1287" s="1964"/>
      <c r="T1287" s="1965"/>
      <c r="U1287" s="1824"/>
      <c r="V1287" s="3320" t="e">
        <f>VLOOKUP(M1287,'[1]TABELA FRETE'!$D$25:$E$29,2,0)</f>
        <v>#N/A</v>
      </c>
      <c r="W1287" s="3321"/>
      <c r="X1287" s="3458"/>
      <c r="Y1287" s="3459"/>
    </row>
    <row r="1288" spans="2:25" s="1916" customFormat="1" ht="6" customHeight="1" thickBot="1">
      <c r="B1288" s="1844"/>
      <c r="C1288" s="1844"/>
      <c r="D1288" s="2033"/>
      <c r="E1288" s="1919"/>
      <c r="F1288" s="2033"/>
      <c r="G1288" s="1918"/>
      <c r="H1288" s="2033"/>
      <c r="I1288" s="1918"/>
      <c r="J1288" s="1919"/>
      <c r="K1288" s="1921"/>
      <c r="L1288" s="1919"/>
      <c r="M1288" s="1968"/>
      <c r="N1288" s="2153"/>
      <c r="O1288" s="1968"/>
      <c r="P1288" s="1968"/>
      <c r="Q1288" s="1925"/>
      <c r="R1288" s="1968"/>
      <c r="S1288" s="2034"/>
      <c r="T1288" s="1968"/>
      <c r="U1288" s="1927"/>
      <c r="V1288" s="1928"/>
      <c r="W1288" s="1928"/>
      <c r="X1288" s="1929"/>
      <c r="Y1288" s="1929"/>
    </row>
    <row r="1289" spans="2:25" s="1823" customFormat="1" ht="48" customHeight="1" thickBot="1">
      <c r="B1289" s="1843">
        <v>0.70833333333333304</v>
      </c>
      <c r="C1289" s="1844"/>
      <c r="D1289" s="2035">
        <v>36</v>
      </c>
      <c r="E1289" s="1846"/>
      <c r="F1289" s="2036">
        <v>33</v>
      </c>
      <c r="G1289" s="1846"/>
      <c r="H1289" s="1932"/>
      <c r="I1289" s="2037"/>
      <c r="J1289" s="2038">
        <f>E1289+G1289+I1289</f>
        <v>0</v>
      </c>
      <c r="K1289" s="2039">
        <f t="shared" ref="K1289:K1297" si="137">J1289/450</f>
        <v>0</v>
      </c>
      <c r="L1289" s="2038">
        <v>1</v>
      </c>
      <c r="M1289" s="2106">
        <v>1016</v>
      </c>
      <c r="N1289" s="1932">
        <v>8</v>
      </c>
      <c r="O1289" s="3499" t="s">
        <v>106</v>
      </c>
      <c r="P1289" s="3500"/>
      <c r="Q1289" s="2038">
        <v>2</v>
      </c>
      <c r="R1289" s="1846">
        <v>0</v>
      </c>
      <c r="S1289" s="2107" t="s">
        <v>233</v>
      </c>
      <c r="T1289" s="2108">
        <v>606</v>
      </c>
      <c r="U1289" s="1824"/>
      <c r="V1289" s="3320">
        <f>VLOOKUP(M1289,'[1]TABELA FRETE'!$A$6:$B$12,2,0)</f>
        <v>425.7</v>
      </c>
      <c r="W1289" s="3321"/>
      <c r="X1289" s="3322"/>
      <c r="Y1289" s="3323"/>
    </row>
    <row r="1290" spans="2:25" s="1823" customFormat="1" ht="48" customHeight="1" thickBot="1">
      <c r="B1290" s="1938">
        <v>0.70833333333333304</v>
      </c>
      <c r="C1290" s="1844"/>
      <c r="D1290" s="2044">
        <v>30</v>
      </c>
      <c r="E1290" s="1872"/>
      <c r="F1290" s="2045"/>
      <c r="G1290" s="1860"/>
      <c r="H1290" s="2013"/>
      <c r="I1290" s="1872"/>
      <c r="J1290" s="1952">
        <f>E1290+G1290+I1290</f>
        <v>0</v>
      </c>
      <c r="K1290" s="2014">
        <f t="shared" si="137"/>
        <v>0</v>
      </c>
      <c r="L1290" s="1952">
        <v>1</v>
      </c>
      <c r="M1290" s="1949">
        <v>1016</v>
      </c>
      <c r="N1290" s="1853">
        <v>7</v>
      </c>
      <c r="O1290" s="3326" t="s">
        <v>44</v>
      </c>
      <c r="P1290" s="3327"/>
      <c r="Q1290" s="1897">
        <v>2</v>
      </c>
      <c r="R1290" s="1950">
        <v>0</v>
      </c>
      <c r="S1290" s="1857" t="s">
        <v>103</v>
      </c>
      <c r="T1290" s="1950">
        <v>674</v>
      </c>
      <c r="U1290" s="1824"/>
      <c r="V1290" s="3320">
        <f>VLOOKUP(M1290,'[1]TABELA FRETE'!$A$6:$B$12,2,0)</f>
        <v>425.7</v>
      </c>
      <c r="W1290" s="3321"/>
      <c r="X1290" s="3322"/>
      <c r="Y1290" s="3323"/>
    </row>
    <row r="1291" spans="2:25" s="1823" customFormat="1" ht="48" customHeight="1" thickBot="1">
      <c r="B1291" s="1858">
        <v>0.70833333333333304</v>
      </c>
      <c r="C1291" s="1844"/>
      <c r="D1291" s="2044">
        <v>21</v>
      </c>
      <c r="E1291" s="1872"/>
      <c r="F1291" s="2125"/>
      <c r="G1291" s="1872"/>
      <c r="H1291" s="2013"/>
      <c r="I1291" s="1872"/>
      <c r="J1291" s="1952">
        <f>E1291+G1291+I1291</f>
        <v>0</v>
      </c>
      <c r="K1291" s="2014">
        <f t="shared" si="137"/>
        <v>0</v>
      </c>
      <c r="L1291" s="1952">
        <v>1</v>
      </c>
      <c r="M1291" s="1894">
        <v>1016</v>
      </c>
      <c r="N1291" s="1895">
        <v>8</v>
      </c>
      <c r="O1291" s="3466" t="s">
        <v>85</v>
      </c>
      <c r="P1291" s="3467"/>
      <c r="Q1291" s="1897">
        <v>2</v>
      </c>
      <c r="R1291" s="1898">
        <v>0</v>
      </c>
      <c r="S1291" s="1947" t="s">
        <v>86</v>
      </c>
      <c r="T1291" s="1900">
        <v>714</v>
      </c>
      <c r="U1291" s="1824"/>
      <c r="V1291" s="3320">
        <f>VLOOKUP(M1291,'[1]TABELA FRETE'!$A$6:$B$12,2,0)</f>
        <v>425.7</v>
      </c>
      <c r="W1291" s="3321"/>
      <c r="X1291" s="3322"/>
      <c r="Y1291" s="3323"/>
    </row>
    <row r="1292" spans="2:25" s="1823" customFormat="1" ht="48" customHeight="1" thickBot="1">
      <c r="B1292" s="1938">
        <v>0.70833333333333304</v>
      </c>
      <c r="C1292" s="1844"/>
      <c r="D1292" s="2044">
        <v>27</v>
      </c>
      <c r="E1292" s="1872"/>
      <c r="F1292" s="2048" t="s">
        <v>201</v>
      </c>
      <c r="G1292" s="1872"/>
      <c r="H1292" s="2049"/>
      <c r="I1292" s="1872"/>
      <c r="J1292" s="1862">
        <f t="shared" ref="J1292:J1298" si="138">E1292+G1292+I1292</f>
        <v>0</v>
      </c>
      <c r="K1292" s="1863">
        <f t="shared" si="137"/>
        <v>0</v>
      </c>
      <c r="L1292" s="1862">
        <v>1</v>
      </c>
      <c r="M1292" s="1894">
        <v>1016</v>
      </c>
      <c r="N1292" s="1895">
        <v>8</v>
      </c>
      <c r="O1292" s="3466" t="s">
        <v>46</v>
      </c>
      <c r="P1292" s="3467"/>
      <c r="Q1292" s="1897">
        <v>2</v>
      </c>
      <c r="R1292" s="1898">
        <v>0</v>
      </c>
      <c r="S1292" s="1899" t="s">
        <v>102</v>
      </c>
      <c r="T1292" s="1900">
        <v>48</v>
      </c>
      <c r="U1292" s="1927"/>
      <c r="V1292" s="3320">
        <f>VLOOKUP(M1292,'[1]TABELA FRETE'!$A$6:$B$12,2,0)</f>
        <v>425.7</v>
      </c>
      <c r="W1292" s="3321"/>
      <c r="X1292" s="3322"/>
      <c r="Y1292" s="3323"/>
    </row>
    <row r="1293" spans="2:25" s="1823" customFormat="1" ht="48" customHeight="1" thickBot="1">
      <c r="B1293" s="1938">
        <v>0.70833333333333304</v>
      </c>
      <c r="C1293" s="1844"/>
      <c r="D1293" s="2044">
        <v>4</v>
      </c>
      <c r="E1293" s="1872"/>
      <c r="F1293" s="2126"/>
      <c r="G1293" s="1860"/>
      <c r="H1293" s="2049"/>
      <c r="I1293" s="1872"/>
      <c r="J1293" s="1952">
        <f t="shared" si="138"/>
        <v>0</v>
      </c>
      <c r="K1293" s="2014">
        <f t="shared" si="137"/>
        <v>0</v>
      </c>
      <c r="L1293" s="1952">
        <v>1</v>
      </c>
      <c r="M1293" s="1894">
        <v>1016</v>
      </c>
      <c r="N1293" s="1895">
        <v>8</v>
      </c>
      <c r="O1293" s="3306" t="s">
        <v>92</v>
      </c>
      <c r="P1293" s="3307"/>
      <c r="Q1293" s="1897">
        <v>2</v>
      </c>
      <c r="R1293" s="1898">
        <v>0</v>
      </c>
      <c r="S1293" s="1899" t="s">
        <v>104</v>
      </c>
      <c r="T1293" s="1900">
        <v>576</v>
      </c>
      <c r="U1293" s="1927"/>
      <c r="V1293" s="3320">
        <f>VLOOKUP(M1293,'[1]TABELA FRETE'!$A$6:$B$12,2,0)</f>
        <v>425.7</v>
      </c>
      <c r="W1293" s="3321"/>
      <c r="X1293" s="3322"/>
      <c r="Y1293" s="3323"/>
    </row>
    <row r="1294" spans="2:25" s="1823" customFormat="1" ht="48" customHeight="1" thickBot="1">
      <c r="B1294" s="1938">
        <v>0.70833333333333304</v>
      </c>
      <c r="C1294" s="1844"/>
      <c r="D1294" s="2044">
        <v>18</v>
      </c>
      <c r="E1294" s="1872"/>
      <c r="F1294" s="2126"/>
      <c r="G1294" s="1860"/>
      <c r="H1294" s="2049"/>
      <c r="I1294" s="1872"/>
      <c r="J1294" s="1952">
        <f t="shared" si="138"/>
        <v>0</v>
      </c>
      <c r="K1294" s="2014">
        <f t="shared" si="137"/>
        <v>0</v>
      </c>
      <c r="L1294" s="1952">
        <v>1</v>
      </c>
      <c r="M1294" s="1949">
        <v>1016</v>
      </c>
      <c r="N1294" s="1853">
        <v>7</v>
      </c>
      <c r="O1294" s="3326" t="s">
        <v>56</v>
      </c>
      <c r="P1294" s="3327"/>
      <c r="Q1294" s="1897">
        <v>1</v>
      </c>
      <c r="R1294" s="1950">
        <v>0</v>
      </c>
      <c r="S1294" s="1857" t="s">
        <v>57</v>
      </c>
      <c r="T1294" s="1950">
        <v>663</v>
      </c>
      <c r="U1294" s="1927"/>
      <c r="V1294" s="3320">
        <f>VLOOKUP(M1294,'[1]TABELA FRETE'!$A$6:$B$12,2,0)</f>
        <v>425.7</v>
      </c>
      <c r="W1294" s="3321"/>
      <c r="X1294" s="3322"/>
      <c r="Y1294" s="3323"/>
    </row>
    <row r="1295" spans="2:25" s="1823" customFormat="1" ht="48" customHeight="1" thickBot="1">
      <c r="B1295" s="1858">
        <v>0.70833333333333304</v>
      </c>
      <c r="C1295" s="1844"/>
      <c r="D1295" s="2044">
        <v>7</v>
      </c>
      <c r="E1295" s="1872"/>
      <c r="F1295" s="2012"/>
      <c r="G1295" s="1874"/>
      <c r="H1295" s="2013"/>
      <c r="I1295" s="1872"/>
      <c r="J1295" s="1952">
        <f t="shared" si="138"/>
        <v>0</v>
      </c>
      <c r="K1295" s="2014">
        <f t="shared" si="137"/>
        <v>0</v>
      </c>
      <c r="L1295" s="1952">
        <v>1</v>
      </c>
      <c r="M1295" s="1949" t="s">
        <v>7</v>
      </c>
      <c r="N1295" s="1853">
        <v>12</v>
      </c>
      <c r="O1295" s="3326" t="s">
        <v>50</v>
      </c>
      <c r="P1295" s="3327"/>
      <c r="Q1295" s="1855">
        <v>2</v>
      </c>
      <c r="R1295" s="1950">
        <v>0</v>
      </c>
      <c r="S1295" s="1857" t="s">
        <v>105</v>
      </c>
      <c r="T1295" s="1950">
        <v>612</v>
      </c>
      <c r="U1295" s="1824"/>
      <c r="V1295" s="3320">
        <f>VLOOKUP(M1295,'[1]TABELA FRETE'!$A$6:$B$12,2,0)</f>
        <v>466.4</v>
      </c>
      <c r="W1295" s="3321"/>
      <c r="X1295" s="3322"/>
      <c r="Y1295" s="3323"/>
    </row>
    <row r="1296" spans="2:25" s="1823" customFormat="1" ht="48" customHeight="1" thickBot="1">
      <c r="B1296" s="1938">
        <v>0.58333333333333304</v>
      </c>
      <c r="C1296" s="1844"/>
      <c r="D1296" s="2155">
        <v>48</v>
      </c>
      <c r="E1296" s="1992"/>
      <c r="F1296" s="2156"/>
      <c r="G1296" s="1860"/>
      <c r="H1296" s="1981"/>
      <c r="I1296" s="1982"/>
      <c r="J1296" s="1983">
        <f t="shared" si="138"/>
        <v>0</v>
      </c>
      <c r="K1296" s="1984">
        <f t="shared" si="137"/>
        <v>0</v>
      </c>
      <c r="L1296" s="1983">
        <v>1</v>
      </c>
      <c r="M1296" s="1949">
        <v>1016</v>
      </c>
      <c r="N1296" s="1853">
        <v>8</v>
      </c>
      <c r="O1296" s="3306" t="s">
        <v>88</v>
      </c>
      <c r="P1296" s="3307"/>
      <c r="Q1296" s="1897">
        <v>1</v>
      </c>
      <c r="R1296" s="1898">
        <v>0</v>
      </c>
      <c r="S1296" s="1899" t="s">
        <v>184</v>
      </c>
      <c r="T1296" s="1950">
        <v>799</v>
      </c>
      <c r="U1296" s="1824"/>
      <c r="V1296" s="3320">
        <f>VLOOKUP(M1296,'[1]TABELA FRETE'!$A$6:$B$12,2,0)</f>
        <v>425.7</v>
      </c>
      <c r="W1296" s="3321"/>
      <c r="X1296" s="3322"/>
      <c r="Y1296" s="3323"/>
    </row>
    <row r="1297" spans="2:25" s="1823" customFormat="1" ht="48" customHeight="1" thickBot="1">
      <c r="B1297" s="1901">
        <v>0.70833333333333304</v>
      </c>
      <c r="C1297" s="1844"/>
      <c r="D1297" s="2061">
        <v>13</v>
      </c>
      <c r="E1297" s="1903"/>
      <c r="F1297" s="2062"/>
      <c r="G1297" s="1905"/>
      <c r="H1297" s="2063"/>
      <c r="I1297" s="1905"/>
      <c r="J1297" s="2064">
        <f t="shared" si="138"/>
        <v>0</v>
      </c>
      <c r="K1297" s="2065">
        <f t="shared" si="137"/>
        <v>0</v>
      </c>
      <c r="L1297" s="2064">
        <v>1</v>
      </c>
      <c r="M1297" s="2027" t="s">
        <v>7</v>
      </c>
      <c r="N1297" s="2028">
        <v>12</v>
      </c>
      <c r="O1297" s="3470" t="s">
        <v>68</v>
      </c>
      <c r="P1297" s="3471"/>
      <c r="Q1297" s="2122">
        <v>1</v>
      </c>
      <c r="R1297" s="2030">
        <v>0</v>
      </c>
      <c r="S1297" s="2031" t="s">
        <v>69</v>
      </c>
      <c r="T1297" s="2030">
        <v>808</v>
      </c>
      <c r="U1297" s="1824"/>
      <c r="V1297" s="3320">
        <f>VLOOKUP(M1297,'[1]TABELA FRETE'!$D$7:$E$12,2,0)</f>
        <v>1161.5999999999999</v>
      </c>
      <c r="W1297" s="3321"/>
      <c r="X1297" s="3322"/>
      <c r="Y1297" s="3323"/>
    </row>
    <row r="1298" spans="2:25" s="1823" customFormat="1" ht="49.5" customHeight="1" thickBot="1">
      <c r="B1298" s="2069" t="s">
        <v>108</v>
      </c>
      <c r="C1298" s="2070"/>
      <c r="D1298" s="2071"/>
      <c r="E1298" s="2072">
        <f>SUM(E1254:E1297)</f>
        <v>0</v>
      </c>
      <c r="F1298" s="2072" t="s">
        <v>109</v>
      </c>
      <c r="G1298" s="2072">
        <f>SUM(G1254:G1297)</f>
        <v>0</v>
      </c>
      <c r="H1298" s="2072" t="s">
        <v>109</v>
      </c>
      <c r="I1298" s="1836">
        <f>SUM(I1254:I1297)</f>
        <v>0</v>
      </c>
      <c r="J1298" s="1836">
        <f t="shared" si="138"/>
        <v>0</v>
      </c>
      <c r="K1298" s="2073">
        <f>SUM(K1254:K1297)</f>
        <v>0</v>
      </c>
      <c r="L1298" s="2074">
        <f>SUM(L1254:L1297)</f>
        <v>41</v>
      </c>
      <c r="M1298" s="2075" t="s">
        <v>110</v>
      </c>
      <c r="N1298" s="2069">
        <f>SUM(N1254:N1297)</f>
        <v>94</v>
      </c>
      <c r="O1298" s="2072" t="s">
        <v>32</v>
      </c>
      <c r="P1298" s="2072"/>
      <c r="Q1298" s="1836"/>
      <c r="R1298" s="2157">
        <f>SUM(R1254:R1297)</f>
        <v>0</v>
      </c>
      <c r="S1298" s="2077" t="s">
        <v>111</v>
      </c>
      <c r="T1298" s="2078"/>
      <c r="U1298" s="1824"/>
      <c r="V1298" s="3472" t="e">
        <f>SUM(V1254:W1297)</f>
        <v>#N/A</v>
      </c>
      <c r="W1298" s="3473"/>
      <c r="X1298" s="3474">
        <f>COUNT(X1254:Y1297)</f>
        <v>0</v>
      </c>
      <c r="Y1298" s="3475"/>
    </row>
    <row r="1299" spans="2:25" s="1823" customFormat="1" ht="45" customHeight="1" thickBot="1">
      <c r="B1299" s="3290" t="s">
        <v>112</v>
      </c>
      <c r="C1299" s="3501"/>
      <c r="D1299" s="3501"/>
      <c r="E1299" s="3501"/>
      <c r="F1299" s="3501"/>
      <c r="G1299" s="3501"/>
      <c r="H1299" s="3501"/>
      <c r="I1299" s="3501"/>
      <c r="J1299" s="3501"/>
      <c r="K1299" s="2072">
        <v>44</v>
      </c>
      <c r="L1299" s="3501" t="s">
        <v>113</v>
      </c>
      <c r="M1299" s="3291"/>
      <c r="N1299" s="3502" t="s">
        <v>114</v>
      </c>
      <c r="O1299" s="3503"/>
      <c r="P1299" s="3503"/>
      <c r="Q1299" s="3503"/>
      <c r="R1299" s="3504"/>
      <c r="S1299" s="3502" t="s">
        <v>115</v>
      </c>
      <c r="T1299" s="3504"/>
      <c r="U1299" s="1824"/>
      <c r="V1299" s="3338"/>
      <c r="W1299" s="3339"/>
      <c r="X1299" s="3342"/>
      <c r="Y1299" s="3343"/>
    </row>
    <row r="1300" spans="2:25" s="1823" customFormat="1" ht="6.75" customHeight="1" thickBot="1">
      <c r="B1300" s="3505" t="s">
        <v>116</v>
      </c>
      <c r="C1300" s="3506"/>
      <c r="D1300" s="3506"/>
      <c r="E1300" s="3509">
        <f>L1298</f>
        <v>41</v>
      </c>
      <c r="F1300" s="3505" t="s">
        <v>30</v>
      </c>
      <c r="G1300" s="3506"/>
      <c r="H1300" s="3509">
        <f>J1298</f>
        <v>0</v>
      </c>
      <c r="I1300" s="3511"/>
      <c r="J1300" s="3506" t="s">
        <v>117</v>
      </c>
      <c r="K1300" s="3511">
        <f>H1300/E1300</f>
        <v>0</v>
      </c>
      <c r="L1300" s="3509" t="s">
        <v>118</v>
      </c>
      <c r="M1300" s="3509"/>
      <c r="N1300" s="3509"/>
      <c r="O1300" s="3511">
        <v>44</v>
      </c>
      <c r="P1300" s="2158"/>
      <c r="Q1300" s="2158"/>
      <c r="R1300" s="2158"/>
      <c r="S1300" s="2158"/>
      <c r="T1300" s="2159"/>
      <c r="U1300" s="1824"/>
      <c r="V1300" s="3340"/>
      <c r="W1300" s="3341"/>
      <c r="X1300" s="3344"/>
      <c r="Y1300" s="3345"/>
    </row>
    <row r="1301" spans="2:25" s="1823" customFormat="1" ht="40.5" customHeight="1" thickBot="1">
      <c r="B1301" s="3507"/>
      <c r="C1301" s="3508"/>
      <c r="D1301" s="3508"/>
      <c r="E1301" s="3510"/>
      <c r="F1301" s="3507"/>
      <c r="G1301" s="3508"/>
      <c r="H1301" s="3510"/>
      <c r="I1301" s="3512"/>
      <c r="J1301" s="3508"/>
      <c r="K1301" s="3512"/>
      <c r="L1301" s="3510"/>
      <c r="M1301" s="3510"/>
      <c r="N1301" s="3510"/>
      <c r="O1301" s="3512"/>
      <c r="P1301" s="1921"/>
      <c r="Q1301" s="3358" t="s">
        <v>119</v>
      </c>
      <c r="R1301" s="3359"/>
      <c r="S1301" s="3359"/>
      <c r="T1301" s="3360"/>
      <c r="U1301" s="1824"/>
      <c r="V1301" s="3361" t="s">
        <v>120</v>
      </c>
      <c r="W1301" s="3362"/>
      <c r="X1301" s="3365" t="s">
        <v>121</v>
      </c>
      <c r="Y1301" s="3366"/>
    </row>
    <row r="1302" spans="2:25" s="1823" customFormat="1" ht="43.5" customHeight="1">
      <c r="B1302" s="3513" t="s">
        <v>122</v>
      </c>
      <c r="C1302" s="3515" t="s">
        <v>33</v>
      </c>
      <c r="D1302" s="3516"/>
      <c r="E1302" s="3375" t="s">
        <v>123</v>
      </c>
      <c r="F1302" s="3376"/>
      <c r="G1302" s="3376"/>
      <c r="H1302" s="3376"/>
      <c r="I1302" s="3376"/>
      <c r="J1302" s="3376"/>
      <c r="K1302" s="3376"/>
      <c r="L1302" s="3376"/>
      <c r="M1302" s="3376"/>
      <c r="N1302" s="3376"/>
      <c r="O1302" s="3377"/>
      <c r="P1302" s="2161"/>
      <c r="Q1302" s="3384" t="s">
        <v>731</v>
      </c>
      <c r="R1302" s="3385"/>
      <c r="S1302" s="3385"/>
      <c r="T1302" s="3386"/>
      <c r="U1302" s="1824"/>
      <c r="V1302" s="3361"/>
      <c r="W1302" s="3362"/>
      <c r="X1302" s="3365"/>
      <c r="Y1302" s="3366"/>
    </row>
    <row r="1303" spans="2:25" s="1823" customFormat="1" ht="43.5" customHeight="1" thickBot="1">
      <c r="B1303" s="3514"/>
      <c r="C1303" s="3517"/>
      <c r="D1303" s="3518"/>
      <c r="E1303" s="3378"/>
      <c r="F1303" s="3379"/>
      <c r="G1303" s="3379"/>
      <c r="H1303" s="3379"/>
      <c r="I1303" s="3379"/>
      <c r="J1303" s="3379"/>
      <c r="K1303" s="3379"/>
      <c r="L1303" s="3379"/>
      <c r="M1303" s="3379"/>
      <c r="N1303" s="3379"/>
      <c r="O1303" s="3380"/>
      <c r="P1303" s="2162"/>
      <c r="Q1303" s="3387" t="s">
        <v>732</v>
      </c>
      <c r="R1303" s="3388"/>
      <c r="S1303" s="3388"/>
      <c r="T1303" s="3389"/>
      <c r="U1303" s="1824"/>
      <c r="V1303" s="3363"/>
      <c r="W1303" s="3364"/>
      <c r="X1303" s="3367"/>
      <c r="Y1303" s="3368"/>
    </row>
    <row r="1304" spans="2:25" s="1823" customFormat="1" ht="43.5" customHeight="1" thickBot="1">
      <c r="B1304" s="2163" t="s">
        <v>9</v>
      </c>
      <c r="C1304" s="3519">
        <f>COUNTIF(M1254:M1297,"kia")</f>
        <v>2</v>
      </c>
      <c r="D1304" s="3520"/>
      <c r="E1304" s="3381"/>
      <c r="F1304" s="3382"/>
      <c r="G1304" s="3382"/>
      <c r="H1304" s="3382"/>
      <c r="I1304" s="3382"/>
      <c r="J1304" s="3382"/>
      <c r="K1304" s="3382"/>
      <c r="L1304" s="3382"/>
      <c r="M1304" s="3382"/>
      <c r="N1304" s="3382"/>
      <c r="O1304" s="3383"/>
      <c r="P1304" s="2162"/>
      <c r="Q1304" s="3392" t="s">
        <v>126</v>
      </c>
      <c r="R1304" s="3393"/>
      <c r="S1304" s="3393"/>
      <c r="T1304" s="3394"/>
      <c r="U1304" s="1824"/>
      <c r="V1304" s="1838"/>
      <c r="W1304" s="1838"/>
      <c r="X1304" s="1838"/>
      <c r="Y1304" s="1838"/>
    </row>
    <row r="1305" spans="2:25" s="1823" customFormat="1" ht="43.5" customHeight="1">
      <c r="B1305" s="2164" t="s">
        <v>8</v>
      </c>
      <c r="C1305" s="3521">
        <f>COUNTIF(M1254:M1297,"iveco")</f>
        <v>1</v>
      </c>
      <c r="D1305" s="3522"/>
      <c r="E1305" s="3397" t="s">
        <v>127</v>
      </c>
      <c r="F1305" s="3398"/>
      <c r="G1305" s="3398"/>
      <c r="H1305" s="3398"/>
      <c r="I1305" s="3398"/>
      <c r="J1305" s="3398"/>
      <c r="K1305" s="3398"/>
      <c r="L1305" s="3398"/>
      <c r="M1305" s="3398"/>
      <c r="N1305" s="3398"/>
      <c r="O1305" s="3399"/>
      <c r="P1305" s="2162"/>
      <c r="Q1305" s="3403" t="s">
        <v>733</v>
      </c>
      <c r="R1305" s="3404"/>
      <c r="S1305" s="3404"/>
      <c r="T1305" s="3405"/>
      <c r="U1305" s="1824"/>
      <c r="V1305" s="3412" t="s">
        <v>129</v>
      </c>
      <c r="W1305" s="3413"/>
      <c r="X1305" s="3413"/>
      <c r="Y1305" s="3414"/>
    </row>
    <row r="1306" spans="2:25" s="1823" customFormat="1" ht="43.5" customHeight="1" thickBot="1">
      <c r="B1306" s="2164">
        <v>1016</v>
      </c>
      <c r="C1306" s="3521">
        <f>COUNTIF(M1254:M1297,"1016")</f>
        <v>8</v>
      </c>
      <c r="D1306" s="3522"/>
      <c r="E1306" s="3400"/>
      <c r="F1306" s="3401"/>
      <c r="G1306" s="3401"/>
      <c r="H1306" s="3401"/>
      <c r="I1306" s="3401"/>
      <c r="J1306" s="3401"/>
      <c r="K1306" s="3401"/>
      <c r="L1306" s="3401"/>
      <c r="M1306" s="3401"/>
      <c r="N1306" s="3401"/>
      <c r="O1306" s="3402"/>
      <c r="P1306" s="2162"/>
      <c r="Q1306" s="3406"/>
      <c r="R1306" s="3407"/>
      <c r="S1306" s="3407"/>
      <c r="T1306" s="3408"/>
      <c r="U1306" s="1824"/>
      <c r="V1306" s="3415" t="s">
        <v>130</v>
      </c>
      <c r="W1306" s="3416"/>
      <c r="X1306" s="3416"/>
      <c r="Y1306" s="3417"/>
    </row>
    <row r="1307" spans="2:25" s="1823" customFormat="1" ht="43.5" customHeight="1" thickBot="1">
      <c r="B1307" s="2164" t="s">
        <v>7</v>
      </c>
      <c r="C1307" s="3521">
        <f>COUNTIF(M1254:M1297,"toco")</f>
        <v>2</v>
      </c>
      <c r="D1307" s="3522"/>
      <c r="E1307" s="3421" t="s">
        <v>131</v>
      </c>
      <c r="F1307" s="3422"/>
      <c r="G1307" s="3422"/>
      <c r="H1307" s="3422"/>
      <c r="I1307" s="3422"/>
      <c r="J1307" s="3422"/>
      <c r="K1307" s="3422"/>
      <c r="L1307" s="3422"/>
      <c r="M1307" s="3422"/>
      <c r="N1307" s="3422"/>
      <c r="O1307" s="3423"/>
      <c r="P1307" s="2161"/>
      <c r="Q1307" s="3409"/>
      <c r="R1307" s="3410"/>
      <c r="S1307" s="3410"/>
      <c r="T1307" s="3411"/>
      <c r="U1307" s="1824"/>
      <c r="V1307" s="3418"/>
      <c r="W1307" s="3419"/>
      <c r="X1307" s="3419"/>
      <c r="Y1307" s="3420"/>
    </row>
    <row r="1308" spans="2:25" s="1823" customFormat="1" ht="43.5" customHeight="1" thickBot="1">
      <c r="B1308" s="2165" t="s">
        <v>6</v>
      </c>
      <c r="C1308" s="3523">
        <f>COUNTIF(M1254:M1297,"truck")</f>
        <v>0</v>
      </c>
      <c r="D1308" s="3524"/>
      <c r="E1308" s="3424"/>
      <c r="F1308" s="3425"/>
      <c r="G1308" s="3425"/>
      <c r="H1308" s="3425"/>
      <c r="I1308" s="3425"/>
      <c r="J1308" s="3425"/>
      <c r="K1308" s="3425"/>
      <c r="L1308" s="3425"/>
      <c r="M1308" s="3425"/>
      <c r="N1308" s="3425"/>
      <c r="O1308" s="3426"/>
      <c r="P1308" s="2161"/>
      <c r="Q1308" s="3429" t="s">
        <v>132</v>
      </c>
      <c r="R1308" s="3430"/>
      <c r="S1308" s="3430"/>
      <c r="T1308" s="3431"/>
      <c r="U1308" s="1824"/>
      <c r="V1308" s="3435" t="s">
        <v>133</v>
      </c>
      <c r="W1308" s="3436"/>
      <c r="X1308" s="3441">
        <f>SUM(E1254:E1297,G1254:G1297,I1254:I1297)</f>
        <v>0</v>
      </c>
      <c r="Y1308" s="3442"/>
    </row>
    <row r="1309" spans="2:25" s="1823" customFormat="1" ht="43.5" customHeight="1">
      <c r="B1309" s="3513" t="s">
        <v>134</v>
      </c>
      <c r="C1309" s="3517">
        <f>SUM(C1304:D1308)</f>
        <v>13</v>
      </c>
      <c r="D1309" s="3518"/>
      <c r="E1309" s="3447" t="s">
        <v>135</v>
      </c>
      <c r="F1309" s="3448"/>
      <c r="G1309" s="3448"/>
      <c r="H1309" s="3448"/>
      <c r="I1309" s="3448"/>
      <c r="J1309" s="3448"/>
      <c r="K1309" s="3448"/>
      <c r="L1309" s="3448"/>
      <c r="M1309" s="3448"/>
      <c r="N1309" s="3448"/>
      <c r="O1309" s="3449"/>
      <c r="P1309" s="2166"/>
      <c r="Q1309" s="3429"/>
      <c r="R1309" s="3430"/>
      <c r="S1309" s="3430"/>
      <c r="T1309" s="3431"/>
      <c r="U1309" s="2089"/>
      <c r="V1309" s="3437"/>
      <c r="W1309" s="3438"/>
      <c r="X1309" s="3443"/>
      <c r="Y1309" s="3444"/>
    </row>
    <row r="1310" spans="2:25" s="1823" customFormat="1" ht="43.5" customHeight="1" thickBot="1">
      <c r="B1310" s="3514"/>
      <c r="C1310" s="3525"/>
      <c r="D1310" s="3526"/>
      <c r="E1310" s="3424"/>
      <c r="F1310" s="3425"/>
      <c r="G1310" s="3425"/>
      <c r="H1310" s="3425"/>
      <c r="I1310" s="3425"/>
      <c r="J1310" s="3425"/>
      <c r="K1310" s="3425"/>
      <c r="L1310" s="3425"/>
      <c r="M1310" s="3425"/>
      <c r="N1310" s="3425"/>
      <c r="O1310" s="3426"/>
      <c r="P1310" s="2167"/>
      <c r="Q1310" s="3429"/>
      <c r="R1310" s="3430"/>
      <c r="S1310" s="3430"/>
      <c r="T1310" s="3431"/>
      <c r="U1310" s="2089"/>
      <c r="V1310" s="3437"/>
      <c r="W1310" s="3438"/>
      <c r="X1310" s="3443"/>
      <c r="Y1310" s="3444"/>
    </row>
    <row r="1311" spans="2:25" s="1842" customFormat="1" ht="43.5" customHeight="1" thickBot="1">
      <c r="B1311" s="2168" t="s">
        <v>136</v>
      </c>
      <c r="C1311" s="3450" t="s">
        <v>137</v>
      </c>
      <c r="D1311" s="3451"/>
      <c r="E1311" s="3451"/>
      <c r="F1311" s="3451"/>
      <c r="G1311" s="3451"/>
      <c r="H1311" s="3451"/>
      <c r="I1311" s="3451"/>
      <c r="J1311" s="3451"/>
      <c r="K1311" s="3451"/>
      <c r="L1311" s="3451"/>
      <c r="M1311" s="3451"/>
      <c r="N1311" s="3451"/>
      <c r="O1311" s="3452"/>
      <c r="P1311" s="2167"/>
      <c r="Q1311" s="3432"/>
      <c r="R1311" s="3433"/>
      <c r="S1311" s="3433"/>
      <c r="T1311" s="3434"/>
      <c r="V1311" s="3439"/>
      <c r="W1311" s="3440"/>
      <c r="X1311" s="3445"/>
      <c r="Y1311" s="3446"/>
    </row>
    <row r="1319" spans="1:25" ht="13.5" thickBot="1"/>
    <row r="1320" spans="1:25" s="1823" customFormat="1" ht="42.75" customHeight="1" thickBot="1">
      <c r="A1320" s="1823" t="s">
        <v>17</v>
      </c>
      <c r="B1320" s="3484"/>
      <c r="C1320" s="3485"/>
      <c r="D1320" s="3485"/>
      <c r="E1320" s="3485"/>
      <c r="F1320" s="3485"/>
      <c r="G1320" s="3485"/>
      <c r="H1320" s="3485"/>
      <c r="I1320" s="3486"/>
      <c r="J1320" s="3490" t="s">
        <v>18</v>
      </c>
      <c r="K1320" s="3491"/>
      <c r="L1320" s="3491"/>
      <c r="M1320" s="3491"/>
      <c r="N1320" s="3491"/>
      <c r="O1320" s="3491"/>
      <c r="P1320" s="3491"/>
      <c r="Q1320" s="3492"/>
      <c r="R1320" s="3267">
        <v>46164</v>
      </c>
      <c r="S1320" s="3268"/>
      <c r="T1320" s="3269"/>
      <c r="U1320" s="1824"/>
      <c r="V1320" s="3273" t="s">
        <v>19</v>
      </c>
      <c r="W1320" s="3274"/>
      <c r="X1320" s="3273" t="s">
        <v>19</v>
      </c>
      <c r="Y1320" s="3274"/>
    </row>
    <row r="1321" spans="1:25" s="1823" customFormat="1" ht="42.75" customHeight="1" thickBot="1">
      <c r="B1321" s="3487"/>
      <c r="C1321" s="3488"/>
      <c r="D1321" s="3488"/>
      <c r="E1321" s="3488"/>
      <c r="F1321" s="3488"/>
      <c r="G1321" s="3488"/>
      <c r="H1321" s="3488"/>
      <c r="I1321" s="3489"/>
      <c r="J1321" s="3277" t="s">
        <v>20</v>
      </c>
      <c r="K1321" s="3278"/>
      <c r="L1321" s="3278"/>
      <c r="M1321" s="3278"/>
      <c r="N1321" s="3278"/>
      <c r="O1321" s="3278"/>
      <c r="P1321" s="3278"/>
      <c r="Q1321" s="3279"/>
      <c r="R1321" s="3270"/>
      <c r="S1321" s="3271"/>
      <c r="T1321" s="3272"/>
      <c r="U1321" s="1824"/>
      <c r="V1321" s="3275"/>
      <c r="W1321" s="3276"/>
      <c r="X1321" s="3275"/>
      <c r="Y1321" s="3276"/>
    </row>
    <row r="1322" spans="1:25" s="1823" customFormat="1" ht="6" customHeight="1" thickBot="1">
      <c r="B1322" s="2131"/>
      <c r="C1322" s="2132"/>
      <c r="D1322" s="2130"/>
      <c r="E1322" s="2130"/>
      <c r="F1322" s="2130"/>
      <c r="G1322" s="2130"/>
      <c r="H1322" s="2130"/>
      <c r="I1322" s="2130"/>
      <c r="J1322" s="3280"/>
      <c r="K1322" s="3281"/>
      <c r="L1322" s="3281"/>
      <c r="M1322" s="3281"/>
      <c r="N1322" s="3281"/>
      <c r="O1322" s="3281"/>
      <c r="P1322" s="3281"/>
      <c r="Q1322" s="3282"/>
      <c r="R1322" s="2169" t="s">
        <v>21</v>
      </c>
      <c r="S1322" s="2169"/>
      <c r="T1322" s="2170"/>
      <c r="U1322" s="1824"/>
      <c r="V1322" s="1826"/>
      <c r="W1322" s="1827"/>
      <c r="X1322" s="1826"/>
      <c r="Y1322" s="1827"/>
    </row>
    <row r="1323" spans="1:25" s="1823" customFormat="1" ht="54" customHeight="1" thickBot="1">
      <c r="B1323" s="3286" t="s">
        <v>22</v>
      </c>
      <c r="C1323" s="1832"/>
      <c r="D1323" s="3288" t="s">
        <v>23</v>
      </c>
      <c r="E1323" s="3289"/>
      <c r="F1323" s="3288" t="s">
        <v>24</v>
      </c>
      <c r="G1323" s="3289"/>
      <c r="H1323" s="3288" t="s">
        <v>25</v>
      </c>
      <c r="I1323" s="3289"/>
      <c r="J1323" s="3283"/>
      <c r="K1323" s="3284"/>
      <c r="L1323" s="3284"/>
      <c r="M1323" s="3284"/>
      <c r="N1323" s="3284"/>
      <c r="O1323" s="3284"/>
      <c r="P1323" s="3284"/>
      <c r="Q1323" s="3285"/>
      <c r="R1323" s="3288" t="s">
        <v>26</v>
      </c>
      <c r="S1323" s="3289"/>
      <c r="T1323" s="2171">
        <f>L1363</f>
        <v>35</v>
      </c>
      <c r="U1323" s="1838"/>
      <c r="V1323" s="3292" t="s">
        <v>27</v>
      </c>
      <c r="W1323" s="3293"/>
      <c r="X1323" s="3292" t="s">
        <v>28</v>
      </c>
      <c r="Y1323" s="3293"/>
    </row>
    <row r="1324" spans="1:25" s="1823" customFormat="1" ht="54" customHeight="1" thickBot="1">
      <c r="B1324" s="3287"/>
      <c r="C1324" s="1832"/>
      <c r="D1324" s="1840" t="s">
        <v>29</v>
      </c>
      <c r="E1324" s="1840" t="s">
        <v>30</v>
      </c>
      <c r="F1324" s="1840" t="s">
        <v>29</v>
      </c>
      <c r="G1324" s="1840" t="s">
        <v>30</v>
      </c>
      <c r="H1324" s="1840" t="s">
        <v>29</v>
      </c>
      <c r="I1324" s="1840" t="s">
        <v>30</v>
      </c>
      <c r="J1324" s="1834" t="s">
        <v>31</v>
      </c>
      <c r="K1324" s="1840" t="s">
        <v>32</v>
      </c>
      <c r="L1324" s="1840" t="s">
        <v>33</v>
      </c>
      <c r="M1324" s="1840" t="s">
        <v>34</v>
      </c>
      <c r="N1324" s="1840" t="s">
        <v>32</v>
      </c>
      <c r="O1324" s="1833" t="s">
        <v>35</v>
      </c>
      <c r="P1324" s="1834"/>
      <c r="Q1324" s="1840" t="s">
        <v>36</v>
      </c>
      <c r="R1324" s="1840" t="s">
        <v>37</v>
      </c>
      <c r="S1324" s="1840" t="s">
        <v>38</v>
      </c>
      <c r="T1324" s="1841" t="s">
        <v>39</v>
      </c>
      <c r="U1324" s="1838"/>
      <c r="V1324" s="3294"/>
      <c r="W1324" s="3295"/>
      <c r="X1324" s="3294"/>
      <c r="Y1324" s="3295"/>
    </row>
    <row r="1325" spans="1:25" s="1842" customFormat="1" ht="48" customHeight="1" thickBot="1">
      <c r="B1325" s="1843">
        <v>0.41666666666666702</v>
      </c>
      <c r="C1325" s="1844"/>
      <c r="D1325" s="1845">
        <v>28</v>
      </c>
      <c r="E1325" s="1846"/>
      <c r="F1325" s="1847">
        <v>29</v>
      </c>
      <c r="G1325" s="1848"/>
      <c r="H1325" s="2092"/>
      <c r="I1325" s="1848"/>
      <c r="J1325" s="1850">
        <f t="shared" ref="J1325:J1330" si="139">E1325+G1325+I1325</f>
        <v>0</v>
      </c>
      <c r="K1325" s="1851">
        <f t="shared" ref="K1325:K1330" si="140">J1325/450</f>
        <v>0</v>
      </c>
      <c r="L1325" s="1850">
        <v>1</v>
      </c>
      <c r="M1325" s="2146"/>
      <c r="N1325" s="2147"/>
      <c r="O1325" s="3462"/>
      <c r="P1325" s="3463"/>
      <c r="Q1325" s="1935"/>
      <c r="R1325" s="1856"/>
      <c r="S1325" s="1973"/>
      <c r="T1325" s="1856"/>
      <c r="U1325" s="1824"/>
      <c r="V1325" s="3454" t="e">
        <f>VLOOKUP(M1325,'[1]TABELA FRETE'!$A$6:$B$12,2,0)</f>
        <v>#N/A</v>
      </c>
      <c r="W1325" s="3455"/>
      <c r="X1325" s="3322"/>
      <c r="Y1325" s="3323"/>
    </row>
    <row r="1326" spans="1:25" s="1842" customFormat="1" ht="61.5" customHeight="1" thickBot="1">
      <c r="B1326" s="1858">
        <v>0.41666666666666702</v>
      </c>
      <c r="C1326" s="1844"/>
      <c r="D1326" s="1859" t="s">
        <v>198</v>
      </c>
      <c r="E1326" s="1860"/>
      <c r="F1326" s="1859" t="s">
        <v>78</v>
      </c>
      <c r="G1326" s="1861"/>
      <c r="H1326" s="3302" t="s">
        <v>226</v>
      </c>
      <c r="I1326" s="3303"/>
      <c r="J1326" s="1862">
        <f t="shared" si="139"/>
        <v>0</v>
      </c>
      <c r="K1326" s="1863">
        <f t="shared" si="140"/>
        <v>0</v>
      </c>
      <c r="L1326" s="1862">
        <v>1</v>
      </c>
      <c r="M1326" s="1864"/>
      <c r="N1326" s="1865"/>
      <c r="O1326" s="1866"/>
      <c r="P1326" s="1866"/>
      <c r="Q1326" s="1867"/>
      <c r="R1326" s="1868"/>
      <c r="S1326" s="1869"/>
      <c r="T1326" s="1870"/>
      <c r="U1326" s="1824"/>
      <c r="V1326" s="3454" t="e">
        <f>VLOOKUP(M1326,'[1]TABELA FRETE'!$A$6:$B$12,2,0)</f>
        <v>#N/A</v>
      </c>
      <c r="W1326" s="3455"/>
      <c r="X1326" s="3322"/>
      <c r="Y1326" s="3323"/>
    </row>
    <row r="1327" spans="1:25" s="1823" customFormat="1" ht="48" customHeight="1" thickBot="1">
      <c r="B1327" s="1858">
        <v>0.41666666666666702</v>
      </c>
      <c r="C1327" s="1844"/>
      <c r="D1327" s="1871">
        <v>7</v>
      </c>
      <c r="E1327" s="1872"/>
      <c r="F1327" s="1873"/>
      <c r="G1327" s="1874"/>
      <c r="H1327" s="1940"/>
      <c r="I1327" s="1876"/>
      <c r="J1327" s="1862">
        <f t="shared" si="139"/>
        <v>0</v>
      </c>
      <c r="K1327" s="1863">
        <f t="shared" si="140"/>
        <v>0</v>
      </c>
      <c r="L1327" s="1862">
        <v>1</v>
      </c>
      <c r="M1327" s="1877" t="s">
        <v>9</v>
      </c>
      <c r="N1327" s="1878">
        <v>3</v>
      </c>
      <c r="O1327" s="3304" t="s">
        <v>189</v>
      </c>
      <c r="P1327" s="3305"/>
      <c r="Q1327" s="1880">
        <v>1</v>
      </c>
      <c r="R1327" s="1881">
        <v>0</v>
      </c>
      <c r="S1327" s="1882" t="s">
        <v>190</v>
      </c>
      <c r="T1327" s="1870">
        <v>738</v>
      </c>
      <c r="U1327" s="1824"/>
      <c r="V1327" s="3454">
        <f>VLOOKUP(M1327,'[1]TABELA FRETE'!$A$6:$B$12,2,0)</f>
        <v>250.8</v>
      </c>
      <c r="W1327" s="3455"/>
      <c r="X1327" s="3322"/>
      <c r="Y1327" s="3323"/>
    </row>
    <row r="1328" spans="1:25" s="1823" customFormat="1" ht="48" customHeight="1" thickBot="1">
      <c r="B1328" s="1858">
        <v>0.41666666666666702</v>
      </c>
      <c r="C1328" s="1844"/>
      <c r="D1328" s="1871">
        <v>11</v>
      </c>
      <c r="E1328" s="1872"/>
      <c r="F1328" s="1873"/>
      <c r="G1328" s="1874"/>
      <c r="H1328" s="1940"/>
      <c r="I1328" s="1876"/>
      <c r="J1328" s="1862">
        <f t="shared" si="139"/>
        <v>0</v>
      </c>
      <c r="K1328" s="1863">
        <f t="shared" si="140"/>
        <v>0</v>
      </c>
      <c r="L1328" s="1862">
        <v>1</v>
      </c>
      <c r="M1328" s="1887" t="s">
        <v>8</v>
      </c>
      <c r="N1328" s="1888">
        <v>4</v>
      </c>
      <c r="O1328" s="3326" t="s">
        <v>96</v>
      </c>
      <c r="P1328" s="3327"/>
      <c r="Q1328" s="1891">
        <v>2</v>
      </c>
      <c r="R1328" s="1892">
        <v>0</v>
      </c>
      <c r="S1328" s="1893" t="s">
        <v>97</v>
      </c>
      <c r="T1328" s="1892">
        <v>456</v>
      </c>
      <c r="U1328" s="1824"/>
      <c r="V1328" s="3454">
        <f>VLOOKUP(M1328,'[1]TABELA FRETE'!$A$6:$B$12,2,0)</f>
        <v>286</v>
      </c>
      <c r="W1328" s="3455"/>
      <c r="X1328" s="3322"/>
      <c r="Y1328" s="3323"/>
    </row>
    <row r="1329" spans="2:25" s="1823" customFormat="1" ht="48" customHeight="1" thickBot="1">
      <c r="B1329" s="1858">
        <v>0.41666666666666702</v>
      </c>
      <c r="C1329" s="1844"/>
      <c r="D1329" s="1871">
        <v>11</v>
      </c>
      <c r="E1329" s="1883"/>
      <c r="F1329" s="1884"/>
      <c r="G1329" s="1885"/>
      <c r="H1329" s="1956"/>
      <c r="I1329" s="1886"/>
      <c r="J1329" s="1862">
        <f t="shared" si="139"/>
        <v>0</v>
      </c>
      <c r="K1329" s="1863">
        <f t="shared" si="140"/>
        <v>0</v>
      </c>
      <c r="L1329" s="1862">
        <v>1</v>
      </c>
      <c r="M1329" s="1894">
        <v>1016</v>
      </c>
      <c r="N1329" s="1895">
        <v>6</v>
      </c>
      <c r="O1329" s="3306" t="s">
        <v>203</v>
      </c>
      <c r="P1329" s="3307"/>
      <c r="Q1329" s="1897">
        <v>2</v>
      </c>
      <c r="R1329" s="1898">
        <v>0</v>
      </c>
      <c r="S1329" s="1899" t="s">
        <v>204</v>
      </c>
      <c r="T1329" s="1900">
        <v>807</v>
      </c>
      <c r="U1329" s="1824"/>
      <c r="V1329" s="3456">
        <v>212</v>
      </c>
      <c r="W1329" s="3457"/>
      <c r="X1329" s="3458"/>
      <c r="Y1329" s="3459"/>
    </row>
    <row r="1330" spans="2:25" s="1823" customFormat="1" ht="48" customHeight="1" thickBot="1">
      <c r="B1330" s="1901">
        <v>0.41666666666666702</v>
      </c>
      <c r="C1330" s="1844"/>
      <c r="D1330" s="1902">
        <v>11</v>
      </c>
      <c r="E1330" s="1903"/>
      <c r="F1330" s="1904"/>
      <c r="G1330" s="1905"/>
      <c r="H1330" s="2063"/>
      <c r="I1330" s="1907"/>
      <c r="J1330" s="1908">
        <f t="shared" si="139"/>
        <v>0</v>
      </c>
      <c r="K1330" s="1909">
        <f t="shared" si="140"/>
        <v>0</v>
      </c>
      <c r="L1330" s="1908">
        <v>1</v>
      </c>
      <c r="M1330" s="1910" t="s">
        <v>9</v>
      </c>
      <c r="N1330" s="1911">
        <v>3</v>
      </c>
      <c r="O1330" s="3308" t="s">
        <v>98</v>
      </c>
      <c r="P1330" s="3309"/>
      <c r="Q1330" s="1913">
        <v>1</v>
      </c>
      <c r="R1330" s="1914">
        <v>0</v>
      </c>
      <c r="S1330" s="1915" t="s">
        <v>99</v>
      </c>
      <c r="T1330" s="1912">
        <v>496</v>
      </c>
      <c r="U1330" s="1824"/>
      <c r="V1330" s="3320">
        <f>VLOOKUP(M1330,'[1]TABELA FRETE'!$A$6:$B$12,2,0)</f>
        <v>250.8</v>
      </c>
      <c r="W1330" s="3321"/>
      <c r="X1330" s="3460"/>
      <c r="Y1330" s="3461"/>
    </row>
    <row r="1331" spans="2:25" s="1916" customFormat="1" ht="6" customHeight="1" thickBot="1">
      <c r="B1331" s="1844"/>
      <c r="C1331" s="1844"/>
      <c r="D1331" s="1917"/>
      <c r="E1331" s="1918"/>
      <c r="F1331" s="1917"/>
      <c r="G1331" s="1919"/>
      <c r="H1331" s="1920"/>
      <c r="I1331" s="1919"/>
      <c r="J1331" s="1919"/>
      <c r="K1331" s="1921"/>
      <c r="L1331" s="1919"/>
      <c r="M1331" s="1922"/>
      <c r="N1331" s="1923"/>
      <c r="O1331" s="1924"/>
      <c r="P1331" s="1924"/>
      <c r="Q1331" s="1925"/>
      <c r="R1331" s="1925"/>
      <c r="S1331" s="1926"/>
      <c r="T1331" s="1924"/>
      <c r="U1331" s="1927"/>
      <c r="V1331" s="2172"/>
      <c r="W1331" s="2172"/>
      <c r="X1331" s="1929"/>
      <c r="Y1331" s="1929"/>
    </row>
    <row r="1332" spans="2:25" s="1823" customFormat="1" ht="48" customHeight="1" thickBot="1">
      <c r="B1332" s="1843">
        <v>0.5</v>
      </c>
      <c r="C1332" s="1844"/>
      <c r="D1332" s="1845">
        <v>8</v>
      </c>
      <c r="E1332" s="1846"/>
      <c r="F1332" s="1930"/>
      <c r="G1332" s="1931"/>
      <c r="H1332" s="1932"/>
      <c r="I1332" s="1848"/>
      <c r="J1332" s="2094">
        <f t="shared" ref="J1332:J1354" si="141">E1332+G1332+I1332</f>
        <v>0</v>
      </c>
      <c r="K1332" s="2173">
        <f>J1332/450</f>
        <v>0</v>
      </c>
      <c r="L1332" s="2094">
        <v>1</v>
      </c>
      <c r="M1332" s="2146"/>
      <c r="N1332" s="2147"/>
      <c r="O1332" s="3296"/>
      <c r="P1332" s="3297"/>
      <c r="Q1332" s="1972"/>
      <c r="R1332" s="1856"/>
      <c r="S1332" s="1973"/>
      <c r="T1332" s="1856"/>
      <c r="U1332" s="1824"/>
      <c r="V1332" s="3320" t="e">
        <f>VLOOKUP(M1332,'[1]TABELA FRETE'!$A$6:$B$12,2,0)</f>
        <v>#N/A</v>
      </c>
      <c r="W1332" s="3321"/>
      <c r="X1332" s="3322"/>
      <c r="Y1332" s="3323"/>
    </row>
    <row r="1333" spans="2:25" s="1823" customFormat="1" ht="48" customHeight="1" thickBot="1">
      <c r="B1333" s="1974">
        <v>0.5</v>
      </c>
      <c r="C1333" s="1844"/>
      <c r="D1333" s="2095">
        <v>14</v>
      </c>
      <c r="E1333" s="1861"/>
      <c r="F1333" s="2096"/>
      <c r="G1333" s="1982"/>
      <c r="H1333" s="1981"/>
      <c r="I1333" s="1861"/>
      <c r="J1333" s="1862">
        <f t="shared" si="141"/>
        <v>0</v>
      </c>
      <c r="K1333" s="1863">
        <f>J1333/450</f>
        <v>0</v>
      </c>
      <c r="L1333" s="2000">
        <v>1</v>
      </c>
      <c r="M1333" s="2016"/>
      <c r="N1333" s="2109"/>
      <c r="O1333" s="3326"/>
      <c r="P1333" s="3327"/>
      <c r="Q1333" s="2174"/>
      <c r="R1333" s="2024"/>
      <c r="S1333" s="1990"/>
      <c r="T1333" s="2024"/>
      <c r="U1333" s="1824"/>
      <c r="V1333" s="3454" t="e">
        <f>VLOOKUP(M1333,'[1]TABELA FRETE'!$A$6:$B$12,2,0)</f>
        <v>#N/A</v>
      </c>
      <c r="W1333" s="3455"/>
      <c r="X1333" s="3322"/>
      <c r="Y1333" s="3323"/>
    </row>
    <row r="1334" spans="2:25" s="1823" customFormat="1" ht="48" customHeight="1" thickBot="1">
      <c r="B1334" s="1938">
        <v>0.5</v>
      </c>
      <c r="C1334" s="1844"/>
      <c r="D1334" s="1871">
        <v>12</v>
      </c>
      <c r="E1334" s="1876"/>
      <c r="F1334" s="1873">
        <v>38</v>
      </c>
      <c r="G1334" s="1874"/>
      <c r="H1334" s="1981"/>
      <c r="I1334" s="1861"/>
      <c r="J1334" s="1862">
        <f t="shared" si="141"/>
        <v>0</v>
      </c>
      <c r="K1334" s="1863">
        <f t="shared" ref="K1334:K1354" si="142">J1334/450</f>
        <v>0</v>
      </c>
      <c r="L1334" s="1862">
        <v>1</v>
      </c>
      <c r="M1334" s="1949"/>
      <c r="N1334" s="1853"/>
      <c r="O1334" s="3326"/>
      <c r="P1334" s="3327"/>
      <c r="Q1334" s="1855"/>
      <c r="R1334" s="1950"/>
      <c r="S1334" s="1857"/>
      <c r="T1334" s="1950"/>
      <c r="U1334" s="1824"/>
      <c r="V1334" s="3454" t="e">
        <f>VLOOKUP(M1334,'[1]TABELA FRETE'!$A$6:$B$12,2,0)</f>
        <v>#N/A</v>
      </c>
      <c r="W1334" s="3455"/>
      <c r="X1334" s="3322"/>
      <c r="Y1334" s="3323"/>
    </row>
    <row r="1335" spans="2:25" s="1823" customFormat="1" ht="48" customHeight="1" thickBot="1">
      <c r="B1335" s="1938">
        <v>0.5</v>
      </c>
      <c r="C1335" s="1844"/>
      <c r="D1335" s="2095">
        <v>9</v>
      </c>
      <c r="E1335" s="1860"/>
      <c r="F1335" s="2096">
        <v>1</v>
      </c>
      <c r="G1335" s="1982"/>
      <c r="H1335" s="1981"/>
      <c r="I1335" s="1876"/>
      <c r="J1335" s="1862">
        <f t="shared" si="141"/>
        <v>0</v>
      </c>
      <c r="K1335" s="1984">
        <f t="shared" si="142"/>
        <v>0</v>
      </c>
      <c r="L1335" s="1862">
        <v>1</v>
      </c>
      <c r="M1335" s="1949"/>
      <c r="N1335" s="1853"/>
      <c r="O1335" s="3326"/>
      <c r="P1335" s="3327"/>
      <c r="Q1335" s="1897"/>
      <c r="R1335" s="1950"/>
      <c r="S1335" s="1857"/>
      <c r="T1335" s="1950"/>
      <c r="U1335" s="1824"/>
      <c r="V1335" s="3454" t="e">
        <f>VLOOKUP(M1335,'[1]TABELA FRETE'!$A$6:$B$12,2,0)</f>
        <v>#N/A</v>
      </c>
      <c r="W1335" s="3455"/>
      <c r="X1335" s="3322"/>
      <c r="Y1335" s="3323"/>
    </row>
    <row r="1336" spans="2:25" s="1823" customFormat="1" ht="48" customHeight="1" thickBot="1">
      <c r="B1336" s="1938">
        <v>0.5</v>
      </c>
      <c r="C1336" s="1844"/>
      <c r="D1336" s="1871">
        <v>34</v>
      </c>
      <c r="E1336" s="1872"/>
      <c r="F1336" s="1873"/>
      <c r="G1336" s="1874"/>
      <c r="H1336" s="1940"/>
      <c r="I1336" s="1876"/>
      <c r="J1336" s="1862">
        <f t="shared" si="141"/>
        <v>0</v>
      </c>
      <c r="K1336" s="1863">
        <f t="shared" si="142"/>
        <v>0</v>
      </c>
      <c r="L1336" s="1862">
        <v>1</v>
      </c>
      <c r="M1336" s="1894"/>
      <c r="N1336" s="1895"/>
      <c r="O1336" s="3326"/>
      <c r="P1336" s="3327"/>
      <c r="Q1336" s="1897"/>
      <c r="R1336" s="1900"/>
      <c r="S1336" s="1947"/>
      <c r="T1336" s="1950"/>
      <c r="U1336" s="1824"/>
      <c r="V1336" s="3454" t="e">
        <f>VLOOKUP(M1336,'[1]TABELA FRETE'!$A$6:$B$12,2,0)</f>
        <v>#N/A</v>
      </c>
      <c r="W1336" s="3455"/>
      <c r="X1336" s="3322"/>
      <c r="Y1336" s="3323"/>
    </row>
    <row r="1337" spans="2:25" s="1823" customFormat="1" ht="48" customHeight="1" thickBot="1">
      <c r="B1337" s="1938">
        <v>0.5</v>
      </c>
      <c r="C1337" s="1844"/>
      <c r="D1337" s="1871">
        <v>43</v>
      </c>
      <c r="E1337" s="1872"/>
      <c r="F1337" s="1873">
        <v>35</v>
      </c>
      <c r="G1337" s="1874"/>
      <c r="H1337" s="1940"/>
      <c r="I1337" s="1876"/>
      <c r="J1337" s="1862">
        <f t="shared" si="141"/>
        <v>0</v>
      </c>
      <c r="K1337" s="1863">
        <f t="shared" si="142"/>
        <v>0</v>
      </c>
      <c r="L1337" s="1862">
        <v>1</v>
      </c>
      <c r="M1337" s="1894"/>
      <c r="N1337" s="1895"/>
      <c r="O1337" s="3316"/>
      <c r="P1337" s="3317"/>
      <c r="Q1337" s="1941"/>
      <c r="R1337" s="1942"/>
      <c r="S1337" s="1943"/>
      <c r="T1337" s="1944"/>
      <c r="U1337" s="1824"/>
      <c r="V1337" s="3454" t="e">
        <f>VLOOKUP(M1337,'[1]TABELA FRETE'!$A$6:$B$12,2,0)</f>
        <v>#N/A</v>
      </c>
      <c r="W1337" s="3455"/>
      <c r="X1337" s="3322"/>
      <c r="Y1337" s="3323"/>
    </row>
    <row r="1338" spans="2:25" s="1823" customFormat="1" ht="48" customHeight="1" thickBot="1">
      <c r="B1338" s="1938">
        <v>0.5</v>
      </c>
      <c r="C1338" s="1844"/>
      <c r="D1338" s="1871">
        <v>45</v>
      </c>
      <c r="E1338" s="1872"/>
      <c r="F1338" s="2097"/>
      <c r="G1338" s="2098"/>
      <c r="H1338" s="1940"/>
      <c r="I1338" s="1876"/>
      <c r="J1338" s="1862">
        <f t="shared" si="141"/>
        <v>0</v>
      </c>
      <c r="K1338" s="1863">
        <f t="shared" si="142"/>
        <v>0</v>
      </c>
      <c r="L1338" s="1862">
        <v>1</v>
      </c>
      <c r="M1338" s="1949"/>
      <c r="N1338" s="1853"/>
      <c r="O1338" s="3326"/>
      <c r="P1338" s="3327"/>
      <c r="Q1338" s="1897"/>
      <c r="R1338" s="1950"/>
      <c r="S1338" s="1857"/>
      <c r="T1338" s="1950"/>
      <c r="U1338" s="1824"/>
      <c r="V1338" s="3454" t="e">
        <f>VLOOKUP(M1338,'[1]TABELA FRETE'!$A$6:$B$12,2,0)</f>
        <v>#N/A</v>
      </c>
      <c r="W1338" s="3455"/>
      <c r="X1338" s="3322"/>
      <c r="Y1338" s="3323"/>
    </row>
    <row r="1339" spans="2:25" s="1823" customFormat="1" ht="48" customHeight="1" thickBot="1">
      <c r="B1339" s="1938">
        <v>0.5</v>
      </c>
      <c r="C1339" s="1844"/>
      <c r="D1339" s="1955">
        <v>47</v>
      </c>
      <c r="E1339" s="1883"/>
      <c r="F1339" s="2099"/>
      <c r="G1339" s="2100"/>
      <c r="H1339" s="1956"/>
      <c r="I1339" s="1886"/>
      <c r="J1339" s="1862">
        <f t="shared" si="141"/>
        <v>0</v>
      </c>
      <c r="K1339" s="1863">
        <f t="shared" si="142"/>
        <v>0</v>
      </c>
      <c r="L1339" s="1862">
        <v>1</v>
      </c>
      <c r="M1339" s="1949"/>
      <c r="N1339" s="1853"/>
      <c r="O1339" s="3326"/>
      <c r="P1339" s="3327"/>
      <c r="Q1339" s="1897"/>
      <c r="R1339" s="1950"/>
      <c r="S1339" s="1857"/>
      <c r="T1339" s="1891"/>
      <c r="U1339" s="1824"/>
      <c r="V1339" s="3454" t="e">
        <f>VLOOKUP(M1339,'[1]TABELA FRETE'!$A$6:$B$12,2,0)</f>
        <v>#N/A</v>
      </c>
      <c r="W1339" s="3455"/>
      <c r="X1339" s="3322"/>
      <c r="Y1339" s="3323"/>
    </row>
    <row r="1340" spans="2:25" s="1823" customFormat="1" ht="48" customHeight="1" thickBot="1">
      <c r="B1340" s="1901">
        <v>0.5</v>
      </c>
      <c r="C1340" s="1844"/>
      <c r="D1340" s="1957">
        <v>19</v>
      </c>
      <c r="E1340" s="1903"/>
      <c r="F1340" s="1958"/>
      <c r="G1340" s="1903"/>
      <c r="H1340" s="1959"/>
      <c r="I1340" s="1903"/>
      <c r="J1340" s="1908">
        <f>E1340+G1340+I1340</f>
        <v>0</v>
      </c>
      <c r="K1340" s="1909">
        <f>J1340/450</f>
        <v>0</v>
      </c>
      <c r="L1340" s="1908">
        <v>1</v>
      </c>
      <c r="M1340" s="2066"/>
      <c r="N1340" s="2067"/>
      <c r="O1340" s="3308"/>
      <c r="P1340" s="3309"/>
      <c r="Q1340" s="2122"/>
      <c r="R1340" s="1913"/>
      <c r="S1340" s="2031"/>
      <c r="T1340" s="2175"/>
      <c r="U1340" s="1824"/>
      <c r="V1340" s="3320" t="e">
        <f>VLOOKUP(M1340,'[1]TABELA FRETE'!$A$6:$B$12,2,0)</f>
        <v>#N/A</v>
      </c>
      <c r="W1340" s="3321"/>
      <c r="X1340" s="3322"/>
      <c r="Y1340" s="3323"/>
    </row>
    <row r="1341" spans="2:25" s="1916" customFormat="1" ht="6" customHeight="1" thickBot="1">
      <c r="B1341" s="1844"/>
      <c r="C1341" s="1844"/>
      <c r="D1341" s="1917"/>
      <c r="E1341" s="1918"/>
      <c r="F1341" s="1917"/>
      <c r="G1341" s="1919"/>
      <c r="H1341" s="1920"/>
      <c r="I1341" s="1919"/>
      <c r="J1341" s="1919"/>
      <c r="K1341" s="1921"/>
      <c r="L1341" s="1919"/>
      <c r="M1341" s="1966"/>
      <c r="N1341" s="1967"/>
      <c r="O1341" s="1924"/>
      <c r="P1341" s="1924"/>
      <c r="Q1341" s="1925"/>
      <c r="R1341" s="1925"/>
      <c r="S1341" s="1926"/>
      <c r="T1341" s="1968"/>
      <c r="U1341" s="1927"/>
      <c r="V1341" s="2172"/>
      <c r="W1341" s="2172"/>
      <c r="X1341" s="1929"/>
      <c r="Y1341" s="1929"/>
    </row>
    <row r="1342" spans="2:25" s="1823" customFormat="1" ht="48" customHeight="1" thickBot="1">
      <c r="B1342" s="1843">
        <v>0.58333333333333304</v>
      </c>
      <c r="C1342" s="1844"/>
      <c r="D1342" s="1969">
        <v>5</v>
      </c>
      <c r="E1342" s="1846"/>
      <c r="F1342" s="1970">
        <v>20</v>
      </c>
      <c r="G1342" s="1931"/>
      <c r="H1342" s="1932"/>
      <c r="I1342" s="1848"/>
      <c r="J1342" s="1850">
        <f t="shared" si="141"/>
        <v>0</v>
      </c>
      <c r="K1342" s="1851">
        <f t="shared" si="142"/>
        <v>0</v>
      </c>
      <c r="L1342" s="1850">
        <v>1</v>
      </c>
      <c r="M1342" s="1852"/>
      <c r="N1342" s="1971"/>
      <c r="O1342" s="3296"/>
      <c r="P1342" s="3297"/>
      <c r="Q1342" s="1935"/>
      <c r="R1342" s="1856"/>
      <c r="S1342" s="1973"/>
      <c r="T1342" s="1856"/>
      <c r="U1342" s="1824"/>
      <c r="V1342" s="3454" t="e">
        <f>VLOOKUP(M1342,'[1]TABELA FRETE'!$A$6:$B$12,2,0)</f>
        <v>#N/A</v>
      </c>
      <c r="W1342" s="3455"/>
      <c r="X1342" s="3322"/>
      <c r="Y1342" s="3323"/>
    </row>
    <row r="1343" spans="2:25" s="1823" customFormat="1" ht="48" customHeight="1" thickBot="1">
      <c r="B1343" s="1974">
        <v>0.58333333333333304</v>
      </c>
      <c r="C1343" s="1844"/>
      <c r="D1343" s="1975">
        <v>25</v>
      </c>
      <c r="E1343" s="1874"/>
      <c r="F1343" s="1976">
        <v>22</v>
      </c>
      <c r="G1343" s="1872"/>
      <c r="H1343" s="1977"/>
      <c r="I1343" s="1872"/>
      <c r="J1343" s="1862">
        <f t="shared" si="141"/>
        <v>0</v>
      </c>
      <c r="K1343" s="1863">
        <f t="shared" si="142"/>
        <v>0</v>
      </c>
      <c r="L1343" s="1862">
        <v>1</v>
      </c>
      <c r="M1343" s="1951"/>
      <c r="N1343" s="1940"/>
      <c r="O1343" s="3334"/>
      <c r="P1343" s="3335"/>
      <c r="Q1343" s="1952"/>
      <c r="R1343" s="2176"/>
      <c r="S1343" s="1953"/>
      <c r="T1343" s="1954"/>
      <c r="U1343" s="1824"/>
      <c r="V1343" s="3456" t="e">
        <f>VLOOKUP(M1343,'[1]TABELA FRETE'!$A$6:$B$12,2,0)</f>
        <v>#N/A</v>
      </c>
      <c r="W1343" s="3457"/>
      <c r="X1343" s="3458"/>
      <c r="Y1343" s="3459"/>
    </row>
    <row r="1344" spans="2:25" s="1823" customFormat="1" ht="48" customHeight="1" thickBot="1">
      <c r="B1344" s="1974">
        <v>0.58333333333333304</v>
      </c>
      <c r="C1344" s="1844"/>
      <c r="D1344" s="1975">
        <v>31</v>
      </c>
      <c r="E1344" s="1874"/>
      <c r="F1344" s="1945"/>
      <c r="G1344" s="1872"/>
      <c r="H1344" s="1977"/>
      <c r="I1344" s="1872"/>
      <c r="J1344" s="1862">
        <f t="shared" si="141"/>
        <v>0</v>
      </c>
      <c r="K1344" s="1863">
        <f t="shared" si="142"/>
        <v>0</v>
      </c>
      <c r="L1344" s="1862">
        <v>1</v>
      </c>
      <c r="M1344" s="1949"/>
      <c r="N1344" s="1853"/>
      <c r="O1344" s="3326"/>
      <c r="P1344" s="3327"/>
      <c r="Q1344" s="1897"/>
      <c r="R1344" s="1950"/>
      <c r="S1344" s="1857"/>
      <c r="T1344" s="1950"/>
      <c r="U1344" s="1824"/>
      <c r="V1344" s="3320" t="e">
        <f>VLOOKUP(M1344,'[1]TABELA FRETE'!$A$6:$B$12,2,0)</f>
        <v>#N/A</v>
      </c>
      <c r="W1344" s="3321"/>
      <c r="X1344" s="3460"/>
      <c r="Y1344" s="3461"/>
    </row>
    <row r="1345" spans="2:25" s="1823" customFormat="1" ht="48" customHeight="1" thickBot="1">
      <c r="B1345" s="1974">
        <v>0.58333333333333304</v>
      </c>
      <c r="C1345" s="1978"/>
      <c r="D1345" s="1979">
        <v>23</v>
      </c>
      <c r="E1345" s="1860"/>
      <c r="F1345" s="1980"/>
      <c r="G1345" s="1860"/>
      <c r="H1345" s="1981"/>
      <c r="I1345" s="1982"/>
      <c r="J1345" s="1983">
        <f t="shared" si="141"/>
        <v>0</v>
      </c>
      <c r="K1345" s="1984">
        <f t="shared" si="142"/>
        <v>0</v>
      </c>
      <c r="L1345" s="1994">
        <v>1</v>
      </c>
      <c r="M1345" s="2177"/>
      <c r="N1345" s="2178"/>
      <c r="O1345" s="3527"/>
      <c r="P1345" s="3528"/>
      <c r="Q1345" s="2179"/>
      <c r="R1345" s="2180"/>
      <c r="S1345" s="2023"/>
      <c r="T1345" s="2180"/>
      <c r="U1345" s="1824"/>
      <c r="V1345" s="3320" t="e">
        <f>VLOOKUP(M1345,'[1]TABELA FRETE'!$A$6:$B$12,2,0)</f>
        <v>#N/A</v>
      </c>
      <c r="W1345" s="3321"/>
      <c r="X1345" s="3322"/>
      <c r="Y1345" s="3323"/>
    </row>
    <row r="1346" spans="2:25" s="1823" customFormat="1" ht="48" customHeight="1" thickBot="1">
      <c r="B1346" s="1974">
        <v>0.58333333333333304</v>
      </c>
      <c r="C1346" s="1844"/>
      <c r="D1346" s="1998">
        <v>17</v>
      </c>
      <c r="E1346" s="1883"/>
      <c r="F1346" s="1999">
        <v>44</v>
      </c>
      <c r="G1346" s="1883"/>
      <c r="H1346" s="1956"/>
      <c r="I1346" s="1885"/>
      <c r="J1346" s="2000">
        <f t="shared" si="141"/>
        <v>0</v>
      </c>
      <c r="K1346" s="2001">
        <f t="shared" si="142"/>
        <v>0</v>
      </c>
      <c r="L1346" s="2000">
        <v>1</v>
      </c>
      <c r="M1346" s="1894"/>
      <c r="N1346" s="1895"/>
      <c r="O1346" s="3326"/>
      <c r="P1346" s="3327"/>
      <c r="Q1346" s="1897"/>
      <c r="R1346" s="1898"/>
      <c r="S1346" s="1947"/>
      <c r="T1346" s="1900"/>
      <c r="U1346" s="1824"/>
      <c r="V1346" s="3320" t="e">
        <f>VLOOKUP(M1346,'[1]TABELA FRETE'!$A$6:$B$12,2,0)</f>
        <v>#N/A</v>
      </c>
      <c r="W1346" s="3321"/>
      <c r="X1346" s="3322"/>
      <c r="Y1346" s="3323"/>
    </row>
    <row r="1347" spans="2:25" s="1823" customFormat="1" ht="48" customHeight="1" thickBot="1">
      <c r="B1347" s="1938">
        <v>0.58333333333333304</v>
      </c>
      <c r="C1347" s="1844"/>
      <c r="D1347" s="1998">
        <v>10</v>
      </c>
      <c r="E1347" s="1883"/>
      <c r="F1347" s="1976"/>
      <c r="G1347" s="1872"/>
      <c r="H1347" s="1940"/>
      <c r="I1347" s="1874"/>
      <c r="J1347" s="1862">
        <f t="shared" si="141"/>
        <v>0</v>
      </c>
      <c r="K1347" s="1863">
        <f t="shared" si="142"/>
        <v>0</v>
      </c>
      <c r="L1347" s="1862">
        <v>1</v>
      </c>
      <c r="M1347" s="1985"/>
      <c r="N1347" s="1986"/>
      <c r="O1347" s="3464"/>
      <c r="P1347" s="3465"/>
      <c r="Q1347" s="1988"/>
      <c r="R1347" s="1989"/>
      <c r="S1347" s="2023"/>
      <c r="T1347" s="2022"/>
      <c r="U1347" s="1824"/>
      <c r="V1347" s="3320" t="e">
        <f>VLOOKUP(M1347,'[1]TABELA FRETE'!$A$6:$B$12,2,0)</f>
        <v>#N/A</v>
      </c>
      <c r="W1347" s="3321"/>
      <c r="X1347" s="3322"/>
      <c r="Y1347" s="3323"/>
    </row>
    <row r="1348" spans="2:25" s="1823" customFormat="1" ht="63" customHeight="1" thickBot="1">
      <c r="B1348" s="1938">
        <v>0.58333333333333304</v>
      </c>
      <c r="C1348" s="1844"/>
      <c r="D1348" s="2003" t="s">
        <v>78</v>
      </c>
      <c r="E1348" s="1872"/>
      <c r="F1348" s="1976"/>
      <c r="G1348" s="1872"/>
      <c r="H1348" s="1940"/>
      <c r="I1348" s="1874"/>
      <c r="J1348" s="1862">
        <f t="shared" si="141"/>
        <v>0</v>
      </c>
      <c r="K1348" s="1863">
        <f t="shared" si="142"/>
        <v>0</v>
      </c>
      <c r="L1348" s="1862">
        <v>1</v>
      </c>
      <c r="M1348" s="1985"/>
      <c r="N1348" s="1986"/>
      <c r="O1348" s="3464"/>
      <c r="P1348" s="3465"/>
      <c r="Q1348" s="1988"/>
      <c r="R1348" s="1989"/>
      <c r="S1348" s="2023"/>
      <c r="T1348" s="2022"/>
      <c r="U1348" s="1824"/>
      <c r="V1348" s="3320" t="e">
        <f>VLOOKUP(M1348,'[1]TABELA FRETE'!$A$6:$B$12,2,0)</f>
        <v>#N/A</v>
      </c>
      <c r="W1348" s="3321"/>
      <c r="X1348" s="3322"/>
      <c r="Y1348" s="3323"/>
    </row>
    <row r="1349" spans="2:25" s="1823" customFormat="1" ht="48" customHeight="1" thickBot="1">
      <c r="B1349" s="1938">
        <v>0.58333333333333304</v>
      </c>
      <c r="C1349" s="1844"/>
      <c r="D1349" s="1998">
        <v>3</v>
      </c>
      <c r="E1349" s="1883"/>
      <c r="F1349" s="1999">
        <v>26</v>
      </c>
      <c r="G1349" s="1883"/>
      <c r="H1349" s="2010"/>
      <c r="I1349" s="1883"/>
      <c r="J1349" s="1862">
        <f t="shared" si="141"/>
        <v>0</v>
      </c>
      <c r="K1349" s="1863">
        <f t="shared" si="142"/>
        <v>0</v>
      </c>
      <c r="L1349" s="1862">
        <v>1</v>
      </c>
      <c r="M1349" s="1894"/>
      <c r="N1349" s="1895"/>
      <c r="O1349" s="3326"/>
      <c r="P1349" s="3327"/>
      <c r="Q1349" s="1897"/>
      <c r="R1349" s="1898"/>
      <c r="S1349" s="1947"/>
      <c r="T1349" s="1900"/>
      <c r="U1349" s="1824"/>
      <c r="V1349" s="3320" t="e">
        <f>VLOOKUP(M1349,'[1]TABELA FRETE'!$A$6:$B$12,2,0)</f>
        <v>#N/A</v>
      </c>
      <c r="W1349" s="3321"/>
      <c r="X1349" s="3322"/>
      <c r="Y1349" s="3323"/>
    </row>
    <row r="1350" spans="2:25" s="1823" customFormat="1" ht="48" customHeight="1" thickBot="1">
      <c r="B1350" s="1858">
        <v>0.58333333333333304</v>
      </c>
      <c r="C1350" s="1844"/>
      <c r="D1350" s="1998">
        <v>40</v>
      </c>
      <c r="E1350" s="1883"/>
      <c r="F1350" s="1999"/>
      <c r="G1350" s="1883"/>
      <c r="H1350" s="2010"/>
      <c r="I1350" s="1883"/>
      <c r="J1350" s="1862">
        <f t="shared" si="141"/>
        <v>0</v>
      </c>
      <c r="K1350" s="1863">
        <f t="shared" si="142"/>
        <v>0</v>
      </c>
      <c r="L1350" s="2000">
        <v>1</v>
      </c>
      <c r="M1350" s="1894"/>
      <c r="N1350" s="1895"/>
      <c r="O1350" s="3306"/>
      <c r="P1350" s="3307"/>
      <c r="Q1350" s="1897"/>
      <c r="R1350" s="1898"/>
      <c r="S1350" s="1947"/>
      <c r="T1350" s="1900"/>
      <c r="U1350" s="1824"/>
      <c r="V1350" s="3320" t="e">
        <f>VLOOKUP(M1350,'[1]TABELA FRETE'!$A$6:$B$12,2,0)</f>
        <v>#N/A</v>
      </c>
      <c r="W1350" s="3321"/>
      <c r="X1350" s="3322"/>
      <c r="Y1350" s="3323"/>
    </row>
    <row r="1351" spans="2:25" s="1823" customFormat="1" ht="52.5" customHeight="1" thickBot="1">
      <c r="B1351" s="1858">
        <v>0.58333333333333304</v>
      </c>
      <c r="C1351" s="1844"/>
      <c r="D1351" s="1998">
        <v>32</v>
      </c>
      <c r="E1351" s="1883"/>
      <c r="F1351" s="1999">
        <v>42</v>
      </c>
      <c r="G1351" s="1883"/>
      <c r="H1351" s="2010"/>
      <c r="I1351" s="1883"/>
      <c r="J1351" s="1862">
        <f t="shared" si="141"/>
        <v>0</v>
      </c>
      <c r="K1351" s="1863">
        <f t="shared" si="142"/>
        <v>0</v>
      </c>
      <c r="L1351" s="2000">
        <v>1</v>
      </c>
      <c r="M1351" s="1949"/>
      <c r="N1351" s="1853"/>
      <c r="O1351" s="3306"/>
      <c r="P1351" s="3307"/>
      <c r="Q1351" s="1897"/>
      <c r="R1351" s="1898"/>
      <c r="S1351" s="1947"/>
      <c r="T1351" s="1950"/>
      <c r="U1351" s="1824"/>
      <c r="V1351" s="3320" t="e">
        <f>VLOOKUP(M1351,'[1]TABELA FRETE'!$A$6:$B$12,2,0)</f>
        <v>#N/A</v>
      </c>
      <c r="W1351" s="3321"/>
      <c r="X1351" s="3322"/>
      <c r="Y1351" s="3323"/>
    </row>
    <row r="1352" spans="2:25" s="1823" customFormat="1" ht="48" customHeight="1" thickBot="1">
      <c r="B1352" s="1858">
        <v>0.58333333333333304</v>
      </c>
      <c r="C1352" s="1844"/>
      <c r="D1352" s="1975">
        <v>6</v>
      </c>
      <c r="E1352" s="1872"/>
      <c r="F1352" s="2181"/>
      <c r="G1352" s="1874"/>
      <c r="H1352" s="2013"/>
      <c r="I1352" s="1872"/>
      <c r="J1352" s="1952">
        <f>E1352+G1352+I1352</f>
        <v>0</v>
      </c>
      <c r="K1352" s="2014">
        <f>J1352/450</f>
        <v>0</v>
      </c>
      <c r="L1352" s="1952">
        <v>1</v>
      </c>
      <c r="M1352" s="1949"/>
      <c r="N1352" s="2182"/>
      <c r="O1352" s="3326"/>
      <c r="P1352" s="3327"/>
      <c r="Q1352" s="1898"/>
      <c r="R1352" s="1855"/>
      <c r="S1352" s="2183"/>
      <c r="T1352" s="1950"/>
      <c r="U1352" s="1824"/>
      <c r="V1352" s="3320" t="e">
        <f>VLOOKUP(M1352,'[1]TABELA FRETE'!$A$6:$B$12,2,0)</f>
        <v>#N/A</v>
      </c>
      <c r="W1352" s="3321"/>
      <c r="X1352" s="3322"/>
      <c r="Y1352" s="3323"/>
    </row>
    <row r="1353" spans="2:25" s="1823" customFormat="1" ht="57" customHeight="1" thickBot="1">
      <c r="B1353" s="1938">
        <v>0.58333333333333304</v>
      </c>
      <c r="C1353" s="2151"/>
      <c r="D1353" s="1809">
        <v>46</v>
      </c>
      <c r="E1353" s="1872"/>
      <c r="F1353" s="1976"/>
      <c r="G1353" s="1872"/>
      <c r="H1353" s="1977"/>
      <c r="I1353" s="1872"/>
      <c r="J1353" s="1862">
        <f>E1353+G1353+I1353</f>
        <v>0</v>
      </c>
      <c r="K1353" s="1863">
        <f>J1353/450</f>
        <v>0</v>
      </c>
      <c r="L1353" s="1862">
        <v>1</v>
      </c>
      <c r="M1353" s="1894"/>
      <c r="N1353" s="1895"/>
      <c r="O1353" s="3326"/>
      <c r="P1353" s="3327"/>
      <c r="Q1353" s="1897"/>
      <c r="R1353" s="1900"/>
      <c r="S1353" s="1947"/>
      <c r="T1353" s="1950"/>
      <c r="U1353" s="1824"/>
      <c r="V1353" s="3320" t="e">
        <f>VLOOKUP(M1353,'[1]TABELA FRETE'!$A$6:$B$12,2,0)</f>
        <v>#N/A</v>
      </c>
      <c r="W1353" s="3321"/>
      <c r="X1353" s="3460"/>
      <c r="Y1353" s="3461"/>
    </row>
    <row r="1354" spans="2:25" s="1823" customFormat="1" ht="63" customHeight="1" thickBot="1">
      <c r="B1354" s="2139">
        <v>0.58333333333333304</v>
      </c>
      <c r="C1354" s="2184"/>
      <c r="D1354" s="2152" t="s">
        <v>198</v>
      </c>
      <c r="E1354" s="2141"/>
      <c r="F1354" s="2142">
        <v>1129</v>
      </c>
      <c r="G1354" s="2141"/>
      <c r="H1354" s="2143"/>
      <c r="I1354" s="2141"/>
      <c r="J1354" s="2144">
        <f t="shared" si="141"/>
        <v>0</v>
      </c>
      <c r="K1354" s="2145">
        <f t="shared" si="142"/>
        <v>0</v>
      </c>
      <c r="L1354" s="2144">
        <v>1</v>
      </c>
      <c r="M1354" s="1960"/>
      <c r="N1354" s="1961"/>
      <c r="O1354" s="3495"/>
      <c r="P1354" s="3496"/>
      <c r="Q1354" s="1962"/>
      <c r="R1354" s="1963"/>
      <c r="S1354" s="1964"/>
      <c r="T1354" s="1965"/>
      <c r="U1354" s="1824"/>
      <c r="V1354" s="3320" t="e">
        <f>VLOOKUP(M1354,'[1]TABELA FRETE'!$A$6:$B$12,2,0)</f>
        <v>#N/A</v>
      </c>
      <c r="W1354" s="3321"/>
      <c r="X1354" s="3458"/>
      <c r="Y1354" s="3459"/>
    </row>
    <row r="1355" spans="2:25" s="1916" customFormat="1" ht="6" customHeight="1" thickBot="1">
      <c r="B1355" s="1844"/>
      <c r="C1355" s="1844"/>
      <c r="D1355" s="2032"/>
      <c r="E1355" s="1919"/>
      <c r="F1355" s="2033"/>
      <c r="G1355" s="1919"/>
      <c r="H1355" s="1920"/>
      <c r="I1355" s="1919"/>
      <c r="J1355" s="1919"/>
      <c r="K1355" s="1921"/>
      <c r="L1355" s="1919"/>
      <c r="M1355" s="1966"/>
      <c r="N1355" s="1967"/>
      <c r="O1355" s="1968"/>
      <c r="P1355" s="1968"/>
      <c r="Q1355" s="1968"/>
      <c r="R1355" s="1968"/>
      <c r="S1355" s="2034"/>
      <c r="T1355" s="1968"/>
      <c r="U1355" s="1927"/>
      <c r="V1355" s="2172"/>
      <c r="W1355" s="2172"/>
      <c r="X1355" s="1929"/>
      <c r="Y1355" s="1929"/>
    </row>
    <row r="1356" spans="2:25" s="1823" customFormat="1" ht="48" customHeight="1" thickBot="1">
      <c r="B1356" s="1843">
        <v>0.70833333333333304</v>
      </c>
      <c r="C1356" s="1844"/>
      <c r="D1356" s="2035">
        <v>36</v>
      </c>
      <c r="E1356" s="1846"/>
      <c r="F1356" s="2036">
        <v>33</v>
      </c>
      <c r="G1356" s="1846"/>
      <c r="H1356" s="1932"/>
      <c r="I1356" s="2037"/>
      <c r="J1356" s="2038">
        <f t="shared" ref="J1356:J1363" si="143">E1356+G1356+I1356</f>
        <v>0</v>
      </c>
      <c r="K1356" s="2039">
        <f t="shared" ref="K1356:K1362" si="144">J1356/450</f>
        <v>0</v>
      </c>
      <c r="L1356" s="2038">
        <v>1</v>
      </c>
      <c r="M1356" s="1852">
        <v>1016</v>
      </c>
      <c r="N1356" s="2185">
        <v>8</v>
      </c>
      <c r="O1356" s="3296" t="s">
        <v>85</v>
      </c>
      <c r="P1356" s="3297"/>
      <c r="Q1356" s="2042">
        <v>2</v>
      </c>
      <c r="R1356" s="1972">
        <v>0</v>
      </c>
      <c r="S1356" s="2186" t="s">
        <v>86</v>
      </c>
      <c r="T1356" s="1856">
        <v>714</v>
      </c>
      <c r="U1356" s="1824"/>
      <c r="V1356" s="3320">
        <f>VLOOKUP(M1356,'[1]TABELA FRETE'!$A$6:$B$12,2,0)</f>
        <v>425.7</v>
      </c>
      <c r="W1356" s="3321"/>
      <c r="X1356" s="3322"/>
      <c r="Y1356" s="3323"/>
    </row>
    <row r="1357" spans="2:25" s="1823" customFormat="1" ht="48" customHeight="1" thickBot="1">
      <c r="B1357" s="1938">
        <v>0.70833333333333304</v>
      </c>
      <c r="C1357" s="1844"/>
      <c r="D1357" s="2044">
        <v>30</v>
      </c>
      <c r="E1357" s="1872"/>
      <c r="F1357" s="2045">
        <v>21</v>
      </c>
      <c r="G1357" s="1860"/>
      <c r="H1357" s="2013"/>
      <c r="I1357" s="1872"/>
      <c r="J1357" s="1952">
        <f t="shared" si="143"/>
        <v>0</v>
      </c>
      <c r="K1357" s="2014">
        <f t="shared" si="144"/>
        <v>0</v>
      </c>
      <c r="L1357" s="1952">
        <v>1</v>
      </c>
      <c r="M1357" s="1949">
        <v>1016</v>
      </c>
      <c r="N1357" s="2182">
        <v>8</v>
      </c>
      <c r="O1357" s="3331" t="s">
        <v>44</v>
      </c>
      <c r="P1357" s="3331"/>
      <c r="Q1357" s="1898">
        <v>2</v>
      </c>
      <c r="R1357" s="1855">
        <v>0</v>
      </c>
      <c r="S1357" s="2183" t="s">
        <v>103</v>
      </c>
      <c r="T1357" s="1950">
        <v>674</v>
      </c>
      <c r="U1357" s="1824"/>
      <c r="V1357" s="3320">
        <f>VLOOKUP(M1357,'[1]TABELA FRETE'!$A$6:$B$12,2,0)</f>
        <v>425.7</v>
      </c>
      <c r="W1357" s="3321"/>
      <c r="X1357" s="3322"/>
      <c r="Y1357" s="3323"/>
    </row>
    <row r="1358" spans="2:25" s="1823" customFormat="1" ht="48" customHeight="1" thickBot="1">
      <c r="B1358" s="1938">
        <v>0.70833333333333304</v>
      </c>
      <c r="C1358" s="1844"/>
      <c r="D1358" s="2044">
        <v>4</v>
      </c>
      <c r="E1358" s="1872"/>
      <c r="F1358" s="2048"/>
      <c r="G1358" s="1872"/>
      <c r="H1358" s="2049"/>
      <c r="I1358" s="1872"/>
      <c r="J1358" s="1952">
        <f t="shared" si="143"/>
        <v>0</v>
      </c>
      <c r="K1358" s="2014">
        <f t="shared" si="144"/>
        <v>0</v>
      </c>
      <c r="L1358" s="1952">
        <v>1</v>
      </c>
      <c r="M1358" s="1949">
        <v>1016</v>
      </c>
      <c r="N1358" s="2182">
        <v>8</v>
      </c>
      <c r="O1358" s="3331" t="s">
        <v>92</v>
      </c>
      <c r="P1358" s="3331"/>
      <c r="Q1358" s="1950">
        <v>2</v>
      </c>
      <c r="R1358" s="1855">
        <v>0</v>
      </c>
      <c r="S1358" s="2183" t="s">
        <v>104</v>
      </c>
      <c r="T1358" s="1950">
        <v>576</v>
      </c>
      <c r="U1358" s="1927"/>
      <c r="V1358" s="3320">
        <f>VLOOKUP(M1358,'[1]TABELA FRETE'!$A$6:$B$12,2,0)</f>
        <v>425.7</v>
      </c>
      <c r="W1358" s="3321"/>
      <c r="X1358" s="3322"/>
      <c r="Y1358" s="3323"/>
    </row>
    <row r="1359" spans="2:25" s="1823" customFormat="1" ht="48" customHeight="1" thickBot="1">
      <c r="B1359" s="1938">
        <v>0.70833333333333304</v>
      </c>
      <c r="C1359" s="1844"/>
      <c r="D1359" s="2044">
        <v>18</v>
      </c>
      <c r="E1359" s="1872"/>
      <c r="F1359" s="2048"/>
      <c r="G1359" s="1872"/>
      <c r="H1359" s="2049"/>
      <c r="I1359" s="1872"/>
      <c r="J1359" s="1952">
        <f t="shared" si="143"/>
        <v>0</v>
      </c>
      <c r="K1359" s="2014">
        <f t="shared" si="144"/>
        <v>0</v>
      </c>
      <c r="L1359" s="1952">
        <v>1</v>
      </c>
      <c r="M1359" s="1949">
        <v>1016</v>
      </c>
      <c r="N1359" s="2182">
        <v>7</v>
      </c>
      <c r="O1359" s="3326" t="s">
        <v>56</v>
      </c>
      <c r="P1359" s="3327"/>
      <c r="Q1359" s="1898">
        <v>1</v>
      </c>
      <c r="R1359" s="1855">
        <v>0</v>
      </c>
      <c r="S1359" s="2183" t="s">
        <v>57</v>
      </c>
      <c r="T1359" s="1950">
        <v>663</v>
      </c>
      <c r="U1359" s="1927"/>
      <c r="V1359" s="3320">
        <f>VLOOKUP(M1359,'[1]TABELA FRETE'!$A$6:$B$12,2,0)</f>
        <v>425.7</v>
      </c>
      <c r="W1359" s="3321"/>
      <c r="X1359" s="3322"/>
      <c r="Y1359" s="3323"/>
    </row>
    <row r="1360" spans="2:25" s="1823" customFormat="1" ht="48" customHeight="1" thickBot="1">
      <c r="B1360" s="1858">
        <v>0.70833333333333304</v>
      </c>
      <c r="C1360" s="1844"/>
      <c r="D1360" s="2044">
        <v>7</v>
      </c>
      <c r="E1360" s="1872"/>
      <c r="F1360" s="2181"/>
      <c r="G1360" s="1874"/>
      <c r="H1360" s="2013"/>
      <c r="I1360" s="1872"/>
      <c r="J1360" s="1952">
        <f t="shared" si="143"/>
        <v>0</v>
      </c>
      <c r="K1360" s="2014">
        <f t="shared" si="144"/>
        <v>0</v>
      </c>
      <c r="L1360" s="1952">
        <v>1</v>
      </c>
      <c r="M1360" s="1887" t="s">
        <v>7</v>
      </c>
      <c r="N1360" s="2187">
        <v>12</v>
      </c>
      <c r="O1360" s="3529" t="s">
        <v>50</v>
      </c>
      <c r="P1360" s="3529"/>
      <c r="Q1360" s="1891">
        <v>2</v>
      </c>
      <c r="R1360" s="2188">
        <v>0</v>
      </c>
      <c r="S1360" s="2189" t="s">
        <v>105</v>
      </c>
      <c r="T1360" s="1950">
        <v>612</v>
      </c>
      <c r="U1360" s="1824"/>
      <c r="V1360" s="3320">
        <f>VLOOKUP(M1360,'[1]TABELA FRETE'!$A$6:$B$12,2,0)</f>
        <v>466.4</v>
      </c>
      <c r="W1360" s="3321"/>
      <c r="X1360" s="3322"/>
      <c r="Y1360" s="3323"/>
    </row>
    <row r="1361" spans="2:25" s="1823" customFormat="1" ht="48" customHeight="1" thickBot="1">
      <c r="B1361" s="1938">
        <v>0.58333333333333304</v>
      </c>
      <c r="C1361" s="1844"/>
      <c r="D1361" s="2046">
        <v>48</v>
      </c>
      <c r="E1361" s="1883"/>
      <c r="F1361" s="1976"/>
      <c r="G1361" s="1872"/>
      <c r="H1361" s="1940"/>
      <c r="I1361" s="1874"/>
      <c r="J1361" s="1862">
        <f t="shared" si="143"/>
        <v>0</v>
      </c>
      <c r="K1361" s="1863">
        <f t="shared" si="144"/>
        <v>0</v>
      </c>
      <c r="L1361" s="1862">
        <v>1</v>
      </c>
      <c r="M1361" s="1949">
        <v>1016</v>
      </c>
      <c r="N1361" s="2182">
        <v>8</v>
      </c>
      <c r="O1361" s="3326" t="s">
        <v>88</v>
      </c>
      <c r="P1361" s="3327"/>
      <c r="Q1361" s="1950">
        <v>1</v>
      </c>
      <c r="R1361" s="1855">
        <v>0</v>
      </c>
      <c r="S1361" s="2183" t="s">
        <v>89</v>
      </c>
      <c r="T1361" s="1950">
        <v>799</v>
      </c>
      <c r="U1361" s="1824"/>
      <c r="V1361" s="3320">
        <f>VLOOKUP(M1361,'[1]TABELA FRETE'!$A$6:$B$12,2,0)</f>
        <v>425.7</v>
      </c>
      <c r="W1361" s="3321"/>
      <c r="X1361" s="3322"/>
      <c r="Y1361" s="3323"/>
    </row>
    <row r="1362" spans="2:25" s="1823" customFormat="1" ht="48" customHeight="1" thickBot="1">
      <c r="B1362" s="1901">
        <v>0.70833333333333304</v>
      </c>
      <c r="C1362" s="1844"/>
      <c r="D1362" s="2061">
        <v>13</v>
      </c>
      <c r="E1362" s="1903"/>
      <c r="F1362" s="1904"/>
      <c r="G1362" s="1905"/>
      <c r="H1362" s="2063"/>
      <c r="I1362" s="1905"/>
      <c r="J1362" s="2064">
        <f t="shared" si="143"/>
        <v>0</v>
      </c>
      <c r="K1362" s="2065">
        <f t="shared" si="144"/>
        <v>0</v>
      </c>
      <c r="L1362" s="2064">
        <v>1</v>
      </c>
      <c r="M1362" s="2027" t="s">
        <v>7</v>
      </c>
      <c r="N1362" s="2190">
        <v>12</v>
      </c>
      <c r="O1362" s="3530" t="s">
        <v>68</v>
      </c>
      <c r="P1362" s="3530"/>
      <c r="Q1362" s="1913">
        <v>1</v>
      </c>
      <c r="R1362" s="2029">
        <v>0</v>
      </c>
      <c r="S1362" s="2191" t="s">
        <v>174</v>
      </c>
      <c r="T1362" s="2030">
        <v>808</v>
      </c>
      <c r="U1362" s="1824"/>
      <c r="V1362" s="3320">
        <f>VLOOKUP(M1362,'[1]TABELA FRETE'!$D$7:$E$12,2,0)</f>
        <v>1161.5999999999999</v>
      </c>
      <c r="W1362" s="3321"/>
      <c r="X1362" s="3322"/>
      <c r="Y1362" s="3323"/>
    </row>
    <row r="1363" spans="2:25" s="1823" customFormat="1" ht="49.5" customHeight="1" thickBot="1">
      <c r="B1363" s="2069" t="s">
        <v>108</v>
      </c>
      <c r="C1363" s="2070"/>
      <c r="D1363" s="2071"/>
      <c r="E1363" s="2072">
        <f>SUM(E1325:E1362)</f>
        <v>0</v>
      </c>
      <c r="F1363" s="2072" t="s">
        <v>109</v>
      </c>
      <c r="G1363" s="2072">
        <f>SUM(G1325:G1362)</f>
        <v>0</v>
      </c>
      <c r="H1363" s="2072" t="s">
        <v>109</v>
      </c>
      <c r="I1363" s="1836">
        <f>SUM(I1325:I1362)</f>
        <v>0</v>
      </c>
      <c r="J1363" s="1836">
        <f t="shared" si="143"/>
        <v>0</v>
      </c>
      <c r="K1363" s="2073">
        <f>SUM(K1325:K1362)</f>
        <v>0</v>
      </c>
      <c r="L1363" s="2074">
        <f>SUM(L1325:L1362)</f>
        <v>35</v>
      </c>
      <c r="M1363" s="2075" t="s">
        <v>110</v>
      </c>
      <c r="N1363" s="2069">
        <f>SUM(N1325:N1362)</f>
        <v>79</v>
      </c>
      <c r="O1363" s="2072" t="s">
        <v>32</v>
      </c>
      <c r="P1363" s="2072"/>
      <c r="Q1363" s="1836"/>
      <c r="R1363" s="2076">
        <f>SUM(R1325:R1362)</f>
        <v>0</v>
      </c>
      <c r="S1363" s="2077" t="s">
        <v>111</v>
      </c>
      <c r="T1363" s="2078"/>
      <c r="U1363" s="1824"/>
      <c r="V1363" s="3472" t="e">
        <f>SUM(V1325:W1362)</f>
        <v>#N/A</v>
      </c>
      <c r="W1363" s="3473"/>
      <c r="X1363" s="3474">
        <f>COUNT(X1325:Y1362)</f>
        <v>0</v>
      </c>
      <c r="Y1363" s="3475"/>
    </row>
    <row r="1364" spans="2:25" s="1823" customFormat="1" ht="42" customHeight="1" thickBot="1">
      <c r="B1364" s="3290" t="s">
        <v>112</v>
      </c>
      <c r="C1364" s="3501"/>
      <c r="D1364" s="3501"/>
      <c r="E1364" s="3501"/>
      <c r="F1364" s="3501"/>
      <c r="G1364" s="3501"/>
      <c r="H1364" s="3501"/>
      <c r="I1364" s="3501"/>
      <c r="J1364" s="3501"/>
      <c r="K1364" s="2072">
        <v>44</v>
      </c>
      <c r="L1364" s="3501" t="s">
        <v>113</v>
      </c>
      <c r="M1364" s="3291"/>
      <c r="N1364" s="3502" t="s">
        <v>114</v>
      </c>
      <c r="O1364" s="3503"/>
      <c r="P1364" s="3503"/>
      <c r="Q1364" s="3503"/>
      <c r="R1364" s="3504"/>
      <c r="S1364" s="3502" t="s">
        <v>115</v>
      </c>
      <c r="T1364" s="3504"/>
      <c r="U1364" s="1824"/>
      <c r="V1364" s="3338"/>
      <c r="W1364" s="3339"/>
      <c r="X1364" s="3342"/>
      <c r="Y1364" s="3343"/>
    </row>
    <row r="1365" spans="2:25" s="1823" customFormat="1" ht="3.95" customHeight="1" thickBot="1">
      <c r="B1365" s="3505" t="s">
        <v>116</v>
      </c>
      <c r="C1365" s="3506"/>
      <c r="D1365" s="3506"/>
      <c r="E1365" s="3509">
        <f>L1363</f>
        <v>35</v>
      </c>
      <c r="F1365" s="3505" t="s">
        <v>30</v>
      </c>
      <c r="G1365" s="3506"/>
      <c r="H1365" s="3509">
        <f>J1363</f>
        <v>0</v>
      </c>
      <c r="I1365" s="3511"/>
      <c r="J1365" s="3506" t="s">
        <v>117</v>
      </c>
      <c r="K1365" s="3511">
        <f>H1365/E1365</f>
        <v>0</v>
      </c>
      <c r="L1365" s="3509" t="s">
        <v>118</v>
      </c>
      <c r="M1365" s="3509"/>
      <c r="N1365" s="3509"/>
      <c r="O1365" s="3511">
        <v>44</v>
      </c>
      <c r="P1365" s="2158"/>
      <c r="Q1365" s="2158"/>
      <c r="R1365" s="2158"/>
      <c r="S1365" s="2158"/>
      <c r="T1365" s="2159"/>
      <c r="U1365" s="1824"/>
      <c r="V1365" s="3340"/>
      <c r="W1365" s="3341"/>
      <c r="X1365" s="3344"/>
      <c r="Y1365" s="3345"/>
    </row>
    <row r="1366" spans="2:25" s="1823" customFormat="1" ht="39" customHeight="1" thickBot="1">
      <c r="B1366" s="3507"/>
      <c r="C1366" s="3508"/>
      <c r="D1366" s="3508"/>
      <c r="E1366" s="3510"/>
      <c r="F1366" s="3507"/>
      <c r="G1366" s="3508"/>
      <c r="H1366" s="3510"/>
      <c r="I1366" s="3512"/>
      <c r="J1366" s="3508"/>
      <c r="K1366" s="3512"/>
      <c r="L1366" s="3510"/>
      <c r="M1366" s="3510"/>
      <c r="N1366" s="3510"/>
      <c r="O1366" s="3512"/>
      <c r="P1366" s="1921"/>
      <c r="Q1366" s="3358" t="s">
        <v>119</v>
      </c>
      <c r="R1366" s="3359"/>
      <c r="S1366" s="3359"/>
      <c r="T1366" s="3360"/>
      <c r="U1366" s="1824"/>
      <c r="V1366" s="3361" t="s">
        <v>120</v>
      </c>
      <c r="W1366" s="3362"/>
      <c r="X1366" s="3365" t="s">
        <v>121</v>
      </c>
      <c r="Y1366" s="3366"/>
    </row>
    <row r="1367" spans="2:25" s="1823" customFormat="1" ht="45" customHeight="1">
      <c r="B1367" s="3513" t="s">
        <v>122</v>
      </c>
      <c r="C1367" s="3515" t="s">
        <v>33</v>
      </c>
      <c r="D1367" s="3516"/>
      <c r="E1367" s="3375" t="s">
        <v>123</v>
      </c>
      <c r="F1367" s="3376"/>
      <c r="G1367" s="3376"/>
      <c r="H1367" s="3376"/>
      <c r="I1367" s="3376"/>
      <c r="J1367" s="3376"/>
      <c r="K1367" s="3376"/>
      <c r="L1367" s="3376"/>
      <c r="M1367" s="3376"/>
      <c r="N1367" s="3376"/>
      <c r="O1367" s="3377"/>
      <c r="P1367" s="2161"/>
      <c r="Q1367" s="3384" t="s">
        <v>731</v>
      </c>
      <c r="R1367" s="3385"/>
      <c r="S1367" s="3385"/>
      <c r="T1367" s="3386"/>
      <c r="U1367" s="1824"/>
      <c r="V1367" s="3361"/>
      <c r="W1367" s="3362"/>
      <c r="X1367" s="3365"/>
      <c r="Y1367" s="3366"/>
    </row>
    <row r="1368" spans="2:25" s="1823" customFormat="1" ht="45" customHeight="1" thickBot="1">
      <c r="B1368" s="3514"/>
      <c r="C1368" s="3517"/>
      <c r="D1368" s="3518"/>
      <c r="E1368" s="3378"/>
      <c r="F1368" s="3379"/>
      <c r="G1368" s="3379"/>
      <c r="H1368" s="3379"/>
      <c r="I1368" s="3379"/>
      <c r="J1368" s="3379"/>
      <c r="K1368" s="3379"/>
      <c r="L1368" s="3379"/>
      <c r="M1368" s="3379"/>
      <c r="N1368" s="3379"/>
      <c r="O1368" s="3380"/>
      <c r="P1368" s="2162"/>
      <c r="Q1368" s="3387" t="s">
        <v>732</v>
      </c>
      <c r="R1368" s="3388"/>
      <c r="S1368" s="3388"/>
      <c r="T1368" s="3389"/>
      <c r="U1368" s="1824"/>
      <c r="V1368" s="3363"/>
      <c r="W1368" s="3364"/>
      <c r="X1368" s="3367"/>
      <c r="Y1368" s="3368"/>
    </row>
    <row r="1369" spans="2:25" s="1823" customFormat="1" ht="45" customHeight="1" thickBot="1">
      <c r="B1369" s="2163" t="s">
        <v>9</v>
      </c>
      <c r="C1369" s="3519">
        <f>COUNTIF(M1325:M1362,"kia")</f>
        <v>2</v>
      </c>
      <c r="D1369" s="3520"/>
      <c r="E1369" s="3381"/>
      <c r="F1369" s="3382"/>
      <c r="G1369" s="3382"/>
      <c r="H1369" s="3382"/>
      <c r="I1369" s="3382"/>
      <c r="J1369" s="3382"/>
      <c r="K1369" s="3382"/>
      <c r="L1369" s="3382"/>
      <c r="M1369" s="3382"/>
      <c r="N1369" s="3382"/>
      <c r="O1369" s="3383"/>
      <c r="P1369" s="2162"/>
      <c r="Q1369" s="3392" t="s">
        <v>126</v>
      </c>
      <c r="R1369" s="3393"/>
      <c r="S1369" s="3393"/>
      <c r="T1369" s="3394"/>
      <c r="U1369" s="1824"/>
      <c r="V1369" s="1838"/>
      <c r="W1369" s="1838"/>
      <c r="X1369" s="1838"/>
      <c r="Y1369" s="1838"/>
    </row>
    <row r="1370" spans="2:25" s="1823" customFormat="1" ht="45" customHeight="1">
      <c r="B1370" s="2164" t="s">
        <v>8</v>
      </c>
      <c r="C1370" s="3521">
        <f>COUNTIF(M1325:M1362,"iveco")</f>
        <v>1</v>
      </c>
      <c r="D1370" s="3522"/>
      <c r="E1370" s="3397" t="s">
        <v>127</v>
      </c>
      <c r="F1370" s="3398"/>
      <c r="G1370" s="3398"/>
      <c r="H1370" s="3398"/>
      <c r="I1370" s="3398"/>
      <c r="J1370" s="3398"/>
      <c r="K1370" s="3398"/>
      <c r="L1370" s="3398"/>
      <c r="M1370" s="3398"/>
      <c r="N1370" s="3398"/>
      <c r="O1370" s="3399"/>
      <c r="P1370" s="2162"/>
      <c r="Q1370" s="3403" t="s">
        <v>733</v>
      </c>
      <c r="R1370" s="3404"/>
      <c r="S1370" s="3404"/>
      <c r="T1370" s="3405"/>
      <c r="U1370" s="1824"/>
      <c r="V1370" s="3412" t="s">
        <v>129</v>
      </c>
      <c r="W1370" s="3413"/>
      <c r="X1370" s="3413"/>
      <c r="Y1370" s="3414"/>
    </row>
    <row r="1371" spans="2:25" s="1823" customFormat="1" ht="45" customHeight="1" thickBot="1">
      <c r="B1371" s="2164">
        <v>1016</v>
      </c>
      <c r="C1371" s="3521">
        <f>COUNTIF(M1325:M1362,"1016")</f>
        <v>6</v>
      </c>
      <c r="D1371" s="3522"/>
      <c r="E1371" s="3400"/>
      <c r="F1371" s="3401"/>
      <c r="G1371" s="3401"/>
      <c r="H1371" s="3401"/>
      <c r="I1371" s="3401"/>
      <c r="J1371" s="3401"/>
      <c r="K1371" s="3401"/>
      <c r="L1371" s="3401"/>
      <c r="M1371" s="3401"/>
      <c r="N1371" s="3401"/>
      <c r="O1371" s="3402"/>
      <c r="P1371" s="2162"/>
      <c r="Q1371" s="3406"/>
      <c r="R1371" s="3407"/>
      <c r="S1371" s="3407"/>
      <c r="T1371" s="3408"/>
      <c r="U1371" s="1824"/>
      <c r="V1371" s="3415" t="s">
        <v>130</v>
      </c>
      <c r="W1371" s="3416"/>
      <c r="X1371" s="3416"/>
      <c r="Y1371" s="3417"/>
    </row>
    <row r="1372" spans="2:25" s="1823" customFormat="1" ht="45" customHeight="1" thickBot="1">
      <c r="B1372" s="2164" t="s">
        <v>7</v>
      </c>
      <c r="C1372" s="3521">
        <f>COUNTIF(M1325:M1362,"toco")</f>
        <v>2</v>
      </c>
      <c r="D1372" s="3522"/>
      <c r="E1372" s="3421" t="s">
        <v>131</v>
      </c>
      <c r="F1372" s="3422"/>
      <c r="G1372" s="3422"/>
      <c r="H1372" s="3422"/>
      <c r="I1372" s="3422"/>
      <c r="J1372" s="3422"/>
      <c r="K1372" s="3422"/>
      <c r="L1372" s="3422"/>
      <c r="M1372" s="3422"/>
      <c r="N1372" s="3422"/>
      <c r="O1372" s="3423"/>
      <c r="P1372" s="2161"/>
      <c r="Q1372" s="3409"/>
      <c r="R1372" s="3410"/>
      <c r="S1372" s="3410"/>
      <c r="T1372" s="3411"/>
      <c r="U1372" s="1824"/>
      <c r="V1372" s="3418"/>
      <c r="W1372" s="3419"/>
      <c r="X1372" s="3419"/>
      <c r="Y1372" s="3420"/>
    </row>
    <row r="1373" spans="2:25" s="1823" customFormat="1" ht="45" customHeight="1" thickBot="1">
      <c r="B1373" s="2165" t="s">
        <v>6</v>
      </c>
      <c r="C1373" s="3523">
        <f>COUNTIF(M1325:M1362,"truck")</f>
        <v>0</v>
      </c>
      <c r="D1373" s="3524"/>
      <c r="E1373" s="3424"/>
      <c r="F1373" s="3425"/>
      <c r="G1373" s="3425"/>
      <c r="H1373" s="3425"/>
      <c r="I1373" s="3425"/>
      <c r="J1373" s="3425"/>
      <c r="K1373" s="3425"/>
      <c r="L1373" s="3425"/>
      <c r="M1373" s="3425"/>
      <c r="N1373" s="3425"/>
      <c r="O1373" s="3426"/>
      <c r="P1373" s="2161"/>
      <c r="Q1373" s="3429" t="s">
        <v>132</v>
      </c>
      <c r="R1373" s="3430"/>
      <c r="S1373" s="3430"/>
      <c r="T1373" s="3431"/>
      <c r="U1373" s="1824"/>
      <c r="V1373" s="3435" t="s">
        <v>133</v>
      </c>
      <c r="W1373" s="3436"/>
      <c r="X1373" s="3441">
        <f>SUM(E1325:E1362,G1325:G1362,I1325:I1362)</f>
        <v>0</v>
      </c>
      <c r="Y1373" s="3442"/>
    </row>
    <row r="1374" spans="2:25" s="1823" customFormat="1" ht="45" customHeight="1">
      <c r="B1374" s="3513" t="s">
        <v>134</v>
      </c>
      <c r="C1374" s="3517">
        <f>SUM(C1369:D1373)</f>
        <v>11</v>
      </c>
      <c r="D1374" s="3518"/>
      <c r="E1374" s="3447" t="s">
        <v>135</v>
      </c>
      <c r="F1374" s="3448"/>
      <c r="G1374" s="3448"/>
      <c r="H1374" s="3448"/>
      <c r="I1374" s="3448"/>
      <c r="J1374" s="3448"/>
      <c r="K1374" s="3448"/>
      <c r="L1374" s="3448"/>
      <c r="M1374" s="3448"/>
      <c r="N1374" s="3448"/>
      <c r="O1374" s="3449"/>
      <c r="P1374" s="2166"/>
      <c r="Q1374" s="3429"/>
      <c r="R1374" s="3430"/>
      <c r="S1374" s="3430"/>
      <c r="T1374" s="3431"/>
      <c r="U1374" s="2089"/>
      <c r="V1374" s="3437"/>
      <c r="W1374" s="3438"/>
      <c r="X1374" s="3443"/>
      <c r="Y1374" s="3444"/>
    </row>
    <row r="1375" spans="2:25" s="1823" customFormat="1" ht="45" customHeight="1" thickBot="1">
      <c r="B1375" s="3514"/>
      <c r="C1375" s="3525"/>
      <c r="D1375" s="3526"/>
      <c r="E1375" s="3424"/>
      <c r="F1375" s="3425"/>
      <c r="G1375" s="3425"/>
      <c r="H1375" s="3425"/>
      <c r="I1375" s="3425"/>
      <c r="J1375" s="3425"/>
      <c r="K1375" s="3425"/>
      <c r="L1375" s="3425"/>
      <c r="M1375" s="3425"/>
      <c r="N1375" s="3425"/>
      <c r="O1375" s="3426"/>
      <c r="P1375" s="2167"/>
      <c r="Q1375" s="3429"/>
      <c r="R1375" s="3430"/>
      <c r="S1375" s="3430"/>
      <c r="T1375" s="3431"/>
      <c r="U1375" s="2089"/>
      <c r="V1375" s="3437"/>
      <c r="W1375" s="3438"/>
      <c r="X1375" s="3443"/>
      <c r="Y1375" s="3444"/>
    </row>
    <row r="1376" spans="2:25" s="1842" customFormat="1" ht="45" customHeight="1" thickBot="1">
      <c r="B1376" s="2168" t="s">
        <v>136</v>
      </c>
      <c r="C1376" s="3450" t="s">
        <v>137</v>
      </c>
      <c r="D1376" s="3451"/>
      <c r="E1376" s="3451"/>
      <c r="F1376" s="3451"/>
      <c r="G1376" s="3451"/>
      <c r="H1376" s="3451"/>
      <c r="I1376" s="3451"/>
      <c r="J1376" s="3451"/>
      <c r="K1376" s="3451"/>
      <c r="L1376" s="3451"/>
      <c r="M1376" s="3451"/>
      <c r="N1376" s="3451"/>
      <c r="O1376" s="3452"/>
      <c r="P1376" s="2167"/>
      <c r="Q1376" s="3432"/>
      <c r="R1376" s="3433"/>
      <c r="S1376" s="3433"/>
      <c r="T1376" s="3434"/>
      <c r="V1376" s="3439"/>
      <c r="W1376" s="3440"/>
      <c r="X1376" s="3445"/>
      <c r="Y1376" s="3446"/>
    </row>
    <row r="1383" spans="1:26" ht="13.5" thickBot="1"/>
    <row r="1384" spans="1:26" ht="45" customHeight="1" thickBot="1">
      <c r="A1384" s="2192"/>
      <c r="B1384" s="3531"/>
      <c r="C1384" s="3532"/>
      <c r="D1384" s="3532"/>
      <c r="E1384" s="3532"/>
      <c r="F1384" s="3532"/>
      <c r="G1384" s="3532"/>
      <c r="H1384" s="3532"/>
      <c r="I1384" s="3533"/>
      <c r="J1384" s="3537" t="s">
        <v>18</v>
      </c>
      <c r="K1384" s="3538"/>
      <c r="L1384" s="3538"/>
      <c r="M1384" s="3538"/>
      <c r="N1384" s="3538"/>
      <c r="O1384" s="3538"/>
      <c r="P1384" s="3538"/>
      <c r="Q1384" s="3539"/>
      <c r="R1384" s="3267">
        <v>46165</v>
      </c>
      <c r="S1384" s="3268"/>
      <c r="T1384" s="3269"/>
      <c r="U1384" s="2193"/>
      <c r="V1384" s="3540" t="s">
        <v>19</v>
      </c>
      <c r="W1384" s="3541"/>
      <c r="X1384" s="3541"/>
      <c r="Y1384" s="3542"/>
      <c r="Z1384" s="2192"/>
    </row>
    <row r="1385" spans="1:26" ht="39.950000000000003" customHeight="1" thickBot="1">
      <c r="A1385" s="2192"/>
      <c r="B1385" s="3534"/>
      <c r="C1385" s="3535"/>
      <c r="D1385" s="3535"/>
      <c r="E1385" s="3535"/>
      <c r="F1385" s="3535"/>
      <c r="G1385" s="3535"/>
      <c r="H1385" s="3535"/>
      <c r="I1385" s="3536"/>
      <c r="J1385" s="3277" t="s">
        <v>20</v>
      </c>
      <c r="K1385" s="3278"/>
      <c r="L1385" s="3278"/>
      <c r="M1385" s="3278"/>
      <c r="N1385" s="3278"/>
      <c r="O1385" s="3278"/>
      <c r="P1385" s="3278"/>
      <c r="Q1385" s="3279"/>
      <c r="R1385" s="3270"/>
      <c r="S1385" s="3271"/>
      <c r="T1385" s="3272"/>
      <c r="U1385" s="2193"/>
      <c r="V1385" s="3543"/>
      <c r="W1385" s="3544"/>
      <c r="X1385" s="3544"/>
      <c r="Y1385" s="3545"/>
      <c r="Z1385" s="2192"/>
    </row>
    <row r="1386" spans="1:26" ht="6" customHeight="1" thickBot="1">
      <c r="A1386" s="2192"/>
      <c r="B1386" s="2194"/>
      <c r="C1386" s="2194"/>
      <c r="D1386" s="2194"/>
      <c r="E1386" s="2194"/>
      <c r="F1386" s="2194"/>
      <c r="G1386" s="2194"/>
      <c r="H1386" s="2194"/>
      <c r="I1386" s="2194"/>
      <c r="J1386" s="3280"/>
      <c r="K1386" s="3281"/>
      <c r="L1386" s="3281"/>
      <c r="M1386" s="3281"/>
      <c r="N1386" s="3281"/>
      <c r="O1386" s="3281"/>
      <c r="P1386" s="3281"/>
      <c r="Q1386" s="3282"/>
      <c r="R1386" s="2195"/>
      <c r="S1386" s="2196"/>
      <c r="T1386" s="2197"/>
      <c r="U1386" s="2193"/>
      <c r="V1386" s="2198"/>
      <c r="W1386" s="2198"/>
      <c r="X1386" s="2198"/>
      <c r="Y1386" s="2198"/>
      <c r="Z1386" s="2192"/>
    </row>
    <row r="1387" spans="1:26" s="2201" customFormat="1" ht="48.95" customHeight="1" thickBot="1">
      <c r="A1387" s="2199"/>
      <c r="B1387" s="3286" t="s">
        <v>22</v>
      </c>
      <c r="C1387" s="1832"/>
      <c r="D1387" s="3288" t="s">
        <v>23</v>
      </c>
      <c r="E1387" s="3289"/>
      <c r="F1387" s="3288" t="s">
        <v>24</v>
      </c>
      <c r="G1387" s="3289"/>
      <c r="H1387" s="3288" t="s">
        <v>25</v>
      </c>
      <c r="I1387" s="3289"/>
      <c r="J1387" s="3283"/>
      <c r="K1387" s="3284"/>
      <c r="L1387" s="3284"/>
      <c r="M1387" s="3284"/>
      <c r="N1387" s="3284"/>
      <c r="O1387" s="3284"/>
      <c r="P1387" s="3284"/>
      <c r="Q1387" s="3285"/>
      <c r="R1387" s="3546" t="s">
        <v>26</v>
      </c>
      <c r="S1387" s="3547"/>
      <c r="T1387" s="2200">
        <f>L1456</f>
        <v>52</v>
      </c>
      <c r="U1387" s="1839"/>
      <c r="V1387" s="3292" t="s">
        <v>27</v>
      </c>
      <c r="W1387" s="3293"/>
      <c r="X1387" s="3292" t="s">
        <v>28</v>
      </c>
      <c r="Y1387" s="3293"/>
      <c r="Z1387" s="2198"/>
    </row>
    <row r="1388" spans="1:26" s="2201" customFormat="1" ht="51.95" customHeight="1" thickBot="1">
      <c r="A1388" s="2199"/>
      <c r="B1388" s="3287"/>
      <c r="C1388" s="1832"/>
      <c r="D1388" s="1840" t="s">
        <v>30</v>
      </c>
      <c r="E1388" s="1840" t="s">
        <v>29</v>
      </c>
      <c r="F1388" s="1840" t="s">
        <v>30</v>
      </c>
      <c r="G1388" s="1840" t="s">
        <v>29</v>
      </c>
      <c r="H1388" s="1840" t="s">
        <v>30</v>
      </c>
      <c r="I1388" s="1834" t="s">
        <v>138</v>
      </c>
      <c r="J1388" s="1834" t="s">
        <v>31</v>
      </c>
      <c r="K1388" s="1840" t="s">
        <v>32</v>
      </c>
      <c r="L1388" s="1840" t="s">
        <v>33</v>
      </c>
      <c r="M1388" s="1840" t="s">
        <v>34</v>
      </c>
      <c r="N1388" s="1840" t="s">
        <v>32</v>
      </c>
      <c r="O1388" s="3288" t="s">
        <v>35</v>
      </c>
      <c r="P1388" s="3289"/>
      <c r="Q1388" s="1840" t="s">
        <v>36</v>
      </c>
      <c r="R1388" s="1840" t="s">
        <v>37</v>
      </c>
      <c r="S1388" s="1840" t="s">
        <v>38</v>
      </c>
      <c r="T1388" s="1841" t="s">
        <v>39</v>
      </c>
      <c r="U1388" s="1839"/>
      <c r="V1388" s="3493"/>
      <c r="W1388" s="3494"/>
      <c r="X1388" s="3493"/>
      <c r="Y1388" s="3494"/>
      <c r="Z1388" s="2198"/>
    </row>
    <row r="1389" spans="1:26" ht="47.25" customHeight="1" thickBot="1">
      <c r="A1389" s="2192"/>
      <c r="B1389" s="1843">
        <v>0.41666666666666702</v>
      </c>
      <c r="C1389" s="1844"/>
      <c r="D1389" s="1845">
        <v>28</v>
      </c>
      <c r="E1389" s="1846"/>
      <c r="F1389" s="2202"/>
      <c r="G1389" s="1848"/>
      <c r="H1389" s="2092"/>
      <c r="I1389" s="1848"/>
      <c r="J1389" s="1850">
        <f t="shared" ref="J1389:J1394" si="145">E1389+G1389+I1389</f>
        <v>0</v>
      </c>
      <c r="K1389" s="1851">
        <f t="shared" ref="K1389:K1394" si="146">J1389/450</f>
        <v>0</v>
      </c>
      <c r="L1389" s="1850">
        <v>1</v>
      </c>
      <c r="M1389" s="1852"/>
      <c r="N1389" s="1853"/>
      <c r="O1389" s="3548"/>
      <c r="P1389" s="3331"/>
      <c r="Q1389" s="2042"/>
      <c r="R1389" s="1855"/>
      <c r="S1389" s="2186"/>
      <c r="T1389" s="1890"/>
      <c r="U1389" s="2203"/>
      <c r="V1389" s="3320" t="e">
        <f>VLOOKUP(M1389,'[1]TABELA FRETE'!$A$6:$B$12,2,0)</f>
        <v>#N/A</v>
      </c>
      <c r="W1389" s="3321"/>
      <c r="X1389" s="3460"/>
      <c r="Y1389" s="3461"/>
      <c r="Z1389" s="2192"/>
    </row>
    <row r="1390" spans="1:26" ht="47.25" customHeight="1" thickBot="1">
      <c r="A1390" s="2192"/>
      <c r="B1390" s="1974">
        <v>0.41666666666666669</v>
      </c>
      <c r="C1390" s="1844"/>
      <c r="D1390" s="1871">
        <v>29</v>
      </c>
      <c r="E1390" s="1874"/>
      <c r="F1390" s="1945"/>
      <c r="G1390" s="1872"/>
      <c r="H1390" s="1940"/>
      <c r="I1390" s="1874"/>
      <c r="J1390" s="1862">
        <f>E1390+G1390+I1390</f>
        <v>0</v>
      </c>
      <c r="K1390" s="1863">
        <f>J1390/450</f>
        <v>0</v>
      </c>
      <c r="L1390" s="1862">
        <v>1</v>
      </c>
      <c r="M1390" s="1949"/>
      <c r="N1390" s="1853"/>
      <c r="O1390" s="3326"/>
      <c r="P1390" s="3327"/>
      <c r="Q1390" s="1897"/>
      <c r="R1390" s="1950"/>
      <c r="S1390" s="1857"/>
      <c r="T1390" s="1950"/>
      <c r="U1390" s="2203"/>
      <c r="V1390" s="3320" t="e">
        <f>VLOOKUP(M1390,'[1]TABELA FRETE'!$A$6:$B$12,2,0)</f>
        <v>#N/A</v>
      </c>
      <c r="W1390" s="3321"/>
      <c r="X1390" s="3460"/>
      <c r="Y1390" s="3461"/>
      <c r="Z1390" s="2192"/>
    </row>
    <row r="1391" spans="1:26" s="1842" customFormat="1" ht="61.5" customHeight="1" thickBot="1">
      <c r="B1391" s="1858">
        <v>0.41666666666666702</v>
      </c>
      <c r="C1391" s="1844"/>
      <c r="D1391" s="1859" t="s">
        <v>198</v>
      </c>
      <c r="E1391" s="1860"/>
      <c r="F1391" s="1859" t="s">
        <v>78</v>
      </c>
      <c r="G1391" s="1861"/>
      <c r="H1391" s="3302" t="s">
        <v>226</v>
      </c>
      <c r="I1391" s="3303"/>
      <c r="J1391" s="1862">
        <f t="shared" ref="J1391" si="147">E1391+G1391+I1391</f>
        <v>0</v>
      </c>
      <c r="K1391" s="1863">
        <f t="shared" ref="K1391" si="148">J1391/450</f>
        <v>0</v>
      </c>
      <c r="L1391" s="1862">
        <v>1</v>
      </c>
      <c r="M1391" s="1877"/>
      <c r="N1391" s="1878"/>
      <c r="O1391" s="3304"/>
      <c r="P1391" s="3305"/>
      <c r="Q1391" s="1880"/>
      <c r="R1391" s="1881"/>
      <c r="S1391" s="1882"/>
      <c r="T1391" s="1870"/>
      <c r="U1391" s="1824"/>
      <c r="V1391" s="3320" t="e">
        <f>VLOOKUP(M1391,'[1]TABELA FRETE'!$A$6:$B$12,2,0)</f>
        <v>#N/A</v>
      </c>
      <c r="W1391" s="3321"/>
      <c r="X1391" s="3460"/>
      <c r="Y1391" s="3461"/>
    </row>
    <row r="1392" spans="1:26" ht="47.25" customHeight="1" thickBot="1">
      <c r="A1392" s="2192"/>
      <c r="B1392" s="1858">
        <v>0.41666666666666702</v>
      </c>
      <c r="C1392" s="1844"/>
      <c r="D1392" s="2095">
        <v>11</v>
      </c>
      <c r="E1392" s="1860"/>
      <c r="F1392" s="2204"/>
      <c r="G1392" s="1861"/>
      <c r="H1392" s="2205"/>
      <c r="I1392" s="1861"/>
      <c r="J1392" s="1862">
        <f t="shared" si="145"/>
        <v>0</v>
      </c>
      <c r="K1392" s="1863">
        <f t="shared" si="146"/>
        <v>0</v>
      </c>
      <c r="L1392" s="1983">
        <v>1</v>
      </c>
      <c r="M1392" s="1887" t="s">
        <v>8</v>
      </c>
      <c r="N1392" s="1888">
        <v>4</v>
      </c>
      <c r="O1392" s="3326" t="s">
        <v>96</v>
      </c>
      <c r="P1392" s="3327"/>
      <c r="Q1392" s="1891">
        <v>2</v>
      </c>
      <c r="R1392" s="1892">
        <v>0</v>
      </c>
      <c r="S1392" s="1893" t="s">
        <v>97</v>
      </c>
      <c r="T1392" s="1892">
        <v>456</v>
      </c>
      <c r="U1392" s="2203"/>
      <c r="V1392" s="3320">
        <f>VLOOKUP(M1392,'[1]TABELA FRETE'!$A$6:$B$12,2,0)</f>
        <v>286</v>
      </c>
      <c r="W1392" s="3321"/>
      <c r="X1392" s="3460"/>
      <c r="Y1392" s="3461"/>
      <c r="Z1392" s="2192"/>
    </row>
    <row r="1393" spans="1:26" ht="47.25" customHeight="1" thickBot="1">
      <c r="A1393" s="2192"/>
      <c r="B1393" s="1858">
        <v>0.41666666666666702</v>
      </c>
      <c r="C1393" s="1844"/>
      <c r="D1393" s="1871">
        <v>11</v>
      </c>
      <c r="E1393" s="1872"/>
      <c r="F1393" s="2206"/>
      <c r="G1393" s="1876"/>
      <c r="H1393" s="2207"/>
      <c r="I1393" s="1876"/>
      <c r="J1393" s="1983">
        <f t="shared" si="145"/>
        <v>0</v>
      </c>
      <c r="K1393" s="1984">
        <f t="shared" si="146"/>
        <v>0</v>
      </c>
      <c r="L1393" s="1862">
        <v>1</v>
      </c>
      <c r="M1393" s="1894">
        <v>1016</v>
      </c>
      <c r="N1393" s="1895">
        <v>6</v>
      </c>
      <c r="O1393" s="3306" t="s">
        <v>203</v>
      </c>
      <c r="P1393" s="3307"/>
      <c r="Q1393" s="1897">
        <v>2</v>
      </c>
      <c r="R1393" s="1898">
        <v>0</v>
      </c>
      <c r="S1393" s="1899" t="s">
        <v>204</v>
      </c>
      <c r="T1393" s="1900">
        <v>807</v>
      </c>
      <c r="U1393" s="2203"/>
      <c r="V1393" s="3456">
        <v>212</v>
      </c>
      <c r="W1393" s="3457"/>
      <c r="X1393" s="3460"/>
      <c r="Y1393" s="3461"/>
      <c r="Z1393" s="2192"/>
    </row>
    <row r="1394" spans="1:26" ht="47.25" customHeight="1" thickBot="1">
      <c r="A1394" s="2192"/>
      <c r="B1394" s="1901">
        <v>0.41666666666666702</v>
      </c>
      <c r="C1394" s="1844"/>
      <c r="D1394" s="2208">
        <v>11</v>
      </c>
      <c r="E1394" s="2141"/>
      <c r="F1394" s="2209"/>
      <c r="G1394" s="2210"/>
      <c r="H1394" s="2160"/>
      <c r="I1394" s="2210"/>
      <c r="J1394" s="2144">
        <f t="shared" si="145"/>
        <v>0</v>
      </c>
      <c r="K1394" s="2145">
        <f t="shared" si="146"/>
        <v>0</v>
      </c>
      <c r="L1394" s="2144">
        <v>1</v>
      </c>
      <c r="M1394" s="1910" t="s">
        <v>9</v>
      </c>
      <c r="N1394" s="1911">
        <v>3</v>
      </c>
      <c r="O1394" s="3308" t="s">
        <v>98</v>
      </c>
      <c r="P1394" s="3309"/>
      <c r="Q1394" s="1913">
        <v>1</v>
      </c>
      <c r="R1394" s="1914">
        <v>0</v>
      </c>
      <c r="S1394" s="1915" t="s">
        <v>99</v>
      </c>
      <c r="T1394" s="1912">
        <v>496</v>
      </c>
      <c r="U1394" s="2203"/>
      <c r="V1394" s="3320">
        <f>VLOOKUP(M1394,'[1]TABELA FRETE'!$A$6:$B$12,2,0)</f>
        <v>250.8</v>
      </c>
      <c r="W1394" s="3321"/>
      <c r="X1394" s="3460"/>
      <c r="Y1394" s="3461"/>
      <c r="Z1394" s="2192"/>
    </row>
    <row r="1395" spans="1:26" ht="6" customHeight="1" thickBot="1">
      <c r="A1395" s="2192"/>
      <c r="B1395" s="2211"/>
      <c r="C1395" s="2211"/>
      <c r="D1395" s="2212"/>
      <c r="E1395" s="2213"/>
      <c r="F1395" s="2214"/>
      <c r="G1395" s="2215"/>
      <c r="H1395" s="2215"/>
      <c r="I1395" s="2215"/>
      <c r="J1395" s="2215"/>
      <c r="K1395" s="2216"/>
      <c r="L1395" s="2215"/>
      <c r="M1395" s="2217"/>
      <c r="N1395" s="2218"/>
      <c r="O1395" s="2217"/>
      <c r="P1395" s="2217"/>
      <c r="Q1395" s="2219"/>
      <c r="R1395" s="2220"/>
      <c r="S1395" s="2221"/>
      <c r="T1395" s="2222"/>
      <c r="U1395" s="2203"/>
      <c r="V1395" s="3549"/>
      <c r="W1395" s="3549"/>
      <c r="X1395" s="3550"/>
      <c r="Y1395" s="3550"/>
      <c r="Z1395" s="2192"/>
    </row>
    <row r="1396" spans="1:26" ht="47.25" customHeight="1" thickBot="1">
      <c r="A1396" s="2192"/>
      <c r="B1396" s="1843">
        <v>0.5</v>
      </c>
      <c r="C1396" s="1844"/>
      <c r="D1396" s="2223">
        <v>8</v>
      </c>
      <c r="E1396" s="1846"/>
      <c r="F1396" s="1847"/>
      <c r="G1396" s="2037"/>
      <c r="H1396" s="1932"/>
      <c r="I1396" s="2037"/>
      <c r="J1396" s="1850">
        <f t="shared" ref="J1396:J1434" si="149">E1396+G1396+I1396</f>
        <v>0</v>
      </c>
      <c r="K1396" s="1851">
        <f t="shared" ref="K1396:K1434" si="150">J1396/450</f>
        <v>0</v>
      </c>
      <c r="L1396" s="1850">
        <v>1</v>
      </c>
      <c r="M1396" s="2106"/>
      <c r="N1396" s="1932"/>
      <c r="O1396" s="3499"/>
      <c r="P1396" s="3500"/>
      <c r="Q1396" s="2038"/>
      <c r="R1396" s="2037"/>
      <c r="S1396" s="2107"/>
      <c r="T1396" s="2108"/>
      <c r="U1396" s="2203"/>
      <c r="V1396" s="3320" t="e">
        <f>VLOOKUP(M1396,'[1]TABELA FRETE'!$A$6:$B$12,2,0)</f>
        <v>#N/A</v>
      </c>
      <c r="W1396" s="3321"/>
      <c r="X1396" s="3460"/>
      <c r="Y1396" s="3461"/>
      <c r="Z1396" s="2192"/>
    </row>
    <row r="1397" spans="1:26" ht="47.25" customHeight="1" thickBot="1">
      <c r="A1397" s="2192"/>
      <c r="B1397" s="1974">
        <v>0.5</v>
      </c>
      <c r="C1397" s="1844"/>
      <c r="D1397" s="2224">
        <v>8</v>
      </c>
      <c r="E1397" s="1860"/>
      <c r="F1397" s="2096"/>
      <c r="G1397" s="1982"/>
      <c r="H1397" s="1981"/>
      <c r="I1397" s="1982"/>
      <c r="J1397" s="1862">
        <f t="shared" si="149"/>
        <v>0</v>
      </c>
      <c r="K1397" s="1863">
        <f t="shared" si="150"/>
        <v>0</v>
      </c>
      <c r="L1397" s="1862">
        <v>1</v>
      </c>
      <c r="M1397" s="2050"/>
      <c r="N1397" s="1981"/>
      <c r="O1397" s="3326"/>
      <c r="P1397" s="3327"/>
      <c r="Q1397" s="2051"/>
      <c r="R1397" s="1982"/>
      <c r="S1397" s="2225"/>
      <c r="T1397" s="2226"/>
      <c r="U1397" s="2203"/>
      <c r="V1397" s="3320" t="e">
        <f>VLOOKUP(M1397,'[1]TABELA FRETE'!$A$6:$B$12,2,0)</f>
        <v>#N/A</v>
      </c>
      <c r="W1397" s="3321"/>
      <c r="X1397" s="3460"/>
      <c r="Y1397" s="3461"/>
      <c r="Z1397" s="2192"/>
    </row>
    <row r="1398" spans="1:26" ht="47.25" customHeight="1" thickBot="1">
      <c r="A1398" s="2192"/>
      <c r="B1398" s="1974">
        <v>0.5</v>
      </c>
      <c r="C1398" s="1844"/>
      <c r="D1398" s="2227">
        <v>1</v>
      </c>
      <c r="E1398" s="1860"/>
      <c r="F1398" s="1945"/>
      <c r="G1398" s="1872"/>
      <c r="H1398" s="1981"/>
      <c r="I1398" s="1982"/>
      <c r="J1398" s="1862">
        <f t="shared" si="149"/>
        <v>0</v>
      </c>
      <c r="K1398" s="1863">
        <f t="shared" si="150"/>
        <v>0</v>
      </c>
      <c r="L1398" s="1862">
        <v>1</v>
      </c>
      <c r="M1398" s="1949"/>
      <c r="N1398" s="1853"/>
      <c r="O1398" s="3326"/>
      <c r="P1398" s="3327"/>
      <c r="Q1398" s="1855"/>
      <c r="R1398" s="1950"/>
      <c r="S1398" s="1857"/>
      <c r="T1398" s="1950"/>
      <c r="U1398" s="2203"/>
      <c r="V1398" s="3320" t="e">
        <f>VLOOKUP(M1398,'[1]TABELA FRETE'!$A$6:$B$12,2,0)</f>
        <v>#N/A</v>
      </c>
      <c r="W1398" s="3321"/>
      <c r="X1398" s="3460"/>
      <c r="Y1398" s="3461"/>
      <c r="Z1398" s="2192"/>
    </row>
    <row r="1399" spans="1:26" ht="47.25" customHeight="1" thickBot="1">
      <c r="A1399" s="2192"/>
      <c r="B1399" s="1974">
        <v>0.5</v>
      </c>
      <c r="C1399" s="1844"/>
      <c r="D1399" s="2227">
        <v>14</v>
      </c>
      <c r="E1399" s="1860"/>
      <c r="F1399" s="2096"/>
      <c r="G1399" s="1982"/>
      <c r="H1399" s="1981"/>
      <c r="I1399" s="1982"/>
      <c r="J1399" s="1983">
        <f t="shared" si="149"/>
        <v>0</v>
      </c>
      <c r="K1399" s="1984">
        <f t="shared" si="150"/>
        <v>0</v>
      </c>
      <c r="L1399" s="1983">
        <v>1</v>
      </c>
      <c r="M1399" s="1894"/>
      <c r="N1399" s="1895"/>
      <c r="O1399" s="3326"/>
      <c r="P1399" s="3327"/>
      <c r="Q1399" s="1897"/>
      <c r="R1399" s="1898"/>
      <c r="S1399" s="1947"/>
      <c r="T1399" s="1900"/>
      <c r="U1399" s="2203"/>
      <c r="V1399" s="3320" t="e">
        <f>VLOOKUP(M1399,'[1]TABELA FRETE'!$A$6:$B$12,2,0)</f>
        <v>#N/A</v>
      </c>
      <c r="W1399" s="3321"/>
      <c r="X1399" s="3460"/>
      <c r="Y1399" s="3461"/>
      <c r="Z1399" s="2192"/>
    </row>
    <row r="1400" spans="1:26" ht="47.25" customHeight="1" thickBot="1">
      <c r="A1400" s="2192"/>
      <c r="B1400" s="1974">
        <v>0.5</v>
      </c>
      <c r="C1400" s="1844"/>
      <c r="D1400" s="2228">
        <v>9</v>
      </c>
      <c r="E1400" s="1872"/>
      <c r="F1400" s="1873"/>
      <c r="G1400" s="1874"/>
      <c r="H1400" s="1940"/>
      <c r="I1400" s="1874"/>
      <c r="J1400" s="1862">
        <f t="shared" si="149"/>
        <v>0</v>
      </c>
      <c r="K1400" s="1863">
        <f t="shared" si="150"/>
        <v>0</v>
      </c>
      <c r="L1400" s="1862">
        <v>1</v>
      </c>
      <c r="M1400" s="1949"/>
      <c r="N1400" s="1853"/>
      <c r="O1400" s="3326"/>
      <c r="P1400" s="3327"/>
      <c r="Q1400" s="2229"/>
      <c r="R1400" s="2230"/>
      <c r="S1400" s="1857"/>
      <c r="T1400" s="1950"/>
      <c r="U1400" s="2203"/>
      <c r="V1400" s="3320" t="e">
        <f>VLOOKUP(M1400,'[1]TABELA FRETE'!$A$6:$B$12,2,0)</f>
        <v>#N/A</v>
      </c>
      <c r="W1400" s="3321"/>
      <c r="X1400" s="3460"/>
      <c r="Y1400" s="3461"/>
      <c r="Z1400" s="2192"/>
    </row>
    <row r="1401" spans="1:26" ht="47.25" customHeight="1" thickBot="1">
      <c r="A1401" s="2192"/>
      <c r="B1401" s="1974">
        <v>0.5</v>
      </c>
      <c r="C1401" s="1844"/>
      <c r="D1401" s="2228">
        <v>38</v>
      </c>
      <c r="E1401" s="1872"/>
      <c r="F1401" s="1873"/>
      <c r="G1401" s="1874"/>
      <c r="H1401" s="1940"/>
      <c r="I1401" s="1874"/>
      <c r="J1401" s="1862">
        <f t="shared" si="149"/>
        <v>0</v>
      </c>
      <c r="K1401" s="1863">
        <f t="shared" si="150"/>
        <v>0</v>
      </c>
      <c r="L1401" s="1862">
        <v>1</v>
      </c>
      <c r="M1401" s="1894"/>
      <c r="N1401" s="1895"/>
      <c r="O1401" s="3326"/>
      <c r="P1401" s="3327"/>
      <c r="Q1401" s="1941"/>
      <c r="R1401" s="1942"/>
      <c r="S1401" s="1943"/>
      <c r="T1401" s="1944"/>
      <c r="U1401" s="2203"/>
      <c r="V1401" s="3320" t="e">
        <f>VLOOKUP(M1401,'[1]TABELA FRETE'!$A$6:$B$12,2,0)</f>
        <v>#N/A</v>
      </c>
      <c r="W1401" s="3321"/>
      <c r="X1401" s="3460"/>
      <c r="Y1401" s="3461"/>
      <c r="Z1401" s="2192"/>
    </row>
    <row r="1402" spans="1:26" ht="47.25" customHeight="1" thickBot="1">
      <c r="A1402" s="2192"/>
      <c r="B1402" s="1974">
        <v>0.5</v>
      </c>
      <c r="C1402" s="1844"/>
      <c r="D1402" s="2228">
        <v>12</v>
      </c>
      <c r="E1402" s="1872"/>
      <c r="F1402" s="1939"/>
      <c r="G1402" s="1874"/>
      <c r="H1402" s="1940"/>
      <c r="I1402" s="1874"/>
      <c r="J1402" s="1862">
        <f t="shared" si="149"/>
        <v>0</v>
      </c>
      <c r="K1402" s="1863">
        <f t="shared" si="150"/>
        <v>0</v>
      </c>
      <c r="L1402" s="1862">
        <v>1</v>
      </c>
      <c r="M1402" s="1949"/>
      <c r="N1402" s="1853"/>
      <c r="O1402" s="3326"/>
      <c r="P1402" s="3327"/>
      <c r="Q1402" s="1897"/>
      <c r="R1402" s="1898"/>
      <c r="S1402" s="1947"/>
      <c r="T1402" s="1950"/>
      <c r="U1402" s="2203"/>
      <c r="V1402" s="3320" t="e">
        <f>VLOOKUP(M1402,'[1]TABELA FRETE'!$A$6:$B$12,2,0)</f>
        <v>#N/A</v>
      </c>
      <c r="W1402" s="3321"/>
      <c r="X1402" s="3460"/>
      <c r="Y1402" s="3461"/>
      <c r="Z1402" s="2192"/>
    </row>
    <row r="1403" spans="1:26" ht="47.25" customHeight="1" thickBot="1">
      <c r="A1403" s="2192"/>
      <c r="B1403" s="1974">
        <v>0.5</v>
      </c>
      <c r="C1403" s="1844"/>
      <c r="D1403" s="2228">
        <v>34</v>
      </c>
      <c r="E1403" s="1872"/>
      <c r="F1403" s="1873"/>
      <c r="G1403" s="1874"/>
      <c r="H1403" s="1940"/>
      <c r="I1403" s="1874"/>
      <c r="J1403" s="1862">
        <f t="shared" si="149"/>
        <v>0</v>
      </c>
      <c r="K1403" s="1863">
        <f t="shared" si="150"/>
        <v>0</v>
      </c>
      <c r="L1403" s="1862">
        <v>1</v>
      </c>
      <c r="M1403" s="1949"/>
      <c r="N1403" s="1853"/>
      <c r="O1403" s="3326"/>
      <c r="P1403" s="3327"/>
      <c r="Q1403" s="1897"/>
      <c r="R1403" s="1950"/>
      <c r="S1403" s="1857"/>
      <c r="T1403" s="1950"/>
      <c r="U1403" s="2203"/>
      <c r="V1403" s="3320" t="e">
        <f>VLOOKUP(M1403,'[1]TABELA FRETE'!$A$6:$B$12,2,0)</f>
        <v>#N/A</v>
      </c>
      <c r="W1403" s="3321"/>
      <c r="X1403" s="3460"/>
      <c r="Y1403" s="3461"/>
      <c r="Z1403" s="2192"/>
    </row>
    <row r="1404" spans="1:26" ht="47.25" customHeight="1" thickBot="1">
      <c r="A1404" s="2192"/>
      <c r="B1404" s="1974">
        <v>0.5</v>
      </c>
      <c r="C1404" s="1844"/>
      <c r="D1404" s="2231">
        <v>34</v>
      </c>
      <c r="E1404" s="1872"/>
      <c r="F1404" s="1873"/>
      <c r="G1404" s="1874"/>
      <c r="H1404" s="1940"/>
      <c r="I1404" s="1874"/>
      <c r="J1404" s="1862">
        <f t="shared" si="149"/>
        <v>0</v>
      </c>
      <c r="K1404" s="1863">
        <f t="shared" si="150"/>
        <v>0</v>
      </c>
      <c r="L1404" s="1862">
        <v>1</v>
      </c>
      <c r="M1404" s="2016"/>
      <c r="N1404" s="2109"/>
      <c r="O1404" s="3326"/>
      <c r="P1404" s="3327"/>
      <c r="Q1404" s="1988"/>
      <c r="R1404" s="2024"/>
      <c r="S1404" s="1990"/>
      <c r="T1404" s="2024"/>
      <c r="U1404" s="2203"/>
      <c r="V1404" s="3320" t="e">
        <f>VLOOKUP(M1404,'[1]TABELA FRETE'!$A$6:$B$12,2,0)</f>
        <v>#N/A</v>
      </c>
      <c r="W1404" s="3321"/>
      <c r="X1404" s="3460"/>
      <c r="Y1404" s="3461"/>
      <c r="Z1404" s="2192"/>
    </row>
    <row r="1405" spans="1:26" ht="47.25" customHeight="1" thickBot="1">
      <c r="A1405" s="2192"/>
      <c r="B1405" s="1974">
        <v>0.5</v>
      </c>
      <c r="C1405" s="1844"/>
      <c r="D1405" s="2228">
        <v>43</v>
      </c>
      <c r="E1405" s="1872"/>
      <c r="F1405" s="1873"/>
      <c r="G1405" s="1874"/>
      <c r="H1405" s="1940"/>
      <c r="I1405" s="1874"/>
      <c r="J1405" s="1862">
        <f t="shared" si="149"/>
        <v>0</v>
      </c>
      <c r="K1405" s="1863">
        <f t="shared" si="150"/>
        <v>0</v>
      </c>
      <c r="L1405" s="1862">
        <v>1</v>
      </c>
      <c r="M1405" s="1887"/>
      <c r="N1405" s="1888"/>
      <c r="O1405" s="3326"/>
      <c r="P1405" s="3327"/>
      <c r="Q1405" s="1868"/>
      <c r="R1405" s="1891"/>
      <c r="S1405" s="2232"/>
      <c r="T1405" s="1891"/>
      <c r="U1405" s="2203"/>
      <c r="V1405" s="3320" t="e">
        <f>VLOOKUP(M1405,'[1]TABELA FRETE'!$A$6:$B$12,2,0)</f>
        <v>#N/A</v>
      </c>
      <c r="W1405" s="3321"/>
      <c r="X1405" s="3460"/>
      <c r="Y1405" s="3461"/>
      <c r="Z1405" s="2192"/>
    </row>
    <row r="1406" spans="1:26" ht="47.25" customHeight="1" thickBot="1">
      <c r="A1406" s="2192"/>
      <c r="B1406" s="1974">
        <v>0.5</v>
      </c>
      <c r="C1406" s="1844"/>
      <c r="D1406" s="2231">
        <v>43</v>
      </c>
      <c r="E1406" s="1872"/>
      <c r="F1406" s="1939"/>
      <c r="G1406" s="1874"/>
      <c r="H1406" s="1940"/>
      <c r="I1406" s="1874"/>
      <c r="J1406" s="1862">
        <f t="shared" si="149"/>
        <v>0</v>
      </c>
      <c r="K1406" s="1863">
        <f t="shared" si="150"/>
        <v>0</v>
      </c>
      <c r="L1406" s="1862">
        <v>1</v>
      </c>
      <c r="M1406" s="2148"/>
      <c r="N1406" s="2149"/>
      <c r="O1406" s="3326"/>
      <c r="P1406" s="3327"/>
      <c r="Q1406" s="1868"/>
      <c r="R1406" s="1880"/>
      <c r="S1406" s="2233"/>
      <c r="T1406" s="2234"/>
      <c r="U1406" s="2203"/>
      <c r="V1406" s="3320" t="e">
        <f>VLOOKUP(M1406,'[1]TABELA FRETE'!$A$6:$B$12,2,0)</f>
        <v>#N/A</v>
      </c>
      <c r="W1406" s="3321"/>
      <c r="X1406" s="3460"/>
      <c r="Y1406" s="3461"/>
      <c r="Z1406" s="2192"/>
    </row>
    <row r="1407" spans="1:26" ht="47.25" customHeight="1" thickBot="1">
      <c r="A1407" s="2192"/>
      <c r="B1407" s="1974">
        <v>0.5</v>
      </c>
      <c r="C1407" s="1844"/>
      <c r="D1407" s="2228">
        <v>35</v>
      </c>
      <c r="E1407" s="1872"/>
      <c r="F1407" s="1873"/>
      <c r="G1407" s="1874"/>
      <c r="H1407" s="1940"/>
      <c r="I1407" s="1874"/>
      <c r="J1407" s="1862">
        <f t="shared" si="149"/>
        <v>0</v>
      </c>
      <c r="K1407" s="1863">
        <f t="shared" si="150"/>
        <v>0</v>
      </c>
      <c r="L1407" s="1862">
        <v>1</v>
      </c>
      <c r="M1407" s="1894"/>
      <c r="N1407" s="1895"/>
      <c r="O1407" s="3326"/>
      <c r="P1407" s="3327"/>
      <c r="Q1407" s="1897"/>
      <c r="R1407" s="1898"/>
      <c r="S1407" s="2004"/>
      <c r="T1407" s="2005"/>
      <c r="U1407" s="2203"/>
      <c r="V1407" s="3320" t="e">
        <f>VLOOKUP(M1407,'[1]TABELA FRETE'!$A$6:$B$12,2,0)</f>
        <v>#N/A</v>
      </c>
      <c r="W1407" s="3321"/>
      <c r="X1407" s="3460"/>
      <c r="Y1407" s="3461"/>
      <c r="Z1407" s="2192"/>
    </row>
    <row r="1408" spans="1:26" ht="47.25" customHeight="1" thickBot="1">
      <c r="A1408" s="2192"/>
      <c r="B1408" s="1974">
        <v>0.5</v>
      </c>
      <c r="C1408" s="1844"/>
      <c r="D1408" s="2228">
        <v>45</v>
      </c>
      <c r="E1408" s="1872"/>
      <c r="F1408" s="1873"/>
      <c r="G1408" s="1874"/>
      <c r="H1408" s="1940"/>
      <c r="I1408" s="1874"/>
      <c r="J1408" s="1862">
        <f t="shared" si="149"/>
        <v>0</v>
      </c>
      <c r="K1408" s="1863">
        <f t="shared" si="150"/>
        <v>0</v>
      </c>
      <c r="L1408" s="1862">
        <v>1</v>
      </c>
      <c r="M1408" s="1887"/>
      <c r="N1408" s="2235"/>
      <c r="O1408" s="3326"/>
      <c r="P1408" s="3327"/>
      <c r="Q1408" s="2236"/>
      <c r="R1408" s="2237"/>
      <c r="S1408" s="2238"/>
      <c r="T1408" s="2237"/>
      <c r="U1408" s="2192"/>
      <c r="V1408" s="3320" t="e">
        <f>VLOOKUP(M1408,'[1]TABELA FRETE'!$A$6:$B$12,2,0)</f>
        <v>#N/A</v>
      </c>
      <c r="W1408" s="3321"/>
      <c r="X1408" s="3460"/>
      <c r="Y1408" s="3461"/>
      <c r="Z1408" s="2192"/>
    </row>
    <row r="1409" spans="1:26" ht="47.25" customHeight="1" thickBot="1">
      <c r="A1409" s="2192"/>
      <c r="B1409" s="1974">
        <v>0.5</v>
      </c>
      <c r="C1409" s="1844"/>
      <c r="D1409" s="2231">
        <v>45</v>
      </c>
      <c r="E1409" s="1872"/>
      <c r="F1409" s="1873"/>
      <c r="G1409" s="1874"/>
      <c r="H1409" s="1940"/>
      <c r="I1409" s="1874"/>
      <c r="J1409" s="1862">
        <f t="shared" si="149"/>
        <v>0</v>
      </c>
      <c r="K1409" s="1863">
        <f t="shared" si="150"/>
        <v>0</v>
      </c>
      <c r="L1409" s="1862">
        <v>1</v>
      </c>
      <c r="M1409" s="1887"/>
      <c r="N1409" s="2235"/>
      <c r="O1409" s="3326"/>
      <c r="P1409" s="3327"/>
      <c r="Q1409" s="2236"/>
      <c r="R1409" s="2237"/>
      <c r="S1409" s="2238"/>
      <c r="T1409" s="2237"/>
      <c r="U1409" s="2192"/>
      <c r="V1409" s="3320" t="e">
        <f>VLOOKUP(M1409,'[1]TABELA FRETE'!$A$6:$B$12,2,0)</f>
        <v>#N/A</v>
      </c>
      <c r="W1409" s="3321"/>
      <c r="X1409" s="3460"/>
      <c r="Y1409" s="3461"/>
      <c r="Z1409" s="2192"/>
    </row>
    <row r="1410" spans="1:26" ht="47.25" customHeight="1" thickBot="1">
      <c r="A1410" s="2192"/>
      <c r="B1410" s="1974">
        <v>0.5</v>
      </c>
      <c r="C1410" s="1844"/>
      <c r="D1410" s="1955">
        <v>47</v>
      </c>
      <c r="E1410" s="1883"/>
      <c r="F1410" s="1884"/>
      <c r="G1410" s="1885"/>
      <c r="H1410" s="1956"/>
      <c r="I1410" s="1885"/>
      <c r="J1410" s="1862">
        <f t="shared" si="149"/>
        <v>0</v>
      </c>
      <c r="K1410" s="1863">
        <f t="shared" si="150"/>
        <v>0</v>
      </c>
      <c r="L1410" s="1862">
        <v>1</v>
      </c>
      <c r="M1410" s="1887"/>
      <c r="N1410" s="2235"/>
      <c r="O1410" s="3326"/>
      <c r="P1410" s="3327"/>
      <c r="Q1410" s="2236"/>
      <c r="R1410" s="2237"/>
      <c r="S1410" s="2238"/>
      <c r="T1410" s="2237"/>
      <c r="U1410" s="2192"/>
      <c r="V1410" s="3320" t="e">
        <f>VLOOKUP(M1410,'[1]TABELA FRETE'!$A$6:$B$12,2,0)</f>
        <v>#N/A</v>
      </c>
      <c r="W1410" s="3321"/>
      <c r="X1410" s="3460"/>
      <c r="Y1410" s="3461"/>
      <c r="Z1410" s="2192"/>
    </row>
    <row r="1411" spans="1:26" ht="47.25" customHeight="1" thickBot="1">
      <c r="A1411" s="2192"/>
      <c r="B1411" s="2139">
        <v>0.5</v>
      </c>
      <c r="C1411" s="1844"/>
      <c r="D1411" s="1902">
        <v>19</v>
      </c>
      <c r="E1411" s="1903"/>
      <c r="F1411" s="1959"/>
      <c r="G1411" s="1905"/>
      <c r="H1411" s="2063"/>
      <c r="I1411" s="1905"/>
      <c r="J1411" s="2064">
        <f>E1411+G1411+I1411</f>
        <v>0</v>
      </c>
      <c r="K1411" s="2065">
        <f>J1411/450</f>
        <v>0</v>
      </c>
      <c r="L1411" s="2064">
        <v>1</v>
      </c>
      <c r="M1411" s="2066"/>
      <c r="N1411" s="2067"/>
      <c r="O1411" s="3470"/>
      <c r="P1411" s="3471"/>
      <c r="Q1411" s="2122"/>
      <c r="R1411" s="2239"/>
      <c r="S1411" s="2240"/>
      <c r="T1411" s="2030"/>
      <c r="U1411" s="2241"/>
      <c r="V1411" s="3320" t="e">
        <f>VLOOKUP(M1411,'[1]TABELA FRETE'!$A$6:$B$12,2,0)</f>
        <v>#N/A</v>
      </c>
      <c r="W1411" s="3321"/>
      <c r="X1411" s="3460"/>
      <c r="Y1411" s="3461"/>
      <c r="Z1411" s="2192"/>
    </row>
    <row r="1412" spans="1:26" ht="6" customHeight="1" thickBot="1">
      <c r="A1412" s="2192"/>
      <c r="B1412" s="2211"/>
      <c r="C1412" s="2211"/>
      <c r="D1412" s="2214"/>
      <c r="E1412" s="2242"/>
      <c r="F1412" s="2214"/>
      <c r="G1412" s="2215"/>
      <c r="H1412" s="2243"/>
      <c r="I1412" s="2215"/>
      <c r="J1412" s="2215"/>
      <c r="K1412" s="2216"/>
      <c r="L1412" s="2215"/>
      <c r="M1412" s="2244"/>
      <c r="N1412" s="2245"/>
      <c r="O1412" s="2246"/>
      <c r="P1412" s="2246"/>
      <c r="Q1412" s="2247"/>
      <c r="R1412" s="2246"/>
      <c r="S1412" s="2248"/>
      <c r="T1412" s="2249"/>
      <c r="U1412" s="2250"/>
      <c r="V1412" s="3551"/>
      <c r="W1412" s="3551"/>
      <c r="X1412" s="3552"/>
      <c r="Y1412" s="3552"/>
      <c r="Z1412" s="2192"/>
    </row>
    <row r="1413" spans="1:26" ht="48" customHeight="1" thickBot="1">
      <c r="A1413" s="2192"/>
      <c r="B1413" s="1843">
        <v>0.58333333333333337</v>
      </c>
      <c r="C1413" s="1844"/>
      <c r="D1413" s="1969">
        <v>26</v>
      </c>
      <c r="E1413" s="1846"/>
      <c r="F1413" s="2251"/>
      <c r="G1413" s="2037"/>
      <c r="H1413" s="1932"/>
      <c r="I1413" s="2037"/>
      <c r="J1413" s="2038">
        <f>E1413+G1413+I1413</f>
        <v>0</v>
      </c>
      <c r="K1413" s="2039">
        <f>J1413/450</f>
        <v>0</v>
      </c>
      <c r="L1413" s="2038">
        <v>1</v>
      </c>
      <c r="M1413" s="2146"/>
      <c r="N1413" s="2147"/>
      <c r="O1413" s="3296"/>
      <c r="P1413" s="3297"/>
      <c r="Q1413" s="1972"/>
      <c r="R1413" s="1856"/>
      <c r="S1413" s="1973"/>
      <c r="T1413" s="1856"/>
      <c r="U1413" s="2241"/>
      <c r="V1413" s="3320" t="e">
        <f>VLOOKUP(M1413,'[1]TABELA FRETE'!$A$6:$B$12,2,0)</f>
        <v>#N/A</v>
      </c>
      <c r="W1413" s="3321"/>
      <c r="X1413" s="3460"/>
      <c r="Y1413" s="3461"/>
      <c r="Z1413" s="2192"/>
    </row>
    <row r="1414" spans="1:26" ht="48" customHeight="1" thickBot="1">
      <c r="A1414" s="2192"/>
      <c r="B1414" s="1974">
        <v>0.58333333333333337</v>
      </c>
      <c r="C1414" s="1844"/>
      <c r="D1414" s="1975">
        <v>3</v>
      </c>
      <c r="E1414" s="1872"/>
      <c r="F1414" s="2252"/>
      <c r="G1414" s="1874"/>
      <c r="H1414" s="1940"/>
      <c r="I1414" s="1874"/>
      <c r="J1414" s="1952">
        <f>E1414+G1414+I1414</f>
        <v>0</v>
      </c>
      <c r="K1414" s="2014">
        <f>J1414/450</f>
        <v>0</v>
      </c>
      <c r="L1414" s="1952">
        <v>1</v>
      </c>
      <c r="M1414" s="1894"/>
      <c r="N1414" s="1895"/>
      <c r="O1414" s="3326"/>
      <c r="P1414" s="3327"/>
      <c r="Q1414" s="1897"/>
      <c r="R1414" s="1898"/>
      <c r="S1414" s="2004"/>
      <c r="T1414" s="2005"/>
      <c r="U1414" s="2241"/>
      <c r="V1414" s="3320" t="e">
        <f>VLOOKUP(M1414,'[1]TABELA FRETE'!$A$6:$B$12,2,0)</f>
        <v>#N/A</v>
      </c>
      <c r="W1414" s="3321"/>
      <c r="X1414" s="3460"/>
      <c r="Y1414" s="3461"/>
      <c r="Z1414" s="2192"/>
    </row>
    <row r="1415" spans="1:26" ht="48" customHeight="1" thickBot="1">
      <c r="A1415" s="2192"/>
      <c r="B1415" s="1974">
        <v>0.58333333333333337</v>
      </c>
      <c r="C1415" s="1844"/>
      <c r="D1415" s="1975">
        <v>40</v>
      </c>
      <c r="E1415" s="1872"/>
      <c r="F1415" s="2252"/>
      <c r="G1415" s="1874"/>
      <c r="H1415" s="1940"/>
      <c r="I1415" s="1874"/>
      <c r="J1415" s="1952">
        <f>E1415+G1415+I1415</f>
        <v>0</v>
      </c>
      <c r="K1415" s="2014">
        <f>J1415/450</f>
        <v>0</v>
      </c>
      <c r="L1415" s="1952">
        <v>1</v>
      </c>
      <c r="M1415" s="1887"/>
      <c r="N1415" s="2235"/>
      <c r="O1415" s="3326"/>
      <c r="P1415" s="3327"/>
      <c r="Q1415" s="2236"/>
      <c r="R1415" s="2237"/>
      <c r="S1415" s="2238"/>
      <c r="T1415" s="2237"/>
      <c r="U1415" s="2241"/>
      <c r="V1415" s="3320" t="e">
        <f>VLOOKUP(M1415,'[1]TABELA FRETE'!$A$6:$B$12,2,0)</f>
        <v>#N/A</v>
      </c>
      <c r="W1415" s="3321"/>
      <c r="X1415" s="3460"/>
      <c r="Y1415" s="3461"/>
      <c r="Z1415" s="2192"/>
    </row>
    <row r="1416" spans="1:26" ht="48" customHeight="1" thickBot="1">
      <c r="A1416" s="2192"/>
      <c r="B1416" s="1974">
        <v>0.58333333333333337</v>
      </c>
      <c r="C1416" s="1844"/>
      <c r="D1416" s="2253">
        <v>40</v>
      </c>
      <c r="E1416" s="1872"/>
      <c r="F1416" s="2252"/>
      <c r="G1416" s="1874"/>
      <c r="H1416" s="1940"/>
      <c r="I1416" s="1874"/>
      <c r="J1416" s="1952">
        <f>E1416+G1416+I1416</f>
        <v>0</v>
      </c>
      <c r="K1416" s="2014">
        <f>J1416/450</f>
        <v>0</v>
      </c>
      <c r="L1416" s="1952">
        <v>1</v>
      </c>
      <c r="M1416" s="2148"/>
      <c r="N1416" s="2149"/>
      <c r="O1416" s="3326"/>
      <c r="P1416" s="3327"/>
      <c r="Q1416" s="1868"/>
      <c r="R1416" s="1880"/>
      <c r="S1416" s="2150"/>
      <c r="T1416" s="1879"/>
      <c r="U1416" s="2241"/>
      <c r="V1416" s="3320" t="e">
        <f>VLOOKUP(M1416,'[1]TABELA FRETE'!$A$6:$B$12,2,0)</f>
        <v>#N/A</v>
      </c>
      <c r="W1416" s="3321"/>
      <c r="X1416" s="3460"/>
      <c r="Y1416" s="3461"/>
      <c r="Z1416" s="2192"/>
    </row>
    <row r="1417" spans="1:26" ht="48" customHeight="1" thickBot="1">
      <c r="A1417" s="2192"/>
      <c r="B1417" s="1974">
        <v>0.58333333333333337</v>
      </c>
      <c r="C1417" s="1844"/>
      <c r="D1417" s="2110">
        <v>5</v>
      </c>
      <c r="E1417" s="1872"/>
      <c r="F1417" s="1873"/>
      <c r="G1417" s="1874"/>
      <c r="H1417" s="1940"/>
      <c r="I1417" s="1874"/>
      <c r="J1417" s="1862">
        <f t="shared" si="149"/>
        <v>0</v>
      </c>
      <c r="K1417" s="1863">
        <f t="shared" si="150"/>
        <v>0</v>
      </c>
      <c r="L1417" s="1862">
        <v>1</v>
      </c>
      <c r="M1417" s="1887"/>
      <c r="N1417" s="2235"/>
      <c r="O1417" s="3326"/>
      <c r="P1417" s="3327"/>
      <c r="Q1417" s="2236"/>
      <c r="R1417" s="2237"/>
      <c r="S1417" s="2238"/>
      <c r="T1417" s="2237"/>
      <c r="U1417" s="2203"/>
      <c r="V1417" s="3320" t="e">
        <f>VLOOKUP(M1417,'[1]TABELA FRETE'!$A$6:$B$12,2,0)</f>
        <v>#N/A</v>
      </c>
      <c r="W1417" s="3321"/>
      <c r="X1417" s="3460"/>
      <c r="Y1417" s="3461"/>
      <c r="Z1417" s="2192"/>
    </row>
    <row r="1418" spans="1:26" ht="48" customHeight="1" thickBot="1">
      <c r="A1418" s="2192"/>
      <c r="B1418" s="1974">
        <v>0.58333333333333337</v>
      </c>
      <c r="C1418" s="1844"/>
      <c r="D1418" s="2110">
        <v>20</v>
      </c>
      <c r="E1418" s="1872"/>
      <c r="F1418" s="1873"/>
      <c r="G1418" s="1874"/>
      <c r="H1418" s="1940"/>
      <c r="I1418" s="1874"/>
      <c r="J1418" s="1862">
        <f t="shared" si="149"/>
        <v>0</v>
      </c>
      <c r="K1418" s="1863">
        <f t="shared" si="150"/>
        <v>0</v>
      </c>
      <c r="L1418" s="1862">
        <v>1</v>
      </c>
      <c r="M1418" s="2254"/>
      <c r="N1418" s="2255"/>
      <c r="O1418" s="3326"/>
      <c r="P1418" s="3327"/>
      <c r="Q1418" s="2229"/>
      <c r="R1418" s="2256"/>
      <c r="S1418" s="1947"/>
      <c r="T1418" s="2256"/>
      <c r="U1418" s="2192"/>
      <c r="V1418" s="3320" t="e">
        <f>VLOOKUP(M1418,'[1]TABELA FRETE'!$A$6:$B$12,2,0)</f>
        <v>#N/A</v>
      </c>
      <c r="W1418" s="3321"/>
      <c r="X1418" s="3460"/>
      <c r="Y1418" s="3461"/>
      <c r="Z1418" s="2192"/>
    </row>
    <row r="1419" spans="1:26" ht="48" customHeight="1" thickBot="1">
      <c r="A1419" s="2192"/>
      <c r="B1419" s="1938">
        <v>0.58333333333333337</v>
      </c>
      <c r="C1419" s="1844"/>
      <c r="D1419" s="2257">
        <v>22</v>
      </c>
      <c r="E1419" s="1883"/>
      <c r="F1419" s="1884"/>
      <c r="G1419" s="1885"/>
      <c r="H1419" s="1956"/>
      <c r="I1419" s="1885"/>
      <c r="J1419" s="2000">
        <f t="shared" si="149"/>
        <v>0</v>
      </c>
      <c r="K1419" s="2001">
        <f t="shared" si="150"/>
        <v>0</v>
      </c>
      <c r="L1419" s="2000">
        <v>1</v>
      </c>
      <c r="M1419" s="1894"/>
      <c r="N1419" s="1895"/>
      <c r="O1419" s="3326"/>
      <c r="P1419" s="3327"/>
      <c r="Q1419" s="1897"/>
      <c r="R1419" s="1898"/>
      <c r="S1419" s="1947"/>
      <c r="T1419" s="1900"/>
      <c r="U1419" s="2192"/>
      <c r="V1419" s="3320" t="e">
        <f>VLOOKUP(M1419,'[1]TABELA FRETE'!$A$6:$B$12,2,0)</f>
        <v>#N/A</v>
      </c>
      <c r="W1419" s="3321"/>
      <c r="X1419" s="3460"/>
      <c r="Y1419" s="3461"/>
      <c r="Z1419" s="2192"/>
    </row>
    <row r="1420" spans="1:26" ht="48" customHeight="1" thickBot="1">
      <c r="A1420" s="2192"/>
      <c r="B1420" s="1938">
        <v>0.58333333333333337</v>
      </c>
      <c r="C1420" s="1844"/>
      <c r="D1420" s="2257">
        <v>25</v>
      </c>
      <c r="E1420" s="1885"/>
      <c r="F1420" s="1884"/>
      <c r="G1420" s="1885"/>
      <c r="H1420" s="1956"/>
      <c r="I1420" s="1885"/>
      <c r="J1420" s="2000">
        <f t="shared" si="149"/>
        <v>0</v>
      </c>
      <c r="K1420" s="2001">
        <f t="shared" si="150"/>
        <v>0</v>
      </c>
      <c r="L1420" s="2000">
        <v>1</v>
      </c>
      <c r="M1420" s="2148"/>
      <c r="N1420" s="2149"/>
      <c r="O1420" s="3326"/>
      <c r="P1420" s="3327"/>
      <c r="Q1420" s="2258"/>
      <c r="R1420" s="2259"/>
      <c r="S1420" s="2150"/>
      <c r="T1420" s="1879"/>
      <c r="U1420" s="2260"/>
      <c r="V1420" s="3320" t="e">
        <f>VLOOKUP(M1420,'[1]TABELA FRETE'!$A$6:$B$12,2,0)</f>
        <v>#N/A</v>
      </c>
      <c r="W1420" s="3321"/>
      <c r="X1420" s="3460"/>
      <c r="Y1420" s="3461"/>
      <c r="Z1420" s="2192"/>
    </row>
    <row r="1421" spans="1:26" ht="48" customHeight="1" thickBot="1">
      <c r="A1421" s="2192"/>
      <c r="B1421" s="1938">
        <v>0.58333333333333337</v>
      </c>
      <c r="C1421" s="1844"/>
      <c r="D1421" s="2110">
        <v>31</v>
      </c>
      <c r="E1421" s="1872"/>
      <c r="F1421" s="1873"/>
      <c r="G1421" s="1874"/>
      <c r="H1421" s="1940"/>
      <c r="I1421" s="1874"/>
      <c r="J1421" s="1862">
        <f t="shared" si="149"/>
        <v>0</v>
      </c>
      <c r="K1421" s="1863">
        <f t="shared" si="150"/>
        <v>0</v>
      </c>
      <c r="L1421" s="1862">
        <v>1</v>
      </c>
      <c r="M1421" s="2254"/>
      <c r="N1421" s="2255"/>
      <c r="O1421" s="3553"/>
      <c r="P1421" s="3554"/>
      <c r="Q1421" s="2261"/>
      <c r="R1421" s="2262"/>
      <c r="S1421" s="1947"/>
      <c r="T1421" s="1900"/>
      <c r="U1421" s="2260"/>
      <c r="V1421" s="3320" t="e">
        <f>VLOOKUP(M1421,'[1]TABELA FRETE'!$A$6:$B$12,2,0)</f>
        <v>#N/A</v>
      </c>
      <c r="W1421" s="3321"/>
      <c r="X1421" s="3460"/>
      <c r="Y1421" s="3461"/>
      <c r="Z1421" s="2192"/>
    </row>
    <row r="1422" spans="1:26" ht="48" customHeight="1" thickBot="1">
      <c r="A1422" s="2192"/>
      <c r="B1422" s="1974">
        <v>0.58333333333333337</v>
      </c>
      <c r="C1422" s="1844"/>
      <c r="D1422" s="1979">
        <v>17</v>
      </c>
      <c r="E1422" s="1860"/>
      <c r="F1422" s="2114"/>
      <c r="G1422" s="1982"/>
      <c r="H1422" s="1981"/>
      <c r="I1422" s="1982"/>
      <c r="J1422" s="2051">
        <f t="shared" si="149"/>
        <v>0</v>
      </c>
      <c r="K1422" s="2263">
        <f t="shared" si="150"/>
        <v>0</v>
      </c>
      <c r="L1422" s="2051">
        <v>1</v>
      </c>
      <c r="M1422" s="1985"/>
      <c r="N1422" s="1986"/>
      <c r="O1422" s="3555"/>
      <c r="P1422" s="3556"/>
      <c r="Q1422" s="1988"/>
      <c r="R1422" s="1989"/>
      <c r="S1422" s="1990"/>
      <c r="T1422" s="2022"/>
      <c r="U1422" s="2241"/>
      <c r="V1422" s="3320" t="e">
        <f>VLOOKUP(M1422,'[1]TABELA FRETE'!$A$6:$B$12,2,0)</f>
        <v>#N/A</v>
      </c>
      <c r="W1422" s="3321"/>
      <c r="X1422" s="3460"/>
      <c r="Y1422" s="3461"/>
      <c r="Z1422" s="2192"/>
    </row>
    <row r="1423" spans="1:26" ht="48" customHeight="1" thickBot="1">
      <c r="A1423" s="2192"/>
      <c r="B1423" s="1974">
        <v>0.58333333333333337</v>
      </c>
      <c r="C1423" s="1844"/>
      <c r="D1423" s="1809">
        <v>23</v>
      </c>
      <c r="E1423" s="1872"/>
      <c r="F1423" s="1977"/>
      <c r="G1423" s="1874"/>
      <c r="H1423" s="1940"/>
      <c r="I1423" s="1874"/>
      <c r="J1423" s="1952">
        <f t="shared" si="149"/>
        <v>0</v>
      </c>
      <c r="K1423" s="2014">
        <f t="shared" si="150"/>
        <v>0</v>
      </c>
      <c r="L1423" s="1952">
        <v>1</v>
      </c>
      <c r="M1423" s="1949"/>
      <c r="N1423" s="1853"/>
      <c r="O1423" s="3326"/>
      <c r="P1423" s="3327"/>
      <c r="Q1423" s="1855"/>
      <c r="R1423" s="1950"/>
      <c r="S1423" s="1857"/>
      <c r="T1423" s="2002"/>
      <c r="U1423" s="2241"/>
      <c r="V1423" s="3320" t="e">
        <f>VLOOKUP(M1423,'[1]TABELA FRETE'!$A$6:$B$12,2,0)</f>
        <v>#N/A</v>
      </c>
      <c r="W1423" s="3321"/>
      <c r="X1423" s="3460"/>
      <c r="Y1423" s="3461"/>
      <c r="Z1423" s="2192"/>
    </row>
    <row r="1424" spans="1:26" ht="48" customHeight="1" thickBot="1">
      <c r="A1424" s="2192"/>
      <c r="B1424" s="1974">
        <v>0.58333333333333337</v>
      </c>
      <c r="C1424" s="1844"/>
      <c r="D1424" s="2264">
        <v>23</v>
      </c>
      <c r="E1424" s="1872"/>
      <c r="F1424" s="2265">
        <v>17</v>
      </c>
      <c r="G1424" s="1874"/>
      <c r="H1424" s="1940"/>
      <c r="I1424" s="1874"/>
      <c r="J1424" s="1952">
        <f t="shared" si="149"/>
        <v>0</v>
      </c>
      <c r="K1424" s="2014">
        <f t="shared" si="150"/>
        <v>0</v>
      </c>
      <c r="L1424" s="1952">
        <v>1</v>
      </c>
      <c r="M1424" s="1887"/>
      <c r="N1424" s="2235"/>
      <c r="O1424" s="3326"/>
      <c r="P1424" s="3327"/>
      <c r="Q1424" s="2236"/>
      <c r="R1424" s="2237"/>
      <c r="S1424" s="2238"/>
      <c r="T1424" s="2237"/>
      <c r="U1424" s="2241"/>
      <c r="V1424" s="3320" t="e">
        <f>VLOOKUP(M1424,'[1]TABELA FRETE'!$A$6:$B$12,2,0)</f>
        <v>#N/A</v>
      </c>
      <c r="W1424" s="3321"/>
      <c r="X1424" s="3460"/>
      <c r="Y1424" s="3461"/>
      <c r="Z1424" s="2192"/>
    </row>
    <row r="1425" spans="1:26" ht="48" customHeight="1" thickBot="1">
      <c r="A1425" s="2192"/>
      <c r="B1425" s="1974">
        <v>0.58333333333333337</v>
      </c>
      <c r="C1425" s="1844"/>
      <c r="D1425" s="1809">
        <v>44</v>
      </c>
      <c r="E1425" s="1872"/>
      <c r="F1425" s="1977"/>
      <c r="G1425" s="1874"/>
      <c r="H1425" s="1940"/>
      <c r="I1425" s="1874"/>
      <c r="J1425" s="1952">
        <f t="shared" si="149"/>
        <v>0</v>
      </c>
      <c r="K1425" s="2014">
        <f t="shared" si="150"/>
        <v>0</v>
      </c>
      <c r="L1425" s="1952">
        <v>1</v>
      </c>
      <c r="M1425" s="1949"/>
      <c r="N1425" s="1853"/>
      <c r="O1425" s="3326"/>
      <c r="P1425" s="3327"/>
      <c r="Q1425" s="1897"/>
      <c r="R1425" s="1950"/>
      <c r="S1425" s="1857"/>
      <c r="T1425" s="1950"/>
      <c r="U1425" s="2241"/>
      <c r="V1425" s="3320" t="e">
        <f>VLOOKUP(M1425,'[1]TABELA FRETE'!$A$6:$B$12,2,0)</f>
        <v>#N/A</v>
      </c>
      <c r="W1425" s="3321"/>
      <c r="X1425" s="3460"/>
      <c r="Y1425" s="3461"/>
      <c r="Z1425" s="2192"/>
    </row>
    <row r="1426" spans="1:26" ht="48" customHeight="1" thickBot="1">
      <c r="A1426" s="2192"/>
      <c r="B1426" s="1974">
        <v>0.58333333333333337</v>
      </c>
      <c r="C1426" s="1844"/>
      <c r="D1426" s="1809">
        <v>10</v>
      </c>
      <c r="E1426" s="1872"/>
      <c r="F1426" s="1977"/>
      <c r="G1426" s="1874"/>
      <c r="H1426" s="1940"/>
      <c r="I1426" s="1874"/>
      <c r="J1426" s="1952">
        <f t="shared" si="149"/>
        <v>0</v>
      </c>
      <c r="K1426" s="2014">
        <f t="shared" si="150"/>
        <v>0</v>
      </c>
      <c r="L1426" s="1952">
        <v>1</v>
      </c>
      <c r="M1426" s="1894"/>
      <c r="N1426" s="1895"/>
      <c r="O1426" s="3326"/>
      <c r="P1426" s="3327"/>
      <c r="Q1426" s="1941"/>
      <c r="R1426" s="1942"/>
      <c r="S1426" s="1943"/>
      <c r="T1426" s="1944"/>
      <c r="U1426" s="2241"/>
      <c r="V1426" s="3320" t="e">
        <f>VLOOKUP(M1426,'[1]TABELA FRETE'!$A$6:$B$12,2,0)</f>
        <v>#N/A</v>
      </c>
      <c r="W1426" s="3321"/>
      <c r="X1426" s="3460"/>
      <c r="Y1426" s="3461"/>
      <c r="Z1426" s="2192"/>
    </row>
    <row r="1427" spans="1:26" ht="48" customHeight="1" thickBot="1">
      <c r="A1427" s="2192"/>
      <c r="B1427" s="1974">
        <v>0.58333333333333337</v>
      </c>
      <c r="C1427" s="1844"/>
      <c r="D1427" s="2264">
        <v>10</v>
      </c>
      <c r="E1427" s="1872"/>
      <c r="F1427" s="1977"/>
      <c r="G1427" s="1874"/>
      <c r="H1427" s="1940"/>
      <c r="I1427" s="1874"/>
      <c r="J1427" s="1952">
        <f t="shared" si="149"/>
        <v>0</v>
      </c>
      <c r="K1427" s="2014">
        <f t="shared" si="150"/>
        <v>0</v>
      </c>
      <c r="L1427" s="1952">
        <v>1</v>
      </c>
      <c r="M1427" s="1894"/>
      <c r="N1427" s="1895"/>
      <c r="O1427" s="3326"/>
      <c r="P1427" s="3327"/>
      <c r="Q1427" s="1897"/>
      <c r="R1427" s="1898"/>
      <c r="S1427" s="2004"/>
      <c r="T1427" s="2005"/>
      <c r="U1427" s="2241"/>
      <c r="V1427" s="3320" t="e">
        <f>VLOOKUP(M1427,'[1]TABELA FRETE'!$A$6:$B$12,2,0)</f>
        <v>#N/A</v>
      </c>
      <c r="W1427" s="3321"/>
      <c r="X1427" s="3460"/>
      <c r="Y1427" s="3461"/>
      <c r="Z1427" s="2192"/>
    </row>
    <row r="1428" spans="1:26" ht="63" customHeight="1" thickBot="1">
      <c r="A1428" s="2192"/>
      <c r="B1428" s="1974">
        <v>0.58333333333333337</v>
      </c>
      <c r="C1428" s="1844"/>
      <c r="D1428" s="2003" t="s">
        <v>152</v>
      </c>
      <c r="E1428" s="1872"/>
      <c r="F1428" s="1977"/>
      <c r="G1428" s="1874"/>
      <c r="H1428" s="1940"/>
      <c r="I1428" s="1874"/>
      <c r="J1428" s="1952">
        <f t="shared" si="149"/>
        <v>0</v>
      </c>
      <c r="K1428" s="2014">
        <f t="shared" si="150"/>
        <v>0</v>
      </c>
      <c r="L1428" s="1952">
        <v>1</v>
      </c>
      <c r="M1428" s="1894"/>
      <c r="N1428" s="1895"/>
      <c r="O1428" s="3326"/>
      <c r="P1428" s="3327"/>
      <c r="Q1428" s="1897"/>
      <c r="R1428" s="1898"/>
      <c r="S1428" s="2004"/>
      <c r="T1428" s="2005"/>
      <c r="U1428" s="2241"/>
      <c r="V1428" s="3320" t="e">
        <f>VLOOKUP(M1428,'[1]TABELA FRETE'!$A$6:$B$12,2,0)</f>
        <v>#N/A</v>
      </c>
      <c r="W1428" s="3321"/>
      <c r="X1428" s="3460"/>
      <c r="Y1428" s="3461"/>
      <c r="Z1428" s="2192"/>
    </row>
    <row r="1429" spans="1:26" ht="48" customHeight="1" thickBot="1">
      <c r="A1429" s="2192"/>
      <c r="B1429" s="1974">
        <v>0.58333333333333337</v>
      </c>
      <c r="C1429" s="1844"/>
      <c r="D1429" s="2110">
        <v>32</v>
      </c>
      <c r="E1429" s="1872"/>
      <c r="F1429" s="1873"/>
      <c r="G1429" s="1874"/>
      <c r="H1429" s="1940"/>
      <c r="I1429" s="1874"/>
      <c r="J1429" s="1862">
        <f>E1429+G1429+I1429</f>
        <v>0</v>
      </c>
      <c r="K1429" s="1863">
        <f>J1429/450</f>
        <v>0</v>
      </c>
      <c r="L1429" s="1862">
        <v>1</v>
      </c>
      <c r="M1429" s="1894"/>
      <c r="N1429" s="1895"/>
      <c r="O1429" s="3326"/>
      <c r="P1429" s="3327"/>
      <c r="Q1429" s="1897"/>
      <c r="R1429" s="1898"/>
      <c r="S1429" s="2004"/>
      <c r="T1429" s="2005"/>
      <c r="U1429" s="2192"/>
      <c r="V1429" s="3320" t="e">
        <f>VLOOKUP(M1429,'[1]TABELA FRETE'!$A$6:$B$12,2,0)</f>
        <v>#N/A</v>
      </c>
      <c r="W1429" s="3321"/>
      <c r="X1429" s="3460"/>
      <c r="Y1429" s="3461"/>
      <c r="Z1429" s="2192"/>
    </row>
    <row r="1430" spans="1:26" ht="48" customHeight="1" thickBot="1">
      <c r="A1430" s="2192"/>
      <c r="B1430" s="1974">
        <v>0.58333333333333337</v>
      </c>
      <c r="C1430" s="1844"/>
      <c r="D1430" s="2110">
        <v>42</v>
      </c>
      <c r="E1430" s="1872"/>
      <c r="F1430" s="1873"/>
      <c r="G1430" s="1874"/>
      <c r="H1430" s="1940"/>
      <c r="I1430" s="1874"/>
      <c r="J1430" s="1862">
        <f>E1430+G1430+I1430</f>
        <v>0</v>
      </c>
      <c r="K1430" s="1863">
        <f>J1430/450</f>
        <v>0</v>
      </c>
      <c r="L1430" s="1862">
        <v>1</v>
      </c>
      <c r="M1430" s="1894"/>
      <c r="N1430" s="1895"/>
      <c r="O1430" s="3326"/>
      <c r="P1430" s="3327"/>
      <c r="Q1430" s="1897"/>
      <c r="R1430" s="1898"/>
      <c r="S1430" s="1947"/>
      <c r="T1430" s="1900"/>
      <c r="U1430" s="2192"/>
      <c r="V1430" s="3320" t="e">
        <f>VLOOKUP(M1430,'[1]TABELA FRETE'!$A$6:$B$12,2,0)</f>
        <v>#N/A</v>
      </c>
      <c r="W1430" s="3321"/>
      <c r="X1430" s="3460"/>
      <c r="Y1430" s="3461"/>
      <c r="Z1430" s="2192"/>
    </row>
    <row r="1431" spans="1:26" ht="48" customHeight="1" thickBot="1">
      <c r="A1431" s="2192"/>
      <c r="B1431" s="1938">
        <v>0.58333333333333337</v>
      </c>
      <c r="C1431" s="1844"/>
      <c r="D1431" s="1975">
        <v>6</v>
      </c>
      <c r="E1431" s="1872"/>
      <c r="F1431" s="2252"/>
      <c r="G1431" s="1874"/>
      <c r="H1431" s="1940"/>
      <c r="I1431" s="1874"/>
      <c r="J1431" s="1952"/>
      <c r="K1431" s="2014"/>
      <c r="L1431" s="1952"/>
      <c r="M1431" s="1894"/>
      <c r="N1431" s="1895"/>
      <c r="O1431" s="1889"/>
      <c r="P1431" s="1890"/>
      <c r="Q1431" s="1897"/>
      <c r="R1431" s="1898"/>
      <c r="S1431" s="1947"/>
      <c r="T1431" s="1900"/>
      <c r="U1431" s="2241"/>
      <c r="V1431" s="3320" t="e">
        <f>VLOOKUP(M1431,'[1]TABELA FRETE'!$A$6:$B$12,2,0)</f>
        <v>#N/A</v>
      </c>
      <c r="W1431" s="3321"/>
      <c r="X1431" s="3460"/>
      <c r="Y1431" s="3461"/>
      <c r="Z1431" s="2192"/>
    </row>
    <row r="1432" spans="1:26" ht="48" customHeight="1" thickBot="1">
      <c r="A1432" s="2192"/>
      <c r="B1432" s="1938">
        <v>0.58333333333333337</v>
      </c>
      <c r="C1432" s="1844"/>
      <c r="D1432" s="1809">
        <v>46</v>
      </c>
      <c r="E1432" s="1872"/>
      <c r="F1432" s="2266"/>
      <c r="G1432" s="1876"/>
      <c r="H1432" s="2207"/>
      <c r="I1432" s="1876"/>
      <c r="J1432" s="1862">
        <f>E1432+G1432+I1432</f>
        <v>0</v>
      </c>
      <c r="K1432" s="1863">
        <f>J1432/450</f>
        <v>0</v>
      </c>
      <c r="L1432" s="1862">
        <v>1</v>
      </c>
      <c r="M1432" s="1949"/>
      <c r="N1432" s="2006"/>
      <c r="O1432" s="3466"/>
      <c r="P1432" s="3467"/>
      <c r="Q1432" s="2007"/>
      <c r="R1432" s="2008"/>
      <c r="S1432" s="2009"/>
      <c r="T1432" s="2008"/>
      <c r="U1432" s="2241"/>
      <c r="V1432" s="3320" t="e">
        <f>VLOOKUP(M1432,'[1]TABELA FRETE'!$A$6:$B$12,2,0)</f>
        <v>#N/A</v>
      </c>
      <c r="W1432" s="3321"/>
      <c r="X1432" s="3460"/>
      <c r="Y1432" s="3461"/>
      <c r="Z1432" s="2192"/>
    </row>
    <row r="1433" spans="1:26" ht="63" customHeight="1" thickBot="1">
      <c r="A1433" s="2192"/>
      <c r="B1433" s="1974">
        <v>0.58333333333333337</v>
      </c>
      <c r="C1433" s="1844"/>
      <c r="D1433" s="2267" t="s">
        <v>87</v>
      </c>
      <c r="E1433" s="1860"/>
      <c r="F1433" s="2268"/>
      <c r="G1433" s="1982"/>
      <c r="H1433" s="1981"/>
      <c r="I1433" s="1982"/>
      <c r="J1433" s="2051">
        <f t="shared" si="149"/>
        <v>0</v>
      </c>
      <c r="K1433" s="2263">
        <f t="shared" si="150"/>
        <v>0</v>
      </c>
      <c r="L1433" s="2051">
        <v>1</v>
      </c>
      <c r="M1433" s="2269"/>
      <c r="N1433" s="2270"/>
      <c r="O1433" s="3468"/>
      <c r="P1433" s="3469"/>
      <c r="Q1433" s="1966"/>
      <c r="R1433" s="2271"/>
      <c r="S1433" s="2272"/>
      <c r="T1433" s="2024"/>
      <c r="U1433" s="2241"/>
      <c r="V1433" s="3320" t="e">
        <f>VLOOKUP(M1433,'[1]TABELA FRETE'!$D$25:$E$29,2,0)</f>
        <v>#N/A</v>
      </c>
      <c r="W1433" s="3321"/>
      <c r="X1433" s="3460"/>
      <c r="Y1433" s="3461"/>
      <c r="Z1433" s="2192"/>
    </row>
    <row r="1434" spans="1:26" ht="48" customHeight="1" thickBot="1">
      <c r="A1434" s="2192"/>
      <c r="B1434" s="2139">
        <v>0.58333333333333337</v>
      </c>
      <c r="C1434" s="1844"/>
      <c r="D1434" s="2026">
        <v>1129</v>
      </c>
      <c r="E1434" s="1903"/>
      <c r="F1434" s="2273"/>
      <c r="G1434" s="1907"/>
      <c r="H1434" s="2274"/>
      <c r="I1434" s="1907"/>
      <c r="J1434" s="1908">
        <f t="shared" si="149"/>
        <v>0</v>
      </c>
      <c r="K1434" s="2065">
        <f t="shared" si="150"/>
        <v>0</v>
      </c>
      <c r="L1434" s="1908">
        <v>1</v>
      </c>
      <c r="M1434" s="2027"/>
      <c r="N1434" s="2028"/>
      <c r="O1434" s="3470"/>
      <c r="P1434" s="3471"/>
      <c r="Q1434" s="2122"/>
      <c r="R1434" s="1913"/>
      <c r="S1434" s="2240"/>
      <c r="T1434" s="2030"/>
      <c r="U1434" s="2241"/>
      <c r="V1434" s="3320" t="e">
        <f>VLOOKUP(M1434,'[1]TABELA FRETE'!$A$6:$B$12,2,0)</f>
        <v>#N/A</v>
      </c>
      <c r="W1434" s="3321"/>
      <c r="X1434" s="3460"/>
      <c r="Y1434" s="3461"/>
      <c r="Z1434" s="2192"/>
    </row>
    <row r="1435" spans="1:26" ht="6" customHeight="1" thickBot="1">
      <c r="A1435" s="2192"/>
      <c r="B1435" s="2275"/>
      <c r="C1435" s="2275"/>
      <c r="D1435" s="2276"/>
      <c r="E1435" s="2222"/>
      <c r="F1435" s="2277"/>
      <c r="G1435" s="2217"/>
      <c r="H1435" s="2217"/>
      <c r="I1435" s="2217"/>
      <c r="J1435" s="2217"/>
      <c r="K1435" s="2278"/>
      <c r="L1435" s="2217"/>
      <c r="M1435" s="2217"/>
      <c r="N1435" s="2218"/>
      <c r="O1435" s="2217"/>
      <c r="P1435" s="2217"/>
      <c r="Q1435" s="2217"/>
      <c r="R1435" s="2217"/>
      <c r="S1435" s="2221"/>
      <c r="T1435" s="2279"/>
      <c r="U1435" s="2241"/>
      <c r="V1435" s="2172"/>
      <c r="W1435" s="2172"/>
      <c r="X1435" s="1929"/>
      <c r="Y1435" s="1929"/>
      <c r="Z1435" s="2192"/>
    </row>
    <row r="1436" spans="1:26" ht="48" customHeight="1" thickBot="1">
      <c r="A1436" s="2280"/>
      <c r="B1436" s="3557">
        <v>0.70833333333333304</v>
      </c>
      <c r="C1436" s="1844"/>
      <c r="D1436" s="3559">
        <v>18</v>
      </c>
      <c r="E1436" s="3561"/>
      <c r="F1436" s="3563"/>
      <c r="G1436" s="3565"/>
      <c r="H1436" s="3567"/>
      <c r="I1436" s="3569"/>
      <c r="J1436" s="3570">
        <f t="shared" ref="J1436:J1440" si="151">E1436+G1436+I1436</f>
        <v>0</v>
      </c>
      <c r="K1436" s="3571">
        <f>J1436/450</f>
        <v>0</v>
      </c>
      <c r="L1436" s="3569">
        <v>1</v>
      </c>
      <c r="M1436" s="2283">
        <v>1016</v>
      </c>
      <c r="N1436" s="2284">
        <v>7</v>
      </c>
      <c r="O1436" s="3573" t="s">
        <v>56</v>
      </c>
      <c r="P1436" s="3574"/>
      <c r="Q1436" s="2286">
        <v>1</v>
      </c>
      <c r="R1436" s="2287">
        <v>0</v>
      </c>
      <c r="S1436" s="2288" t="s">
        <v>57</v>
      </c>
      <c r="T1436" s="2285">
        <v>663</v>
      </c>
      <c r="U1436" s="2241"/>
      <c r="V1436" s="3575">
        <f>VLOOKUP(M1436,'[1]TABELA FRETE'!$A$6:$B$12,2,0)</f>
        <v>425.7</v>
      </c>
      <c r="W1436" s="3576"/>
      <c r="X1436" s="3579"/>
      <c r="Y1436" s="3580"/>
      <c r="Z1436" s="2192"/>
    </row>
    <row r="1437" spans="1:26" ht="30" customHeight="1" thickBot="1">
      <c r="A1437" s="2192"/>
      <c r="B1437" s="3558"/>
      <c r="C1437" s="1844"/>
      <c r="D1437" s="3560"/>
      <c r="E1437" s="3562"/>
      <c r="F1437" s="3564"/>
      <c r="G1437" s="3566"/>
      <c r="H1437" s="3568"/>
      <c r="I1437" s="3332"/>
      <c r="J1437" s="3333"/>
      <c r="K1437" s="3572"/>
      <c r="L1437" s="3332"/>
      <c r="M1437" s="3583" t="s">
        <v>259</v>
      </c>
      <c r="N1437" s="3584"/>
      <c r="O1437" s="3585"/>
      <c r="P1437" s="3584"/>
      <c r="Q1437" s="3583"/>
      <c r="R1437" s="3584"/>
      <c r="S1437" s="3584"/>
      <c r="T1437" s="3585"/>
      <c r="U1437" s="2250"/>
      <c r="V1437" s="3577"/>
      <c r="W1437" s="3578"/>
      <c r="X1437" s="3581"/>
      <c r="Y1437" s="3582"/>
      <c r="Z1437" s="2192"/>
    </row>
    <row r="1438" spans="1:26" ht="48" customHeight="1" thickBot="1">
      <c r="A1438" s="2192"/>
      <c r="B1438" s="3586">
        <v>0.70833333333333304</v>
      </c>
      <c r="C1438" s="1844"/>
      <c r="D1438" s="3587">
        <v>4</v>
      </c>
      <c r="E1438" s="3588"/>
      <c r="F1438" s="3590"/>
      <c r="G1438" s="3592"/>
      <c r="H1438" s="3594"/>
      <c r="I1438" s="3592"/>
      <c r="J1438" s="3596">
        <f t="shared" ref="J1438" si="152">E1438+G1438+I1438</f>
        <v>0</v>
      </c>
      <c r="K1438" s="3597">
        <f>J1438/450</f>
        <v>0</v>
      </c>
      <c r="L1438" s="3599">
        <v>1</v>
      </c>
      <c r="M1438" s="2291">
        <v>1016</v>
      </c>
      <c r="N1438" s="2292">
        <v>8</v>
      </c>
      <c r="O1438" s="3600" t="s">
        <v>92</v>
      </c>
      <c r="P1438" s="3601"/>
      <c r="Q1438" s="1867">
        <v>2</v>
      </c>
      <c r="R1438" s="2293">
        <v>0</v>
      </c>
      <c r="S1438" s="2294" t="s">
        <v>104</v>
      </c>
      <c r="T1438" s="2293">
        <v>576</v>
      </c>
      <c r="U1438" s="2250"/>
      <c r="V1438" s="3575">
        <f>VLOOKUP(M1438,'[1]TABELA FRETE'!$A$6:$B$12,2,0)</f>
        <v>425.7</v>
      </c>
      <c r="W1438" s="3576"/>
      <c r="X1438" s="3579"/>
      <c r="Y1438" s="3580"/>
      <c r="Z1438" s="2295"/>
    </row>
    <row r="1439" spans="1:26" ht="30" customHeight="1" thickBot="1">
      <c r="A1439" s="2192"/>
      <c r="B1439" s="3558"/>
      <c r="C1439" s="1844"/>
      <c r="D1439" s="3560"/>
      <c r="E1439" s="3589"/>
      <c r="F1439" s="3591"/>
      <c r="G1439" s="3593"/>
      <c r="H1439" s="3595"/>
      <c r="I1439" s="3593"/>
      <c r="J1439" s="3333"/>
      <c r="K1439" s="3598"/>
      <c r="L1439" s="3566"/>
      <c r="M1439" s="3602" t="s">
        <v>260</v>
      </c>
      <c r="N1439" s="3583"/>
      <c r="O1439" s="3585"/>
      <c r="P1439" s="3584"/>
      <c r="Q1439" s="3583"/>
      <c r="R1439" s="3584"/>
      <c r="S1439" s="3584"/>
      <c r="T1439" s="3585"/>
      <c r="U1439" s="2250"/>
      <c r="V1439" s="3577"/>
      <c r="W1439" s="3578"/>
      <c r="X1439" s="3581"/>
      <c r="Y1439" s="3582"/>
      <c r="Z1439" s="2295"/>
    </row>
    <row r="1440" spans="1:26" ht="48" customHeight="1" thickBot="1">
      <c r="A1440" s="2192"/>
      <c r="B1440" s="3586">
        <v>0.70833333333333304</v>
      </c>
      <c r="C1440" s="1844"/>
      <c r="D1440" s="3587">
        <v>30</v>
      </c>
      <c r="E1440" s="3588"/>
      <c r="F1440" s="3590"/>
      <c r="G1440" s="3592"/>
      <c r="H1440" s="3594"/>
      <c r="I1440" s="3592"/>
      <c r="J1440" s="3596">
        <f t="shared" si="151"/>
        <v>0</v>
      </c>
      <c r="K1440" s="3597">
        <f>J1440/450</f>
        <v>0</v>
      </c>
      <c r="L1440" s="3599">
        <v>1</v>
      </c>
      <c r="M1440" s="2296">
        <v>1016</v>
      </c>
      <c r="N1440" s="2297">
        <v>8</v>
      </c>
      <c r="O1440" s="3603" t="s">
        <v>44</v>
      </c>
      <c r="P1440" s="3529"/>
      <c r="Q1440" s="2299">
        <v>2</v>
      </c>
      <c r="R1440" s="2298">
        <v>0</v>
      </c>
      <c r="S1440" s="2300" t="s">
        <v>103</v>
      </c>
      <c r="T1440" s="2298">
        <v>674</v>
      </c>
      <c r="U1440" s="2250"/>
      <c r="V1440" s="3575">
        <f>VLOOKUP(M1440,'[1]TABELA FRETE'!$A$6:$B$12,2,0)</f>
        <v>425.7</v>
      </c>
      <c r="W1440" s="3576"/>
      <c r="X1440" s="3579"/>
      <c r="Y1440" s="3580"/>
      <c r="Z1440" s="2295"/>
    </row>
    <row r="1441" spans="1:26" ht="30" customHeight="1" thickBot="1">
      <c r="A1441" s="2192"/>
      <c r="B1441" s="3558"/>
      <c r="C1441" s="1844"/>
      <c r="D1441" s="3560"/>
      <c r="E1441" s="3589"/>
      <c r="F1441" s="3591"/>
      <c r="G1441" s="3593"/>
      <c r="H1441" s="3595"/>
      <c r="I1441" s="3593"/>
      <c r="J1441" s="3333"/>
      <c r="K1441" s="3598"/>
      <c r="L1441" s="3566"/>
      <c r="M1441" s="3602" t="s">
        <v>169</v>
      </c>
      <c r="N1441" s="3583"/>
      <c r="O1441" s="3585"/>
      <c r="P1441" s="3584"/>
      <c r="Q1441" s="3583"/>
      <c r="R1441" s="3584"/>
      <c r="S1441" s="3584"/>
      <c r="T1441" s="3585"/>
      <c r="U1441" s="2250"/>
      <c r="V1441" s="3577"/>
      <c r="W1441" s="3578"/>
      <c r="X1441" s="3581"/>
      <c r="Y1441" s="3582"/>
      <c r="Z1441" s="2295"/>
    </row>
    <row r="1442" spans="1:26" ht="47.25" customHeight="1" thickBot="1">
      <c r="A1442" s="2192"/>
      <c r="B1442" s="3604">
        <v>0.70833333333333304</v>
      </c>
      <c r="C1442" s="1844"/>
      <c r="D1442" s="3587">
        <v>21</v>
      </c>
      <c r="E1442" s="3588"/>
      <c r="F1442" s="3605">
        <v>33</v>
      </c>
      <c r="G1442" s="3592"/>
      <c r="H1442" s="3608"/>
      <c r="I1442" s="3592"/>
      <c r="J1442" s="3596">
        <f t="shared" ref="J1442:J1446" si="153">E1442+G1442+I1442</f>
        <v>0</v>
      </c>
      <c r="K1442" s="3597">
        <f t="shared" ref="K1442:K1444" si="154">J1442/450</f>
        <v>0</v>
      </c>
      <c r="L1442" s="3599">
        <v>1</v>
      </c>
      <c r="M1442" s="2296" t="s">
        <v>7</v>
      </c>
      <c r="N1442" s="2301">
        <v>12</v>
      </c>
      <c r="O1442" s="3610" t="s">
        <v>62</v>
      </c>
      <c r="P1442" s="3611"/>
      <c r="Q1442" s="2302">
        <v>2</v>
      </c>
      <c r="R1442" s="2302">
        <v>0</v>
      </c>
      <c r="S1442" s="2303" t="s">
        <v>170</v>
      </c>
      <c r="T1442" s="2302">
        <v>740</v>
      </c>
      <c r="U1442" s="2241"/>
      <c r="V1442" s="3575">
        <f>VLOOKUP(M1442,'[1]TABELA FRETE'!$A$6:$B$12,2,0)</f>
        <v>466.4</v>
      </c>
      <c r="W1442" s="3576"/>
      <c r="X1442" s="3579"/>
      <c r="Y1442" s="3580"/>
      <c r="Z1442" s="2295"/>
    </row>
    <row r="1443" spans="1:26" ht="30" customHeight="1" thickBot="1">
      <c r="A1443" s="2192"/>
      <c r="B1443" s="3558"/>
      <c r="C1443" s="1844"/>
      <c r="D1443" s="3560"/>
      <c r="E1443" s="3589"/>
      <c r="F1443" s="3606"/>
      <c r="G1443" s="3607"/>
      <c r="H1443" s="3609"/>
      <c r="I1443" s="3593"/>
      <c r="J1443" s="3333"/>
      <c r="K1443" s="3598"/>
      <c r="L1443" s="3566"/>
      <c r="M1443" s="3602" t="s">
        <v>171</v>
      </c>
      <c r="N1443" s="3602"/>
      <c r="O1443" s="3612"/>
      <c r="P1443" s="3602"/>
      <c r="Q1443" s="3613"/>
      <c r="R1443" s="3602"/>
      <c r="S1443" s="3602"/>
      <c r="T1443" s="3612"/>
      <c r="U1443" s="2241"/>
      <c r="V1443" s="3577"/>
      <c r="W1443" s="3578"/>
      <c r="X1443" s="3581"/>
      <c r="Y1443" s="3582"/>
      <c r="Z1443" s="2295"/>
    </row>
    <row r="1444" spans="1:26" ht="47.25" customHeight="1" thickBot="1">
      <c r="A1444" s="2192"/>
      <c r="B1444" s="3604">
        <v>0.70833333333333304</v>
      </c>
      <c r="C1444" s="1844"/>
      <c r="D1444" s="3614">
        <v>36</v>
      </c>
      <c r="E1444" s="3615"/>
      <c r="F1444" s="3616"/>
      <c r="G1444" s="3617"/>
      <c r="H1444" s="3618"/>
      <c r="I1444" s="3617"/>
      <c r="J1444" s="3619">
        <f t="shared" si="153"/>
        <v>0</v>
      </c>
      <c r="K1444" s="3620">
        <f t="shared" si="154"/>
        <v>0</v>
      </c>
      <c r="L1444" s="3621">
        <v>1</v>
      </c>
      <c r="M1444" s="2304">
        <v>1016</v>
      </c>
      <c r="N1444" s="2301">
        <v>8</v>
      </c>
      <c r="O1444" s="3610" t="s">
        <v>81</v>
      </c>
      <c r="P1444" s="3622"/>
      <c r="Q1444" s="2302">
        <v>2</v>
      </c>
      <c r="R1444" s="2302">
        <v>0</v>
      </c>
      <c r="S1444" s="2303" t="s">
        <v>163</v>
      </c>
      <c r="T1444" s="2302">
        <v>606</v>
      </c>
      <c r="U1444" s="2241"/>
      <c r="V1444" s="3575">
        <f>VLOOKUP(M1444,'[1]TABELA FRETE'!$A$6:$B$12,2,0)</f>
        <v>425.7</v>
      </c>
      <c r="W1444" s="3576"/>
      <c r="X1444" s="3579"/>
      <c r="Y1444" s="3580"/>
      <c r="Z1444" s="2295"/>
    </row>
    <row r="1445" spans="1:26" ht="30" customHeight="1" thickBot="1">
      <c r="A1445" s="2192"/>
      <c r="B1445" s="3558"/>
      <c r="C1445" s="1844"/>
      <c r="D1445" s="3560"/>
      <c r="E1445" s="3589"/>
      <c r="F1445" s="3591"/>
      <c r="G1445" s="3593"/>
      <c r="H1445" s="3609"/>
      <c r="I1445" s="3593"/>
      <c r="J1445" s="3333"/>
      <c r="K1445" s="3598"/>
      <c r="L1445" s="3566"/>
      <c r="M1445" s="3602" t="s">
        <v>172</v>
      </c>
      <c r="N1445" s="3602"/>
      <c r="O1445" s="3612"/>
      <c r="P1445" s="3602"/>
      <c r="Q1445" s="3613"/>
      <c r="R1445" s="3602"/>
      <c r="S1445" s="3602"/>
      <c r="T1445" s="3612"/>
      <c r="U1445" s="2241"/>
      <c r="V1445" s="3577"/>
      <c r="W1445" s="3578"/>
      <c r="X1445" s="3581"/>
      <c r="Y1445" s="3582"/>
      <c r="Z1445" s="2295"/>
    </row>
    <row r="1446" spans="1:26" ht="47.25" customHeight="1" thickBot="1">
      <c r="A1446" s="2192"/>
      <c r="B1446" s="3604">
        <v>0.70833333333333304</v>
      </c>
      <c r="C1446" s="1844"/>
      <c r="D1446" s="3614">
        <v>48</v>
      </c>
      <c r="E1446" s="3615"/>
      <c r="F1446" s="3616"/>
      <c r="G1446" s="3617"/>
      <c r="H1446" s="3618"/>
      <c r="I1446" s="3617"/>
      <c r="J1446" s="3619">
        <f t="shared" si="153"/>
        <v>0</v>
      </c>
      <c r="K1446" s="3620">
        <f>J1446/450</f>
        <v>0</v>
      </c>
      <c r="L1446" s="3621">
        <v>1</v>
      </c>
      <c r="M1446" s="2304">
        <v>1016</v>
      </c>
      <c r="N1446" s="2301">
        <v>8</v>
      </c>
      <c r="O1446" s="3623" t="s">
        <v>88</v>
      </c>
      <c r="P1446" s="3611"/>
      <c r="Q1446" s="2302">
        <v>1</v>
      </c>
      <c r="R1446" s="2302">
        <v>0</v>
      </c>
      <c r="S1446" s="2303" t="s">
        <v>89</v>
      </c>
      <c r="T1446" s="2302">
        <v>799</v>
      </c>
      <c r="U1446" s="2241"/>
      <c r="V1446" s="3575">
        <f>VLOOKUP(M1446,'[1]TABELA FRETE'!$A$6:$B$12,2,0)</f>
        <v>425.7</v>
      </c>
      <c r="W1446" s="3576"/>
      <c r="X1446" s="3579"/>
      <c r="Y1446" s="3580"/>
      <c r="Z1446" s="2295"/>
    </row>
    <row r="1447" spans="1:26" ht="30" customHeight="1" thickBot="1">
      <c r="A1447" s="2192"/>
      <c r="B1447" s="3558"/>
      <c r="C1447" s="1844"/>
      <c r="D1447" s="3560"/>
      <c r="E1447" s="3589"/>
      <c r="F1447" s="3591"/>
      <c r="G1447" s="3593"/>
      <c r="H1447" s="3609"/>
      <c r="I1447" s="3593"/>
      <c r="J1447" s="3333"/>
      <c r="K1447" s="3598"/>
      <c r="L1447" s="3566"/>
      <c r="M1447" s="3602" t="s">
        <v>173</v>
      </c>
      <c r="N1447" s="3602"/>
      <c r="O1447" s="3612"/>
      <c r="P1447" s="3602"/>
      <c r="Q1447" s="3613"/>
      <c r="R1447" s="3602"/>
      <c r="S1447" s="3602"/>
      <c r="T1447" s="3612"/>
      <c r="U1447" s="2241"/>
      <c r="V1447" s="3577"/>
      <c r="W1447" s="3578"/>
      <c r="X1447" s="3581"/>
      <c r="Y1447" s="3582"/>
      <c r="Z1447" s="2295"/>
    </row>
    <row r="1448" spans="1:26" ht="47.25" customHeight="1" thickBot="1">
      <c r="A1448" s="2192"/>
      <c r="B1448" s="3558">
        <v>0.70833333333333304</v>
      </c>
      <c r="C1448" s="1844"/>
      <c r="D1448" s="3560">
        <v>13</v>
      </c>
      <c r="E1448" s="3589"/>
      <c r="F1448" s="3591"/>
      <c r="G1448" s="3593"/>
      <c r="H1448" s="3609"/>
      <c r="I1448" s="3593"/>
      <c r="J1448" s="3333">
        <f t="shared" ref="J1448:J1453" si="155">E1448+G1448+I1448</f>
        <v>0</v>
      </c>
      <c r="K1448" s="3598">
        <f>J1448/450</f>
        <v>0</v>
      </c>
      <c r="L1448" s="3566">
        <v>1</v>
      </c>
      <c r="M1448" s="2304" t="s">
        <v>7</v>
      </c>
      <c r="N1448" s="2301">
        <v>12</v>
      </c>
      <c r="O1448" s="3610" t="s">
        <v>68</v>
      </c>
      <c r="P1448" s="3622"/>
      <c r="Q1448" s="2286">
        <v>1</v>
      </c>
      <c r="R1448" s="2302">
        <v>0</v>
      </c>
      <c r="S1448" s="2303" t="s">
        <v>174</v>
      </c>
      <c r="T1448" s="2302">
        <v>808</v>
      </c>
      <c r="U1448" s="2241"/>
      <c r="V1448" s="3575">
        <f>VLOOKUP(M1448,'[1]TABELA FRETE'!$D$7:$E$12,2,0)</f>
        <v>1161.5999999999999</v>
      </c>
      <c r="W1448" s="3576"/>
      <c r="X1448" s="3579"/>
      <c r="Y1448" s="3580"/>
      <c r="Z1448" s="2295"/>
    </row>
    <row r="1449" spans="1:26" ht="30" customHeight="1" thickBot="1">
      <c r="A1449" s="2192"/>
      <c r="B1449" s="3624"/>
      <c r="C1449" s="1844"/>
      <c r="D1449" s="3625"/>
      <c r="E1449" s="3626"/>
      <c r="F1449" s="3627"/>
      <c r="G1449" s="3628"/>
      <c r="H1449" s="3629"/>
      <c r="I1449" s="3628"/>
      <c r="J1449" s="3630"/>
      <c r="K1449" s="3631"/>
      <c r="L1449" s="3632"/>
      <c r="M1449" s="3637" t="s">
        <v>175</v>
      </c>
      <c r="N1449" s="3637"/>
      <c r="O1449" s="3638"/>
      <c r="P1449" s="3637"/>
      <c r="Q1449" s="3639"/>
      <c r="R1449" s="3637"/>
      <c r="S1449" s="3637"/>
      <c r="T1449" s="3638"/>
      <c r="U1449" s="2241"/>
      <c r="V1449" s="3633"/>
      <c r="W1449" s="3634"/>
      <c r="X1449" s="3635"/>
      <c r="Y1449" s="3636"/>
      <c r="Z1449" s="2295"/>
    </row>
    <row r="1450" spans="1:26" ht="6" customHeight="1" thickBot="1">
      <c r="A1450" s="2192"/>
      <c r="B1450" s="2211"/>
      <c r="C1450" s="2211"/>
      <c r="D1450" s="2305"/>
      <c r="E1450" s="2242"/>
      <c r="F1450" s="2305"/>
      <c r="G1450" s="2242"/>
      <c r="H1450" s="2306"/>
      <c r="I1450" s="2242"/>
      <c r="J1450" s="2215"/>
      <c r="K1450" s="2216"/>
      <c r="L1450" s="2215"/>
      <c r="M1450" s="2307"/>
      <c r="N1450" s="2307"/>
      <c r="O1450" s="2307"/>
      <c r="P1450" s="2307"/>
      <c r="Q1450" s="2307"/>
      <c r="R1450" s="2307"/>
      <c r="S1450" s="2307"/>
      <c r="T1450" s="2307"/>
      <c r="U1450" s="2241"/>
      <c r="V1450" s="2172"/>
      <c r="W1450" s="2172"/>
      <c r="X1450" s="1929"/>
      <c r="Y1450" s="1929"/>
      <c r="Z1450" s="2295"/>
    </row>
    <row r="1451" spans="1:26" ht="47.25" customHeight="1" thickBot="1">
      <c r="A1451" s="2192"/>
      <c r="B1451" s="3640">
        <v>0.91666666666666663</v>
      </c>
      <c r="C1451" s="1844"/>
      <c r="D1451" s="3642">
        <v>27</v>
      </c>
      <c r="E1451" s="3562"/>
      <c r="F1451" s="3645">
        <v>15</v>
      </c>
      <c r="G1451" s="3647"/>
      <c r="H1451" s="3649"/>
      <c r="I1451" s="3651"/>
      <c r="J1451" s="3652">
        <f t="shared" si="155"/>
        <v>0</v>
      </c>
      <c r="K1451" s="3654">
        <f>J1451/450</f>
        <v>0</v>
      </c>
      <c r="L1451" s="3656">
        <v>1</v>
      </c>
      <c r="M1451" s="1835">
        <v>1016</v>
      </c>
      <c r="N1451" s="2308">
        <v>8</v>
      </c>
      <c r="O1451" s="2309" t="s">
        <v>106</v>
      </c>
      <c r="P1451" s="2310"/>
      <c r="Q1451" s="2311">
        <v>2</v>
      </c>
      <c r="R1451" s="2311">
        <v>0</v>
      </c>
      <c r="S1451" s="2312" t="s">
        <v>233</v>
      </c>
      <c r="T1451" s="2313">
        <v>606</v>
      </c>
      <c r="U1451" s="2241"/>
      <c r="V1451" s="3575">
        <f>VLOOKUP(M1451,'[1]TABELA FRETE'!$A$6:$B$12,2,0)</f>
        <v>425.7</v>
      </c>
      <c r="W1451" s="3658"/>
      <c r="X1451" s="3579"/>
      <c r="Y1451" s="3580"/>
      <c r="Z1451" s="2295"/>
    </row>
    <row r="1452" spans="1:26" ht="30" customHeight="1" thickBot="1">
      <c r="A1452" s="2192"/>
      <c r="B1452" s="3641"/>
      <c r="C1452" s="1844"/>
      <c r="D1452" s="3643"/>
      <c r="E1452" s="3644"/>
      <c r="F1452" s="3646"/>
      <c r="G1452" s="3648"/>
      <c r="H1452" s="3650"/>
      <c r="I1452" s="3607"/>
      <c r="J1452" s="3653"/>
      <c r="K1452" s="3655"/>
      <c r="L1452" s="3657"/>
      <c r="M1452" s="3583" t="s">
        <v>176</v>
      </c>
      <c r="N1452" s="3584"/>
      <c r="O1452" s="3585"/>
      <c r="P1452" s="3584"/>
      <c r="Q1452" s="3583"/>
      <c r="R1452" s="3584"/>
      <c r="S1452" s="3584"/>
      <c r="T1452" s="3585"/>
      <c r="U1452" s="2241"/>
      <c r="V1452" s="3577"/>
      <c r="W1452" s="3659"/>
      <c r="X1452" s="3581"/>
      <c r="Y1452" s="3582"/>
      <c r="Z1452" s="2295"/>
    </row>
    <row r="1453" spans="1:26" ht="47.25" customHeight="1" thickBot="1">
      <c r="A1453" s="2192"/>
      <c r="B1453" s="3604">
        <v>0.91666666666666663</v>
      </c>
      <c r="C1453" s="1844"/>
      <c r="D1453" s="3660">
        <v>7</v>
      </c>
      <c r="E1453" s="3615"/>
      <c r="F1453" s="3662"/>
      <c r="G1453" s="3617"/>
      <c r="H1453" s="3618"/>
      <c r="I1453" s="3617"/>
      <c r="J1453" s="3619">
        <f t="shared" si="155"/>
        <v>0</v>
      </c>
      <c r="K1453" s="3620">
        <f>J1453/450</f>
        <v>0</v>
      </c>
      <c r="L1453" s="3664">
        <v>1</v>
      </c>
      <c r="M1453" s="2296" t="s">
        <v>7</v>
      </c>
      <c r="N1453" s="2301">
        <v>12</v>
      </c>
      <c r="O1453" s="3610" t="s">
        <v>50</v>
      </c>
      <c r="P1453" s="3623"/>
      <c r="Q1453" s="2302">
        <v>2</v>
      </c>
      <c r="R1453" s="2302">
        <v>0</v>
      </c>
      <c r="S1453" s="2303" t="s">
        <v>177</v>
      </c>
      <c r="T1453" s="2302">
        <v>612</v>
      </c>
      <c r="U1453" s="2241"/>
      <c r="V1453" s="3575">
        <f>VLOOKUP(M1453,'[1]TABELA FRETE'!$A$6:$B$12,2,0)</f>
        <v>466.4</v>
      </c>
      <c r="W1453" s="3658"/>
      <c r="X1453" s="3579"/>
      <c r="Y1453" s="3580"/>
      <c r="Z1453" s="2295"/>
    </row>
    <row r="1454" spans="1:26" ht="30" customHeight="1" thickBot="1">
      <c r="A1454" s="2192"/>
      <c r="B1454" s="3624"/>
      <c r="C1454" s="1844"/>
      <c r="D1454" s="3661"/>
      <c r="E1454" s="3626"/>
      <c r="F1454" s="3663"/>
      <c r="G1454" s="3628"/>
      <c r="H1454" s="3629"/>
      <c r="I1454" s="3628"/>
      <c r="J1454" s="3630"/>
      <c r="K1454" s="3631"/>
      <c r="L1454" s="3665"/>
      <c r="M1454" s="3583" t="s">
        <v>178</v>
      </c>
      <c r="N1454" s="3584"/>
      <c r="O1454" s="3585"/>
      <c r="P1454" s="3584"/>
      <c r="Q1454" s="3583"/>
      <c r="R1454" s="3584"/>
      <c r="S1454" s="3584"/>
      <c r="T1454" s="3585"/>
      <c r="U1454" s="2241"/>
      <c r="V1454" s="3577"/>
      <c r="W1454" s="3659"/>
      <c r="X1454" s="3581"/>
      <c r="Y1454" s="3582"/>
      <c r="Z1454" s="2295"/>
    </row>
    <row r="1455" spans="1:26" s="303" customFormat="1" ht="6" customHeight="1" thickBot="1">
      <c r="A1455" s="2280"/>
      <c r="B1455" s="2211"/>
      <c r="C1455" s="2211"/>
      <c r="D1455" s="2314"/>
      <c r="E1455" s="2242"/>
      <c r="F1455" s="2314"/>
      <c r="G1455" s="2242"/>
      <c r="H1455" s="2306"/>
      <c r="I1455" s="2242"/>
      <c r="J1455" s="2215"/>
      <c r="K1455" s="2216"/>
      <c r="L1455" s="2215"/>
      <c r="M1455" s="2315"/>
      <c r="N1455" s="2316"/>
      <c r="O1455" s="2315"/>
      <c r="P1455" s="2315"/>
      <c r="Q1455" s="2315"/>
      <c r="R1455" s="2315"/>
      <c r="S1455" s="2315"/>
      <c r="T1455" s="2315"/>
      <c r="U1455" s="2250"/>
      <c r="V1455" s="1928"/>
      <c r="W1455" s="1928"/>
      <c r="X1455" s="2317"/>
      <c r="Y1455" s="2317"/>
      <c r="Z1455" s="2318"/>
    </row>
    <row r="1456" spans="1:26" ht="48" customHeight="1" thickBot="1">
      <c r="A1456" s="2192"/>
      <c r="B1456" s="3666" t="s">
        <v>108</v>
      </c>
      <c r="C1456" s="3667"/>
      <c r="D1456" s="3668"/>
      <c r="E1456" s="1835">
        <f>SUM(E1389:E1454)</f>
        <v>0</v>
      </c>
      <c r="F1456" s="2072" t="s">
        <v>109</v>
      </c>
      <c r="G1456" s="2072">
        <f>SUM(G1389:G1454)</f>
        <v>0</v>
      </c>
      <c r="H1456" s="2072" t="s">
        <v>109</v>
      </c>
      <c r="I1456" s="1836">
        <f>SUM(I1389:I1454)</f>
        <v>0</v>
      </c>
      <c r="J1456" s="1836">
        <f>E1456+G1456+I1456</f>
        <v>0</v>
      </c>
      <c r="K1456" s="2073">
        <f>SUM(K1389:K1454)</f>
        <v>0</v>
      </c>
      <c r="L1456" s="2074">
        <f>SUM(L1389:L1454)</f>
        <v>52</v>
      </c>
      <c r="M1456" s="2075" t="s">
        <v>110</v>
      </c>
      <c r="N1456" s="2069">
        <f>SUM(N1389:N1445)</f>
        <v>56</v>
      </c>
      <c r="O1456" s="3501" t="s">
        <v>32</v>
      </c>
      <c r="P1456" s="3501"/>
      <c r="Q1456" s="3291"/>
      <c r="R1456" s="2319">
        <f>K1456</f>
        <v>0</v>
      </c>
      <c r="S1456" s="2320" t="s">
        <v>111</v>
      </c>
      <c r="T1456" s="2321"/>
      <c r="U1456" s="2241"/>
      <c r="V1456" s="3472" t="e">
        <f>SUM(V1389:W1454)</f>
        <v>#N/A</v>
      </c>
      <c r="W1456" s="3473"/>
      <c r="X1456" s="3474">
        <f>COUNT(X1389:Y1454)</f>
        <v>0</v>
      </c>
      <c r="Y1456" s="3475"/>
      <c r="Z1456" s="2295"/>
    </row>
    <row r="1457" spans="1:26" ht="40.5" customHeight="1" thickBot="1">
      <c r="A1457" s="2192"/>
      <c r="B1457" s="3288" t="s">
        <v>112</v>
      </c>
      <c r="C1457" s="3346"/>
      <c r="D1457" s="3346"/>
      <c r="E1457" s="3346"/>
      <c r="F1457" s="3346"/>
      <c r="G1457" s="3346"/>
      <c r="H1457" s="3346"/>
      <c r="I1457" s="3346"/>
      <c r="J1457" s="3289"/>
      <c r="K1457" s="2079">
        <v>44</v>
      </c>
      <c r="L1457" s="3346" t="s">
        <v>113</v>
      </c>
      <c r="M1457" s="3289"/>
      <c r="N1457" s="3347" t="s">
        <v>114</v>
      </c>
      <c r="O1457" s="3348"/>
      <c r="P1457" s="3348"/>
      <c r="Q1457" s="3348"/>
      <c r="R1457" s="3349"/>
      <c r="S1457" s="3347" t="s">
        <v>115</v>
      </c>
      <c r="T1457" s="3349"/>
      <c r="U1457" s="2241"/>
      <c r="V1457" s="3338"/>
      <c r="W1457" s="3339"/>
      <c r="X1457" s="3342"/>
      <c r="Y1457" s="3343"/>
      <c r="Z1457" s="2295"/>
    </row>
    <row r="1458" spans="1:26" ht="3.95" customHeight="1" thickBot="1">
      <c r="A1458" s="2192"/>
      <c r="B1458" s="3350" t="s">
        <v>116</v>
      </c>
      <c r="C1458" s="3351"/>
      <c r="D1458" s="3351"/>
      <c r="E1458" s="3356">
        <f>L1456</f>
        <v>52</v>
      </c>
      <c r="F1458" s="3350" t="s">
        <v>30</v>
      </c>
      <c r="G1458" s="3351"/>
      <c r="H1458" s="3354">
        <f>J1456</f>
        <v>0</v>
      </c>
      <c r="I1458" s="3356"/>
      <c r="J1458" s="3350" t="s">
        <v>117</v>
      </c>
      <c r="K1458" s="3356">
        <f>H1458/E1458</f>
        <v>0</v>
      </c>
      <c r="L1458" s="3669" t="s">
        <v>118</v>
      </c>
      <c r="M1458" s="3354"/>
      <c r="N1458" s="3354"/>
      <c r="O1458" s="3356">
        <v>44</v>
      </c>
      <c r="P1458" s="2080"/>
      <c r="Q1458" s="2080"/>
      <c r="R1458" s="2080"/>
      <c r="S1458" s="2080"/>
      <c r="T1458" s="2322"/>
      <c r="U1458" s="2241"/>
      <c r="V1458" s="3340"/>
      <c r="W1458" s="3341"/>
      <c r="X1458" s="3344"/>
      <c r="Y1458" s="3345"/>
      <c r="Z1458" s="2295"/>
    </row>
    <row r="1459" spans="1:26" ht="48" customHeight="1" thickBot="1">
      <c r="A1459" s="2192"/>
      <c r="B1459" s="3352"/>
      <c r="C1459" s="3353"/>
      <c r="D1459" s="3353"/>
      <c r="E1459" s="3357"/>
      <c r="F1459" s="3352"/>
      <c r="G1459" s="3353"/>
      <c r="H1459" s="3355"/>
      <c r="I1459" s="3357"/>
      <c r="J1459" s="3352"/>
      <c r="K1459" s="3357"/>
      <c r="L1459" s="3670"/>
      <c r="M1459" s="3355"/>
      <c r="N1459" s="3355"/>
      <c r="O1459" s="3357"/>
      <c r="P1459" s="2082"/>
      <c r="Q1459" s="3358" t="s">
        <v>119</v>
      </c>
      <c r="R1459" s="3359"/>
      <c r="S1459" s="3359"/>
      <c r="T1459" s="3360"/>
      <c r="U1459" s="2241"/>
      <c r="V1459" s="3361" t="s">
        <v>120</v>
      </c>
      <c r="W1459" s="3362"/>
      <c r="X1459" s="3365" t="s">
        <v>121</v>
      </c>
      <c r="Y1459" s="3366"/>
      <c r="Z1459" s="2295"/>
    </row>
    <row r="1460" spans="1:26" ht="52.5" customHeight="1">
      <c r="A1460" s="2192"/>
      <c r="B1460" s="3671" t="s">
        <v>122</v>
      </c>
      <c r="C1460" s="3673" t="s">
        <v>33</v>
      </c>
      <c r="D1460" s="3674"/>
      <c r="E1460" s="3397" t="s">
        <v>123</v>
      </c>
      <c r="F1460" s="3398"/>
      <c r="G1460" s="3398"/>
      <c r="H1460" s="3398"/>
      <c r="I1460" s="3398"/>
      <c r="J1460" s="3398"/>
      <c r="K1460" s="3398"/>
      <c r="L1460" s="3398"/>
      <c r="M1460" s="3398"/>
      <c r="N1460" s="3398"/>
      <c r="O1460" s="3399"/>
      <c r="P1460" s="2083"/>
      <c r="Q1460" s="3677" t="s">
        <v>179</v>
      </c>
      <c r="R1460" s="3678"/>
      <c r="S1460" s="3678"/>
      <c r="T1460" s="3679"/>
      <c r="U1460" s="2241"/>
      <c r="V1460" s="3361"/>
      <c r="W1460" s="3362"/>
      <c r="X1460" s="3365"/>
      <c r="Y1460" s="3366"/>
      <c r="Z1460" s="2295"/>
    </row>
    <row r="1461" spans="1:26" ht="52.5" customHeight="1" thickBot="1">
      <c r="A1461" s="2192"/>
      <c r="B1461" s="3672"/>
      <c r="C1461" s="3675"/>
      <c r="D1461" s="3676"/>
      <c r="E1461" s="3400"/>
      <c r="F1461" s="3401"/>
      <c r="G1461" s="3401"/>
      <c r="H1461" s="3401"/>
      <c r="I1461" s="3401"/>
      <c r="J1461" s="3401"/>
      <c r="K1461" s="3401"/>
      <c r="L1461" s="3401"/>
      <c r="M1461" s="3401"/>
      <c r="N1461" s="3401"/>
      <c r="O1461" s="3402"/>
      <c r="P1461" s="2084"/>
      <c r="Q1461" s="3680"/>
      <c r="R1461" s="3681"/>
      <c r="S1461" s="3681"/>
      <c r="T1461" s="3682"/>
      <c r="U1461" s="2241"/>
      <c r="V1461" s="3363"/>
      <c r="W1461" s="3364"/>
      <c r="X1461" s="3367"/>
      <c r="Y1461" s="3368"/>
      <c r="Z1461" s="2295"/>
    </row>
    <row r="1462" spans="1:26" ht="52.5" customHeight="1" thickBot="1">
      <c r="A1462" s="2192"/>
      <c r="B1462" s="2323" t="s">
        <v>9</v>
      </c>
      <c r="C1462" s="3683">
        <f>COUNTIF(M1389:M1454,"kia")</f>
        <v>1</v>
      </c>
      <c r="D1462" s="3684"/>
      <c r="E1462" s="3397" t="s">
        <v>127</v>
      </c>
      <c r="F1462" s="3398"/>
      <c r="G1462" s="3398"/>
      <c r="H1462" s="3398"/>
      <c r="I1462" s="3398"/>
      <c r="J1462" s="3398"/>
      <c r="K1462" s="3398"/>
      <c r="L1462" s="3398"/>
      <c r="M1462" s="3398"/>
      <c r="N1462" s="3398"/>
      <c r="O1462" s="3399"/>
      <c r="P1462" s="2084"/>
      <c r="Q1462" s="3685" t="s">
        <v>126</v>
      </c>
      <c r="R1462" s="3686"/>
      <c r="S1462" s="3686"/>
      <c r="T1462" s="3687"/>
      <c r="U1462" s="2241"/>
      <c r="V1462" s="1838"/>
      <c r="W1462" s="1838"/>
      <c r="X1462" s="1838"/>
      <c r="Y1462" s="1838"/>
      <c r="Z1462" s="2295"/>
    </row>
    <row r="1463" spans="1:26" ht="52.5" customHeight="1" thickBot="1">
      <c r="A1463" s="2192"/>
      <c r="B1463" s="2324" t="s">
        <v>8</v>
      </c>
      <c r="C1463" s="3688">
        <f>COUNTIF(M1389:M1454,"IVECO")</f>
        <v>1</v>
      </c>
      <c r="D1463" s="3689"/>
      <c r="E1463" s="3400"/>
      <c r="F1463" s="3401"/>
      <c r="G1463" s="3401"/>
      <c r="H1463" s="3401"/>
      <c r="I1463" s="3401"/>
      <c r="J1463" s="3401"/>
      <c r="K1463" s="3401"/>
      <c r="L1463" s="3401"/>
      <c r="M1463" s="3401"/>
      <c r="N1463" s="3401"/>
      <c r="O1463" s="3402"/>
      <c r="P1463" s="2084"/>
      <c r="Q1463" s="3690" t="s">
        <v>735</v>
      </c>
      <c r="R1463" s="3691"/>
      <c r="S1463" s="3691"/>
      <c r="T1463" s="3692"/>
      <c r="U1463" s="2241"/>
      <c r="V1463" s="3412" t="s">
        <v>129</v>
      </c>
      <c r="W1463" s="3413"/>
      <c r="X1463" s="3413"/>
      <c r="Y1463" s="3414"/>
      <c r="Z1463" s="2295"/>
    </row>
    <row r="1464" spans="1:26" ht="52.5" customHeight="1" thickBot="1">
      <c r="A1464" s="2192"/>
      <c r="B1464" s="2324">
        <v>1016</v>
      </c>
      <c r="C1464" s="3688">
        <f>COUNTIF(M1389:M1454,"1016")</f>
        <v>7</v>
      </c>
      <c r="D1464" s="3689"/>
      <c r="E1464" s="3421" t="s">
        <v>131</v>
      </c>
      <c r="F1464" s="3422"/>
      <c r="G1464" s="3422"/>
      <c r="H1464" s="3422"/>
      <c r="I1464" s="3422"/>
      <c r="J1464" s="3422"/>
      <c r="K1464" s="3422"/>
      <c r="L1464" s="3422"/>
      <c r="M1464" s="3422"/>
      <c r="N1464" s="3422"/>
      <c r="O1464" s="3423"/>
      <c r="P1464" s="2084"/>
      <c r="Q1464" s="3693"/>
      <c r="R1464" s="3694"/>
      <c r="S1464" s="3694"/>
      <c r="T1464" s="3695"/>
      <c r="U1464" s="2241"/>
      <c r="V1464" s="3415" t="s">
        <v>130</v>
      </c>
      <c r="W1464" s="3416"/>
      <c r="X1464" s="3416"/>
      <c r="Y1464" s="3417"/>
      <c r="Z1464" s="2295"/>
    </row>
    <row r="1465" spans="1:26" ht="52.5" customHeight="1" thickBot="1">
      <c r="A1465" s="2192"/>
      <c r="B1465" s="2324" t="s">
        <v>7</v>
      </c>
      <c r="C1465" s="3688">
        <f>COUNTIF(M1389:M1454,"TOCO")</f>
        <v>3</v>
      </c>
      <c r="D1465" s="3689"/>
      <c r="E1465" s="3447" t="s">
        <v>181</v>
      </c>
      <c r="F1465" s="3448"/>
      <c r="G1465" s="3448"/>
      <c r="H1465" s="3448"/>
      <c r="I1465" s="3448"/>
      <c r="J1465" s="3448"/>
      <c r="K1465" s="3448"/>
      <c r="L1465" s="3448"/>
      <c r="M1465" s="3448"/>
      <c r="N1465" s="3448"/>
      <c r="O1465" s="3449"/>
      <c r="P1465" s="2083"/>
      <c r="Q1465" s="3696" t="s">
        <v>132</v>
      </c>
      <c r="R1465" s="3697"/>
      <c r="S1465" s="3697"/>
      <c r="T1465" s="3698"/>
      <c r="U1465" s="2241"/>
      <c r="V1465" s="3418"/>
      <c r="W1465" s="3419"/>
      <c r="X1465" s="3419"/>
      <c r="Y1465" s="3420"/>
      <c r="Z1465" s="2295"/>
    </row>
    <row r="1466" spans="1:26" ht="52.5" customHeight="1" thickBot="1">
      <c r="A1466" s="2192"/>
      <c r="B1466" s="2325" t="s">
        <v>6</v>
      </c>
      <c r="C1466" s="3705">
        <f>COUNTIF(M1389:M1454,"TRUCK")</f>
        <v>0</v>
      </c>
      <c r="D1466" s="3706"/>
      <c r="E1466" s="3424"/>
      <c r="F1466" s="3425"/>
      <c r="G1466" s="3425"/>
      <c r="H1466" s="3425"/>
      <c r="I1466" s="3425"/>
      <c r="J1466" s="3425"/>
      <c r="K1466" s="3425"/>
      <c r="L1466" s="3425"/>
      <c r="M1466" s="3425"/>
      <c r="N1466" s="3425"/>
      <c r="O1466" s="3426"/>
      <c r="P1466" s="2083"/>
      <c r="Q1466" s="3699"/>
      <c r="R1466" s="3700"/>
      <c r="S1466" s="3700"/>
      <c r="T1466" s="3701"/>
      <c r="U1466" s="2250"/>
      <c r="V1466" s="3435" t="s">
        <v>133</v>
      </c>
      <c r="W1466" s="3436"/>
      <c r="X1466" s="3441">
        <f>SUM(E1389:E1454,G1389:G1454,I1389:I1454)</f>
        <v>0</v>
      </c>
      <c r="Y1466" s="3442"/>
      <c r="Z1466" s="2295"/>
    </row>
    <row r="1467" spans="1:26" ht="52.5" customHeight="1" thickBot="1">
      <c r="A1467" s="2192"/>
      <c r="B1467" s="3673" t="s">
        <v>134</v>
      </c>
      <c r="C1467" s="3707">
        <f>C1462+C1463+C1464+C1465+C1466</f>
        <v>12</v>
      </c>
      <c r="D1467" s="3674"/>
      <c r="E1467" s="3447" t="s">
        <v>182</v>
      </c>
      <c r="F1467" s="3448"/>
      <c r="G1467" s="3448"/>
      <c r="H1467" s="3448"/>
      <c r="I1467" s="3448"/>
      <c r="J1467" s="3448"/>
      <c r="K1467" s="3448"/>
      <c r="L1467" s="3448"/>
      <c r="M1467" s="3448"/>
      <c r="N1467" s="3448"/>
      <c r="O1467" s="3449"/>
      <c r="P1467" s="2088"/>
      <c r="Q1467" s="3702"/>
      <c r="R1467" s="3703"/>
      <c r="S1467" s="3703"/>
      <c r="T1467" s="3704"/>
      <c r="U1467" s="2241"/>
      <c r="V1467" s="3437"/>
      <c r="W1467" s="3438"/>
      <c r="X1467" s="3443"/>
      <c r="Y1467" s="3444"/>
      <c r="Z1467" s="2295"/>
    </row>
    <row r="1468" spans="1:26" ht="52.5" customHeight="1" thickBot="1">
      <c r="A1468" s="2192"/>
      <c r="B1468" s="3675"/>
      <c r="C1468" s="3708"/>
      <c r="D1468" s="3676"/>
      <c r="E1468" s="3424"/>
      <c r="F1468" s="3425"/>
      <c r="G1468" s="3425"/>
      <c r="H1468" s="3425"/>
      <c r="I1468" s="3425"/>
      <c r="J1468" s="3425"/>
      <c r="K1468" s="3425"/>
      <c r="L1468" s="3425"/>
      <c r="M1468" s="3425"/>
      <c r="N1468" s="3425"/>
      <c r="O1468" s="3426"/>
      <c r="P1468" s="2326"/>
      <c r="Q1468" s="3699" t="s">
        <v>183</v>
      </c>
      <c r="R1468" s="3700"/>
      <c r="S1468" s="3700"/>
      <c r="T1468" s="3701"/>
      <c r="U1468" s="2241"/>
      <c r="V1468" s="3437"/>
      <c r="W1468" s="3438"/>
      <c r="X1468" s="3443"/>
      <c r="Y1468" s="3444"/>
      <c r="Z1468" s="2295"/>
    </row>
    <row r="1469" spans="1:26" ht="52.5" customHeight="1" thickBot="1">
      <c r="A1469" s="2192"/>
      <c r="B1469" s="2091" t="s">
        <v>136</v>
      </c>
      <c r="C1469" s="3450" t="s">
        <v>137</v>
      </c>
      <c r="D1469" s="3451"/>
      <c r="E1469" s="3451"/>
      <c r="F1469" s="3451"/>
      <c r="G1469" s="3451"/>
      <c r="H1469" s="3451"/>
      <c r="I1469" s="3451"/>
      <c r="J1469" s="3451"/>
      <c r="K1469" s="3451"/>
      <c r="L1469" s="3451"/>
      <c r="M1469" s="3451"/>
      <c r="N1469" s="3451"/>
      <c r="O1469" s="3452"/>
      <c r="P1469" s="2327"/>
      <c r="Q1469" s="3702"/>
      <c r="R1469" s="3703"/>
      <c r="S1469" s="3703"/>
      <c r="T1469" s="3704"/>
      <c r="U1469" s="2241"/>
      <c r="V1469" s="3439"/>
      <c r="W1469" s="3440"/>
      <c r="X1469" s="3445"/>
      <c r="Y1469" s="3446"/>
      <c r="Z1469" s="2295"/>
    </row>
    <row r="1478" spans="1:26" ht="13.5" thickBot="1"/>
    <row r="1479" spans="1:26" s="1823" customFormat="1" ht="42.75" customHeight="1" thickBot="1">
      <c r="A1479" s="1823" t="s">
        <v>17</v>
      </c>
      <c r="B1479" s="3258"/>
      <c r="C1479" s="3259"/>
      <c r="D1479" s="3259"/>
      <c r="E1479" s="3259"/>
      <c r="F1479" s="3259"/>
      <c r="G1479" s="3259"/>
      <c r="H1479" s="3259"/>
      <c r="I1479" s="3260"/>
      <c r="J1479" s="3264" t="s">
        <v>18</v>
      </c>
      <c r="K1479" s="3265"/>
      <c r="L1479" s="3265"/>
      <c r="M1479" s="3265"/>
      <c r="N1479" s="3265"/>
      <c r="O1479" s="3265"/>
      <c r="P1479" s="3265"/>
      <c r="Q1479" s="3266"/>
      <c r="R1479" s="3709">
        <v>46167</v>
      </c>
      <c r="S1479" s="3710"/>
      <c r="T1479" s="3711"/>
      <c r="U1479" s="1824"/>
      <c r="V1479" s="3273" t="s">
        <v>19</v>
      </c>
      <c r="W1479" s="3274"/>
      <c r="X1479" s="3273" t="s">
        <v>19</v>
      </c>
      <c r="Y1479" s="3274"/>
    </row>
    <row r="1480" spans="1:26" s="1823" customFormat="1" ht="42.75" customHeight="1" thickBot="1">
      <c r="B1480" s="3261"/>
      <c r="C1480" s="3262"/>
      <c r="D1480" s="3262"/>
      <c r="E1480" s="3262"/>
      <c r="F1480" s="3262"/>
      <c r="G1480" s="3262"/>
      <c r="H1480" s="3262"/>
      <c r="I1480" s="3263"/>
      <c r="J1480" s="3277" t="s">
        <v>20</v>
      </c>
      <c r="K1480" s="3278"/>
      <c r="L1480" s="3278"/>
      <c r="M1480" s="3278"/>
      <c r="N1480" s="3278"/>
      <c r="O1480" s="3278"/>
      <c r="P1480" s="3278"/>
      <c r="Q1480" s="3279"/>
      <c r="R1480" s="3712"/>
      <c r="S1480" s="3713"/>
      <c r="T1480" s="3714"/>
      <c r="U1480" s="1824"/>
      <c r="V1480" s="3275"/>
      <c r="W1480" s="3276"/>
      <c r="X1480" s="3275"/>
      <c r="Y1480" s="3276"/>
    </row>
    <row r="1481" spans="1:26" s="1823" customFormat="1" ht="6" customHeight="1" thickBot="1">
      <c r="B1481" s="1828"/>
      <c r="C1481" s="1829"/>
      <c r="D1481" s="1825"/>
      <c r="E1481" s="1825"/>
      <c r="F1481" s="1825"/>
      <c r="G1481" s="1825"/>
      <c r="H1481" s="1825"/>
      <c r="I1481" s="1825"/>
      <c r="J1481" s="3280"/>
      <c r="K1481" s="3281"/>
      <c r="L1481" s="3281"/>
      <c r="M1481" s="3281"/>
      <c r="N1481" s="3281"/>
      <c r="O1481" s="3281"/>
      <c r="P1481" s="3281"/>
      <c r="Q1481" s="3282"/>
      <c r="R1481" s="1830" t="s">
        <v>21</v>
      </c>
      <c r="S1481" s="1830"/>
      <c r="T1481" s="1831"/>
      <c r="U1481" s="1824"/>
      <c r="V1481" s="1826"/>
      <c r="W1481" s="1827"/>
      <c r="X1481" s="1826"/>
      <c r="Y1481" s="1827"/>
    </row>
    <row r="1482" spans="1:26" s="1823" customFormat="1" ht="48.95" customHeight="1" thickBot="1">
      <c r="B1482" s="3286" t="s">
        <v>22</v>
      </c>
      <c r="C1482" s="1832"/>
      <c r="D1482" s="3288" t="s">
        <v>23</v>
      </c>
      <c r="E1482" s="3289"/>
      <c r="F1482" s="3288" t="s">
        <v>24</v>
      </c>
      <c r="G1482" s="3289"/>
      <c r="H1482" s="3288" t="s">
        <v>25</v>
      </c>
      <c r="I1482" s="3289"/>
      <c r="J1482" s="3283"/>
      <c r="K1482" s="3284"/>
      <c r="L1482" s="3284"/>
      <c r="M1482" s="3284"/>
      <c r="N1482" s="3284"/>
      <c r="O1482" s="3284"/>
      <c r="P1482" s="3284"/>
      <c r="Q1482" s="3285"/>
      <c r="R1482" s="3290" t="s">
        <v>26</v>
      </c>
      <c r="S1482" s="3291"/>
      <c r="T1482" s="1837">
        <f>L1542</f>
        <v>54</v>
      </c>
      <c r="U1482" s="1838"/>
      <c r="V1482" s="3292" t="s">
        <v>27</v>
      </c>
      <c r="W1482" s="3293"/>
      <c r="X1482" s="3292" t="s">
        <v>28</v>
      </c>
      <c r="Y1482" s="3293"/>
      <c r="Z1482" s="1839"/>
    </row>
    <row r="1483" spans="1:26" s="1823" customFormat="1" ht="45.95" customHeight="1" thickBot="1">
      <c r="B1483" s="3287"/>
      <c r="C1483" s="1832"/>
      <c r="D1483" s="2328" t="s">
        <v>29</v>
      </c>
      <c r="E1483" s="2328" t="s">
        <v>30</v>
      </c>
      <c r="F1483" s="2328" t="s">
        <v>29</v>
      </c>
      <c r="G1483" s="2328" t="s">
        <v>30</v>
      </c>
      <c r="H1483" s="2328" t="s">
        <v>29</v>
      </c>
      <c r="I1483" s="2328" t="s">
        <v>30</v>
      </c>
      <c r="J1483" s="2329" t="s">
        <v>31</v>
      </c>
      <c r="K1483" s="2328" t="s">
        <v>32</v>
      </c>
      <c r="L1483" s="1840" t="s">
        <v>33</v>
      </c>
      <c r="M1483" s="1840" t="s">
        <v>34</v>
      </c>
      <c r="N1483" s="1840" t="s">
        <v>32</v>
      </c>
      <c r="O1483" s="1833" t="s">
        <v>35</v>
      </c>
      <c r="P1483" s="1834"/>
      <c r="Q1483" s="1840" t="s">
        <v>36</v>
      </c>
      <c r="R1483" s="1840" t="s">
        <v>37</v>
      </c>
      <c r="S1483" s="1840" t="s">
        <v>38</v>
      </c>
      <c r="T1483" s="1841" t="s">
        <v>39</v>
      </c>
      <c r="U1483" s="1838"/>
      <c r="V1483" s="3294"/>
      <c r="W1483" s="3295"/>
      <c r="X1483" s="3294"/>
      <c r="Y1483" s="3295"/>
      <c r="Z1483" s="1839"/>
    </row>
    <row r="1484" spans="1:26" s="2330" customFormat="1" ht="48" customHeight="1" thickBot="1">
      <c r="B1484" s="2331">
        <v>0.33333333334303461</v>
      </c>
      <c r="C1484" s="2332"/>
      <c r="D1484" s="2333">
        <v>15</v>
      </c>
      <c r="E1484" s="2334">
        <v>1000</v>
      </c>
      <c r="F1484" s="2333">
        <v>25</v>
      </c>
      <c r="G1484" s="2335">
        <v>2000</v>
      </c>
      <c r="H1484" s="2336">
        <v>31</v>
      </c>
      <c r="I1484" s="2337">
        <v>2000</v>
      </c>
      <c r="J1484" s="2335">
        <f t="shared" ref="J1484:J1493" si="156">E1484+G1484+I1484</f>
        <v>5000</v>
      </c>
      <c r="K1484" s="2338">
        <f t="shared" ref="K1484:K1493" si="157">J1484/500</f>
        <v>10</v>
      </c>
      <c r="L1484" s="2337">
        <v>1</v>
      </c>
      <c r="M1484" s="2339" t="s">
        <v>6</v>
      </c>
      <c r="N1484" s="2340">
        <v>14</v>
      </c>
      <c r="O1484" s="3715" t="s">
        <v>64</v>
      </c>
      <c r="P1484" s="3716"/>
      <c r="Q1484" s="2341">
        <v>2</v>
      </c>
      <c r="R1484" s="2342">
        <v>6</v>
      </c>
      <c r="S1484" s="2343" t="s">
        <v>187</v>
      </c>
      <c r="T1484" s="2341">
        <v>598</v>
      </c>
      <c r="V1484" s="3320">
        <f>VLOOKUP(M1484,'[1]TABELA FRETE'!$A$6:$B$12,2,0)</f>
        <v>489.5</v>
      </c>
      <c r="W1484" s="3321"/>
      <c r="X1484" s="3322"/>
      <c r="Y1484" s="3323"/>
    </row>
    <row r="1485" spans="1:26" s="2330" customFormat="1" ht="48" customHeight="1" thickBot="1">
      <c r="B1485" s="2344">
        <v>0.33333333334303461</v>
      </c>
      <c r="C1485" s="2332"/>
      <c r="D1485" s="2345">
        <v>4</v>
      </c>
      <c r="E1485" s="2346">
        <v>1000</v>
      </c>
      <c r="F1485" s="2345">
        <v>18</v>
      </c>
      <c r="G1485" s="2347">
        <v>1500</v>
      </c>
      <c r="H1485" s="2345"/>
      <c r="I1485" s="2348"/>
      <c r="J1485" s="2349">
        <f t="shared" si="156"/>
        <v>2500</v>
      </c>
      <c r="K1485" s="2350">
        <f t="shared" si="157"/>
        <v>5</v>
      </c>
      <c r="L1485" s="2348">
        <v>1</v>
      </c>
      <c r="M1485" s="2351">
        <v>1016</v>
      </c>
      <c r="N1485" s="2352">
        <v>7</v>
      </c>
      <c r="O1485" s="3717" t="s">
        <v>56</v>
      </c>
      <c r="P1485" s="3718"/>
      <c r="Q1485" s="2353">
        <v>1</v>
      </c>
      <c r="R1485" s="2354">
        <v>0</v>
      </c>
      <c r="S1485" s="2355" t="s">
        <v>57</v>
      </c>
      <c r="T1485" s="2356">
        <v>663</v>
      </c>
      <c r="V1485" s="3320">
        <f>VLOOKUP(M1485,'[1]TABELA FRETE'!$A$6:$B$12,2,0)</f>
        <v>425.7</v>
      </c>
      <c r="W1485" s="3321"/>
      <c r="X1485" s="3322"/>
      <c r="Y1485" s="3323"/>
    </row>
    <row r="1486" spans="1:26" s="2330" customFormat="1" ht="48" customHeight="1" thickBot="1">
      <c r="B1486" s="2344">
        <v>0.33333333334303461</v>
      </c>
      <c r="C1486" s="2332"/>
      <c r="D1486" s="2357">
        <v>10</v>
      </c>
      <c r="E1486" s="2358">
        <v>3000</v>
      </c>
      <c r="F1486" s="2357">
        <v>17</v>
      </c>
      <c r="G1486" s="2359">
        <v>2000</v>
      </c>
      <c r="H1486" s="2357"/>
      <c r="I1486" s="2359"/>
      <c r="J1486" s="2360">
        <f t="shared" si="156"/>
        <v>5000</v>
      </c>
      <c r="K1486" s="2361">
        <f t="shared" si="157"/>
        <v>10</v>
      </c>
      <c r="L1486" s="2348">
        <v>1</v>
      </c>
      <c r="M1486" s="2362">
        <v>1016</v>
      </c>
      <c r="N1486" s="2363">
        <v>8</v>
      </c>
      <c r="O1486" s="3719" t="s">
        <v>81</v>
      </c>
      <c r="P1486" s="3720"/>
      <c r="Q1486" s="2365">
        <v>2</v>
      </c>
      <c r="R1486" s="2364">
        <v>2</v>
      </c>
      <c r="S1486" s="2366" t="s">
        <v>185</v>
      </c>
      <c r="T1486" s="2365">
        <v>606</v>
      </c>
      <c r="V1486" s="3320">
        <f>VLOOKUP(M1486,'[1]TABELA FRETE'!$A$6:$B$12,2,0)</f>
        <v>425.7</v>
      </c>
      <c r="W1486" s="3321"/>
      <c r="X1486" s="3322"/>
      <c r="Y1486" s="3323"/>
    </row>
    <row r="1487" spans="1:26" s="2330" customFormat="1" ht="48" customHeight="1" thickBot="1">
      <c r="B1487" s="2367">
        <v>0.33333333334303461</v>
      </c>
      <c r="C1487" s="2332"/>
      <c r="D1487" s="2368">
        <v>46</v>
      </c>
      <c r="E1487" s="2346">
        <v>2000</v>
      </c>
      <c r="F1487" s="2345">
        <v>36</v>
      </c>
      <c r="G1487" s="2347">
        <v>2000</v>
      </c>
      <c r="H1487" s="2345"/>
      <c r="I1487" s="2348"/>
      <c r="J1487" s="2360">
        <f t="shared" si="156"/>
        <v>4000</v>
      </c>
      <c r="K1487" s="2361">
        <f t="shared" si="157"/>
        <v>8</v>
      </c>
      <c r="L1487" s="2359">
        <v>1</v>
      </c>
      <c r="M1487" s="2351">
        <v>1016</v>
      </c>
      <c r="N1487" s="2352">
        <v>8</v>
      </c>
      <c r="O1487" s="3717" t="s">
        <v>46</v>
      </c>
      <c r="P1487" s="3718"/>
      <c r="Q1487" s="2353">
        <v>2</v>
      </c>
      <c r="R1487" s="2354">
        <v>2</v>
      </c>
      <c r="S1487" s="2355" t="s">
        <v>47</v>
      </c>
      <c r="T1487" s="2356">
        <v>48</v>
      </c>
      <c r="V1487" s="3320">
        <f>VLOOKUP(M1487,'[1]TABELA FRETE'!$A$6:$B$12,2,0)</f>
        <v>425.7</v>
      </c>
      <c r="W1487" s="3321"/>
      <c r="X1487" s="3322"/>
      <c r="Y1487" s="3323"/>
    </row>
    <row r="1488" spans="1:26" s="2330" customFormat="1" ht="48" customHeight="1" thickBot="1">
      <c r="B1488" s="2344">
        <v>0.33333333334303461</v>
      </c>
      <c r="C1488" s="2332"/>
      <c r="D1488" s="2345">
        <v>1129</v>
      </c>
      <c r="E1488" s="2369">
        <v>2000</v>
      </c>
      <c r="F1488" s="2357">
        <v>47</v>
      </c>
      <c r="G1488" s="2360">
        <v>2000</v>
      </c>
      <c r="H1488" s="2370"/>
      <c r="I1488" s="2359"/>
      <c r="J1488" s="2360">
        <f t="shared" si="156"/>
        <v>4000</v>
      </c>
      <c r="K1488" s="2361">
        <f t="shared" si="157"/>
        <v>8</v>
      </c>
      <c r="L1488" s="2359">
        <v>1</v>
      </c>
      <c r="M1488" s="2351">
        <v>1016</v>
      </c>
      <c r="N1488" s="2352">
        <v>8</v>
      </c>
      <c r="O1488" s="3717" t="s">
        <v>88</v>
      </c>
      <c r="P1488" s="3718"/>
      <c r="Q1488" s="2353">
        <v>1</v>
      </c>
      <c r="R1488" s="2354">
        <v>1</v>
      </c>
      <c r="S1488" s="2355" t="s">
        <v>184</v>
      </c>
      <c r="T1488" s="2353">
        <v>799</v>
      </c>
      <c r="V1488" s="3320">
        <f>VLOOKUP(M1488,'[1]TABELA FRETE'!$A$6:$B$12,2,0)</f>
        <v>425.7</v>
      </c>
      <c r="W1488" s="3321"/>
      <c r="X1488" s="3721"/>
      <c r="Y1488" s="3722"/>
    </row>
    <row r="1489" spans="2:25" s="2371" customFormat="1" ht="48" customHeight="1" thickBot="1">
      <c r="B1489" s="2372">
        <v>0.33333333334303461</v>
      </c>
      <c r="C1489" s="2332"/>
      <c r="D1489" s="2368">
        <v>8</v>
      </c>
      <c r="E1489" s="2346">
        <v>5500</v>
      </c>
      <c r="F1489" s="2345"/>
      <c r="G1489" s="2347"/>
      <c r="H1489" s="2345"/>
      <c r="I1489" s="2373"/>
      <c r="J1489" s="2360">
        <f t="shared" si="156"/>
        <v>5500</v>
      </c>
      <c r="K1489" s="2361">
        <f t="shared" si="157"/>
        <v>11</v>
      </c>
      <c r="L1489" s="2359">
        <v>1</v>
      </c>
      <c r="M1489" s="2351" t="s">
        <v>7</v>
      </c>
      <c r="N1489" s="2352">
        <v>12</v>
      </c>
      <c r="O1489" s="3717" t="s">
        <v>224</v>
      </c>
      <c r="P1489" s="3718"/>
      <c r="Q1489" s="2353">
        <v>1</v>
      </c>
      <c r="R1489" s="2354">
        <v>1</v>
      </c>
      <c r="S1489" s="2355" t="s">
        <v>225</v>
      </c>
      <c r="T1489" s="2356">
        <v>782</v>
      </c>
      <c r="U1489" s="2330"/>
      <c r="V1489" s="3320">
        <f>VLOOKUP(M1489,'[1]TABELA FRETE'!$A$6:$B$12,2,0)</f>
        <v>466.4</v>
      </c>
      <c r="W1489" s="3321"/>
      <c r="X1489" s="3721"/>
      <c r="Y1489" s="3722"/>
    </row>
    <row r="1490" spans="2:25" s="2371" customFormat="1" ht="48" customHeight="1" thickBot="1">
      <c r="B1490" s="2344">
        <v>0.33333333334303461</v>
      </c>
      <c r="C1490" s="2332"/>
      <c r="D1490" s="2357">
        <v>19</v>
      </c>
      <c r="E1490" s="2369">
        <v>5500</v>
      </c>
      <c r="F1490" s="2357"/>
      <c r="G1490" s="2358"/>
      <c r="H1490" s="2357"/>
      <c r="I1490" s="2359"/>
      <c r="J1490" s="2360">
        <f t="shared" si="156"/>
        <v>5500</v>
      </c>
      <c r="K1490" s="2361">
        <f t="shared" si="157"/>
        <v>11</v>
      </c>
      <c r="L1490" s="2359">
        <v>1</v>
      </c>
      <c r="M1490" s="2351" t="s">
        <v>7</v>
      </c>
      <c r="N1490" s="2352">
        <v>12</v>
      </c>
      <c r="O1490" s="3717" t="s">
        <v>146</v>
      </c>
      <c r="P1490" s="3718"/>
      <c r="Q1490" s="2353">
        <v>1</v>
      </c>
      <c r="R1490" s="2354">
        <v>1</v>
      </c>
      <c r="S1490" s="2355" t="s">
        <v>147</v>
      </c>
      <c r="T1490" s="2353">
        <v>91</v>
      </c>
      <c r="U1490" s="2330"/>
      <c r="V1490" s="3320">
        <f>VLOOKUP(M1490,'[1]TABELA FRETE'!$A$6:$B$12,2,0)</f>
        <v>466.4</v>
      </c>
      <c r="W1490" s="3321"/>
      <c r="X1490" s="3721"/>
      <c r="Y1490" s="3722"/>
    </row>
    <row r="1491" spans="2:25" s="2371" customFormat="1" ht="63" customHeight="1" thickBot="1">
      <c r="B1491" s="2372">
        <v>0.33333333334303461</v>
      </c>
      <c r="C1491" s="2332"/>
      <c r="D1491" s="2374" t="s">
        <v>152</v>
      </c>
      <c r="E1491" s="2346">
        <v>5500</v>
      </c>
      <c r="F1491" s="2345"/>
      <c r="G1491" s="2347"/>
      <c r="H1491" s="2345"/>
      <c r="I1491" s="2348"/>
      <c r="J1491" s="2360">
        <f t="shared" si="156"/>
        <v>5500</v>
      </c>
      <c r="K1491" s="2361">
        <f t="shared" si="157"/>
        <v>11</v>
      </c>
      <c r="L1491" s="2359">
        <v>1</v>
      </c>
      <c r="M1491" s="2351" t="s">
        <v>7</v>
      </c>
      <c r="N1491" s="2352">
        <v>12</v>
      </c>
      <c r="O1491" s="3717" t="s">
        <v>58</v>
      </c>
      <c r="P1491" s="3718"/>
      <c r="Q1491" s="2353">
        <v>2</v>
      </c>
      <c r="R1491" s="2354">
        <v>2</v>
      </c>
      <c r="S1491" s="2355" t="s">
        <v>186</v>
      </c>
      <c r="T1491" s="2356">
        <v>674</v>
      </c>
      <c r="U1491" s="2330"/>
      <c r="V1491" s="3320">
        <f>VLOOKUP(M1491,'[1]TABELA FRETE'!$A$6:$B$12,2,0)</f>
        <v>466.4</v>
      </c>
      <c r="W1491" s="3321"/>
      <c r="X1491" s="3721"/>
      <c r="Y1491" s="3722"/>
    </row>
    <row r="1492" spans="2:25" s="2371" customFormat="1" ht="63" customHeight="1" thickBot="1">
      <c r="B1492" s="2372">
        <v>0.33333333334303461</v>
      </c>
      <c r="C1492" s="2332"/>
      <c r="D1492" s="2374" t="s">
        <v>87</v>
      </c>
      <c r="E1492" s="2346">
        <v>4000</v>
      </c>
      <c r="F1492" s="2345"/>
      <c r="G1492" s="2347"/>
      <c r="H1492" s="2345"/>
      <c r="I1492" s="2348"/>
      <c r="J1492" s="2349">
        <f t="shared" si="156"/>
        <v>4000</v>
      </c>
      <c r="K1492" s="2350">
        <f t="shared" si="157"/>
        <v>8</v>
      </c>
      <c r="L1492" s="2348">
        <v>1</v>
      </c>
      <c r="M1492" s="2351"/>
      <c r="N1492" s="2352"/>
      <c r="O1492" s="3717"/>
      <c r="P1492" s="3718"/>
      <c r="Q1492" s="2353"/>
      <c r="R1492" s="2354"/>
      <c r="S1492" s="2355"/>
      <c r="T1492" s="2356"/>
      <c r="U1492" s="2330"/>
      <c r="V1492" s="3320" t="e">
        <f>VLOOKUP(M1492,'[1]TABELA FRETE'!$A$6:$B$12,2,0)</f>
        <v>#N/A</v>
      </c>
      <c r="W1492" s="3321"/>
      <c r="X1492" s="3721"/>
      <c r="Y1492" s="3722"/>
    </row>
    <row r="1493" spans="2:25" s="2371" customFormat="1" ht="48" customHeight="1" thickBot="1">
      <c r="B1493" s="2375">
        <v>0.33333333334303461</v>
      </c>
      <c r="C1493" s="2332"/>
      <c r="D1493" s="2376">
        <v>34</v>
      </c>
      <c r="E1493" s="2377">
        <v>4000</v>
      </c>
      <c r="F1493" s="2378"/>
      <c r="G1493" s="2379"/>
      <c r="H1493" s="2378"/>
      <c r="I1493" s="2380"/>
      <c r="J1493" s="2381">
        <f t="shared" si="156"/>
        <v>4000</v>
      </c>
      <c r="K1493" s="2382">
        <f t="shared" si="157"/>
        <v>8</v>
      </c>
      <c r="L1493" s="2383">
        <v>1</v>
      </c>
      <c r="M1493" s="2384">
        <v>1016</v>
      </c>
      <c r="N1493" s="2385">
        <v>9</v>
      </c>
      <c r="O1493" s="3723" t="s">
        <v>79</v>
      </c>
      <c r="P1493" s="3724"/>
      <c r="Q1493" s="2386">
        <v>1</v>
      </c>
      <c r="R1493" s="2387">
        <v>0</v>
      </c>
      <c r="S1493" s="2388" t="s">
        <v>80</v>
      </c>
      <c r="T1493" s="2389">
        <v>184725</v>
      </c>
      <c r="U1493" s="2330"/>
      <c r="V1493" s="3320">
        <f>VLOOKUP(M1493,'[1]TABELA FRETE'!$A$6:$B$12,2,0)</f>
        <v>425.7</v>
      </c>
      <c r="W1493" s="3321"/>
      <c r="X1493" s="3721"/>
      <c r="Y1493" s="3722"/>
    </row>
    <row r="1494" spans="2:25" s="1916" customFormat="1" ht="6" customHeight="1" thickBot="1">
      <c r="B1494" s="1844"/>
      <c r="C1494" s="1844"/>
      <c r="D1494" s="2390"/>
      <c r="E1494" s="1918"/>
      <c r="F1494" s="2391"/>
      <c r="G1494" s="1919"/>
      <c r="H1494" s="2391"/>
      <c r="I1494" s="1919"/>
      <c r="J1494" s="1919"/>
      <c r="K1494" s="1921"/>
      <c r="L1494" s="1919"/>
      <c r="M1494" s="2392"/>
      <c r="N1494" s="2393"/>
      <c r="O1494" s="1924"/>
      <c r="P1494" s="1924"/>
      <c r="Q1494" s="1925"/>
      <c r="R1494" s="1925"/>
      <c r="S1494" s="1926"/>
      <c r="T1494" s="1924"/>
      <c r="U1494" s="1927"/>
      <c r="V1494" s="2172"/>
      <c r="W1494" s="2172"/>
      <c r="X1494" s="1929"/>
      <c r="Y1494" s="1929"/>
    </row>
    <row r="1495" spans="2:25" s="1842" customFormat="1" ht="48" customHeight="1" thickBot="1">
      <c r="B1495" s="1843">
        <v>0.41666666666666702</v>
      </c>
      <c r="C1495" s="1844"/>
      <c r="D1495" s="1845">
        <v>28</v>
      </c>
      <c r="E1495" s="2394"/>
      <c r="F1495" s="1845">
        <v>29</v>
      </c>
      <c r="G1495" s="1848"/>
      <c r="H1495" s="2092"/>
      <c r="I1495" s="1848"/>
      <c r="J1495" s="1850">
        <f>E1495+G1495+I1495</f>
        <v>0</v>
      </c>
      <c r="K1495" s="1851">
        <f>J1495/450</f>
        <v>0</v>
      </c>
      <c r="L1495" s="1850">
        <v>1</v>
      </c>
      <c r="M1495" s="1933"/>
      <c r="N1495" s="1934"/>
      <c r="O1495" s="3548"/>
      <c r="P1495" s="3725"/>
      <c r="Q1495" s="2042"/>
      <c r="R1495" s="2395"/>
      <c r="S1495" s="2396"/>
      <c r="T1495" s="2043"/>
      <c r="U1495" s="1824"/>
      <c r="V1495" s="3320" t="e">
        <f>VLOOKUP(M1495,'[1]TABELA FRETE'!$A$6:$B$12,2,0)</f>
        <v>#N/A</v>
      </c>
      <c r="W1495" s="3321"/>
      <c r="X1495" s="3322"/>
      <c r="Y1495" s="3323"/>
    </row>
    <row r="1496" spans="2:25" s="1823" customFormat="1" ht="48" customHeight="1" thickBot="1">
      <c r="B1496" s="1858">
        <v>0.41666666666666702</v>
      </c>
      <c r="C1496" s="1844"/>
      <c r="D1496" s="1871">
        <v>7</v>
      </c>
      <c r="E1496" s="2397"/>
      <c r="F1496" s="1871"/>
      <c r="G1496" s="1874"/>
      <c r="H1496" s="1940"/>
      <c r="I1496" s="1876"/>
      <c r="J1496" s="1862">
        <f>E1496+G1496+I1496</f>
        <v>0</v>
      </c>
      <c r="K1496" s="1863">
        <f>J1496/450</f>
        <v>0</v>
      </c>
      <c r="L1496" s="1862">
        <v>1</v>
      </c>
      <c r="M1496" s="1877" t="s">
        <v>9</v>
      </c>
      <c r="N1496" s="1878">
        <v>3</v>
      </c>
      <c r="O1496" s="3304" t="s">
        <v>189</v>
      </c>
      <c r="P1496" s="3305"/>
      <c r="Q1496" s="1880">
        <v>1</v>
      </c>
      <c r="R1496" s="1881">
        <v>0</v>
      </c>
      <c r="S1496" s="1882" t="s">
        <v>190</v>
      </c>
      <c r="T1496" s="1870">
        <v>738</v>
      </c>
      <c r="U1496" s="1824"/>
      <c r="V1496" s="3320">
        <f>VLOOKUP(M1496,'[1]TABELA FRETE'!$A$6:$B$12,2,0)</f>
        <v>250.8</v>
      </c>
      <c r="W1496" s="3321"/>
      <c r="X1496" s="3322"/>
      <c r="Y1496" s="3323"/>
    </row>
    <row r="1497" spans="2:25" s="1823" customFormat="1" ht="48" customHeight="1" thickBot="1">
      <c r="B1497" s="1858">
        <v>0.41666666666666702</v>
      </c>
      <c r="C1497" s="1844"/>
      <c r="D1497" s="1871">
        <v>11</v>
      </c>
      <c r="E1497" s="2398"/>
      <c r="F1497" s="1955"/>
      <c r="G1497" s="1885"/>
      <c r="H1497" s="1956"/>
      <c r="I1497" s="1886"/>
      <c r="J1497" s="1862">
        <f>E1497+G1497+I1497</f>
        <v>0</v>
      </c>
      <c r="K1497" s="1863">
        <f>J1497/450</f>
        <v>0</v>
      </c>
      <c r="L1497" s="1862">
        <v>1</v>
      </c>
      <c r="M1497" s="1887" t="s">
        <v>8</v>
      </c>
      <c r="N1497" s="1888">
        <v>4</v>
      </c>
      <c r="O1497" s="3326" t="s">
        <v>96</v>
      </c>
      <c r="P1497" s="3327"/>
      <c r="Q1497" s="1891">
        <v>2</v>
      </c>
      <c r="R1497" s="1892">
        <v>0</v>
      </c>
      <c r="S1497" s="1893" t="s">
        <v>97</v>
      </c>
      <c r="T1497" s="1892">
        <v>456</v>
      </c>
      <c r="U1497" s="1824"/>
      <c r="V1497" s="3320">
        <f>VLOOKUP(M1497,'[1]TABELA FRETE'!$A$6:$B$12,2,0)</f>
        <v>286</v>
      </c>
      <c r="W1497" s="3321"/>
      <c r="X1497" s="3322"/>
      <c r="Y1497" s="3323"/>
    </row>
    <row r="1498" spans="2:25" s="1823" customFormat="1" ht="48" customHeight="1" thickBot="1">
      <c r="B1498" s="1858">
        <v>0.41666666666666702</v>
      </c>
      <c r="C1498" s="1844"/>
      <c r="D1498" s="1871">
        <v>11</v>
      </c>
      <c r="E1498" s="2398"/>
      <c r="F1498" s="1955"/>
      <c r="G1498" s="1885"/>
      <c r="H1498" s="1956"/>
      <c r="I1498" s="1886"/>
      <c r="J1498" s="1862">
        <f>E1498+G1498+I1498</f>
        <v>0</v>
      </c>
      <c r="K1498" s="1863">
        <f t="shared" ref="K1498:K1529" si="158">J1498/450</f>
        <v>0</v>
      </c>
      <c r="L1498" s="1862">
        <v>1</v>
      </c>
      <c r="M1498" s="1894">
        <v>1016</v>
      </c>
      <c r="N1498" s="1895">
        <v>6</v>
      </c>
      <c r="O1498" s="3306" t="s">
        <v>203</v>
      </c>
      <c r="P1498" s="3307"/>
      <c r="Q1498" s="1897">
        <v>2</v>
      </c>
      <c r="R1498" s="1898">
        <v>0</v>
      </c>
      <c r="S1498" s="1899" t="s">
        <v>204</v>
      </c>
      <c r="T1498" s="1900">
        <v>807</v>
      </c>
      <c r="U1498" s="1824"/>
      <c r="V1498" s="3320">
        <f>VLOOKUP(M1498,'[1]TABELA FRETE'!$A$6:$B$12,2,0)</f>
        <v>425.7</v>
      </c>
      <c r="W1498" s="3321"/>
      <c r="X1498" s="3322"/>
      <c r="Y1498" s="3323"/>
    </row>
    <row r="1499" spans="2:25" s="1823" customFormat="1" ht="48" customHeight="1" thickBot="1">
      <c r="B1499" s="1901">
        <v>0.41666666666666702</v>
      </c>
      <c r="C1499" s="1844"/>
      <c r="D1499" s="1902">
        <v>11</v>
      </c>
      <c r="E1499" s="2399"/>
      <c r="F1499" s="1902"/>
      <c r="G1499" s="1905"/>
      <c r="H1499" s="2063"/>
      <c r="I1499" s="1907"/>
      <c r="J1499" s="1908">
        <f>E1499+G1499+I1499</f>
        <v>0</v>
      </c>
      <c r="K1499" s="1909">
        <f t="shared" si="158"/>
        <v>0</v>
      </c>
      <c r="L1499" s="1908">
        <v>1</v>
      </c>
      <c r="M1499" s="1910" t="s">
        <v>9</v>
      </c>
      <c r="N1499" s="1911">
        <v>3</v>
      </c>
      <c r="O1499" s="3308" t="s">
        <v>98</v>
      </c>
      <c r="P1499" s="3309"/>
      <c r="Q1499" s="1913">
        <v>1</v>
      </c>
      <c r="R1499" s="1914">
        <v>0</v>
      </c>
      <c r="S1499" s="1915" t="s">
        <v>99</v>
      </c>
      <c r="T1499" s="1912">
        <v>496</v>
      </c>
      <c r="U1499" s="1824"/>
      <c r="V1499" s="3320">
        <f>VLOOKUP(M1499,'[1]TABELA FRETE'!$A$6:$B$12,2,0)</f>
        <v>250.8</v>
      </c>
      <c r="W1499" s="3321"/>
      <c r="X1499" s="3460"/>
      <c r="Y1499" s="3461"/>
    </row>
    <row r="1500" spans="2:25" s="1916" customFormat="1" ht="6" customHeight="1" thickBot="1">
      <c r="B1500" s="1844"/>
      <c r="C1500" s="1844"/>
      <c r="D1500" s="1917"/>
      <c r="E1500" s="1918"/>
      <c r="F1500" s="1917"/>
      <c r="G1500" s="1919"/>
      <c r="H1500" s="1920"/>
      <c r="I1500" s="1919"/>
      <c r="J1500" s="1919"/>
      <c r="K1500" s="1921"/>
      <c r="L1500" s="1919"/>
      <c r="M1500" s="1922"/>
      <c r="N1500" s="1923"/>
      <c r="O1500" s="1924"/>
      <c r="P1500" s="1924"/>
      <c r="Q1500" s="1925"/>
      <c r="R1500" s="1925"/>
      <c r="S1500" s="1926"/>
      <c r="T1500" s="1924"/>
      <c r="U1500" s="1927"/>
      <c r="V1500" s="2172"/>
      <c r="W1500" s="2172"/>
      <c r="X1500" s="1929"/>
      <c r="Y1500" s="1929"/>
    </row>
    <row r="1501" spans="2:25" s="1823" customFormat="1" ht="48" customHeight="1" thickBot="1">
      <c r="B1501" s="1843">
        <v>0.5</v>
      </c>
      <c r="C1501" s="1844"/>
      <c r="D1501" s="1845">
        <v>8</v>
      </c>
      <c r="E1501" s="2394"/>
      <c r="F1501" s="2400"/>
      <c r="G1501" s="1931"/>
      <c r="H1501" s="1932"/>
      <c r="I1501" s="1848"/>
      <c r="J1501" s="2401">
        <f>E1501+G1501+I1501</f>
        <v>0</v>
      </c>
      <c r="K1501" s="2402">
        <f t="shared" si="158"/>
        <v>0</v>
      </c>
      <c r="L1501" s="2105">
        <v>1</v>
      </c>
      <c r="M1501" s="2403"/>
      <c r="N1501" s="2404"/>
      <c r="O1501" s="3297"/>
      <c r="P1501" s="3725"/>
      <c r="Q1501" s="2041"/>
      <c r="R1501" s="1856"/>
      <c r="S1501" s="2405"/>
      <c r="T1501" s="1854"/>
      <c r="U1501" s="1824"/>
      <c r="V1501" s="3320" t="e">
        <f>VLOOKUP(M1501,'[1]TABELA FRETE'!$A$6:$B$12,2,0)</f>
        <v>#N/A</v>
      </c>
      <c r="W1501" s="3321"/>
      <c r="X1501" s="3322"/>
      <c r="Y1501" s="3323"/>
    </row>
    <row r="1502" spans="2:25" s="1823" customFormat="1" ht="48" customHeight="1" thickBot="1">
      <c r="B1502" s="1974">
        <v>0.5</v>
      </c>
      <c r="C1502" s="1844"/>
      <c r="D1502" s="2095">
        <v>9</v>
      </c>
      <c r="E1502" s="2406"/>
      <c r="F1502" s="2095"/>
      <c r="G1502" s="1982"/>
      <c r="H1502" s="1981"/>
      <c r="I1502" s="1876"/>
      <c r="J1502" s="2407">
        <f>E1502+G1502+I1502</f>
        <v>0</v>
      </c>
      <c r="K1502" s="2408">
        <f t="shared" si="158"/>
        <v>0</v>
      </c>
      <c r="L1502" s="1876">
        <v>1</v>
      </c>
      <c r="M1502" s="2409"/>
      <c r="N1502" s="2410"/>
      <c r="O1502" s="3327"/>
      <c r="P1502" s="3331"/>
      <c r="Q1502" s="1889"/>
      <c r="R1502" s="1950"/>
      <c r="S1502" s="2015"/>
      <c r="T1502" s="1890"/>
      <c r="U1502" s="1824"/>
      <c r="V1502" s="3320" t="e">
        <f>VLOOKUP(M1502,'[1]TABELA FRETE'!$A$6:$B$12,2,0)</f>
        <v>#N/A</v>
      </c>
      <c r="W1502" s="3321"/>
      <c r="X1502" s="3322"/>
      <c r="Y1502" s="3323"/>
    </row>
    <row r="1503" spans="2:25" s="1823" customFormat="1" ht="48" customHeight="1" thickBot="1">
      <c r="B1503" s="1974">
        <v>0.5</v>
      </c>
      <c r="C1503" s="1844"/>
      <c r="D1503" s="2095">
        <v>1</v>
      </c>
      <c r="E1503" s="2406"/>
      <c r="F1503" s="1795"/>
      <c r="G1503" s="1982"/>
      <c r="H1503" s="1981"/>
      <c r="I1503" s="1861"/>
      <c r="J1503" s="2411">
        <f>E1503+G1503+I1503</f>
        <v>0</v>
      </c>
      <c r="K1503" s="2408">
        <f t="shared" si="158"/>
        <v>0</v>
      </c>
      <c r="L1503" s="1886">
        <v>1</v>
      </c>
      <c r="M1503" s="2006"/>
      <c r="N1503" s="2182"/>
      <c r="O1503" s="3327"/>
      <c r="P1503" s="3331"/>
      <c r="Q1503" s="2412"/>
      <c r="R1503" s="2230"/>
      <c r="S1503" s="2015"/>
      <c r="T1503" s="2413"/>
      <c r="U1503" s="1824"/>
      <c r="V1503" s="3320" t="e">
        <f>VLOOKUP(M1503,'[1]TABELA FRETE'!$A$6:$B$12,2,0)</f>
        <v>#N/A</v>
      </c>
      <c r="W1503" s="3321"/>
      <c r="X1503" s="3322"/>
      <c r="Y1503" s="3323"/>
    </row>
    <row r="1504" spans="2:25" s="1823" customFormat="1" ht="48" customHeight="1" thickBot="1">
      <c r="B1504" s="1938">
        <v>0.5</v>
      </c>
      <c r="C1504" s="1844"/>
      <c r="D1504" s="1871">
        <v>38</v>
      </c>
      <c r="E1504" s="2111"/>
      <c r="F1504" s="1871"/>
      <c r="G1504" s="1874"/>
      <c r="H1504" s="1981"/>
      <c r="I1504" s="1861"/>
      <c r="J1504" s="2407">
        <f>E1504+G1504+I1504</f>
        <v>0</v>
      </c>
      <c r="K1504" s="2414">
        <f t="shared" si="158"/>
        <v>0</v>
      </c>
      <c r="L1504" s="1876">
        <v>1</v>
      </c>
      <c r="M1504" s="2409"/>
      <c r="N1504" s="2410"/>
      <c r="O1504" s="3327"/>
      <c r="P1504" s="3331"/>
      <c r="Q1504" s="2415"/>
      <c r="R1504" s="1950"/>
      <c r="S1504" s="2015"/>
      <c r="T1504" s="1890"/>
      <c r="U1504" s="1824"/>
      <c r="V1504" s="3320" t="e">
        <f>VLOOKUP(M1504,'[1]TABELA FRETE'!$A$6:$B$12,2,0)</f>
        <v>#N/A</v>
      </c>
      <c r="W1504" s="3321"/>
      <c r="X1504" s="3322"/>
      <c r="Y1504" s="3323"/>
    </row>
    <row r="1505" spans="2:25" s="1823" customFormat="1" ht="48" customHeight="1" thickBot="1">
      <c r="B1505" s="1938">
        <v>0.5</v>
      </c>
      <c r="C1505" s="1844"/>
      <c r="D1505" s="1871">
        <v>12</v>
      </c>
      <c r="E1505" s="2111"/>
      <c r="F1505" s="2253"/>
      <c r="G1505" s="1874"/>
      <c r="H1505" s="1981"/>
      <c r="I1505" s="1861"/>
      <c r="J1505" s="2407">
        <f t="shared" ref="J1505:J1529" si="159">E1505+G1505+I1505</f>
        <v>0</v>
      </c>
      <c r="K1505" s="2414">
        <f t="shared" si="158"/>
        <v>0</v>
      </c>
      <c r="L1505" s="1876">
        <v>1</v>
      </c>
      <c r="M1505" s="2409"/>
      <c r="N1505" s="2410"/>
      <c r="O1505" s="3327"/>
      <c r="P1505" s="3331"/>
      <c r="Q1505" s="2415"/>
      <c r="R1505" s="1950"/>
      <c r="S1505" s="2015"/>
      <c r="T1505" s="1890"/>
      <c r="U1505" s="1824"/>
      <c r="V1505" s="3320" t="e">
        <f>VLOOKUP(M1505,'[1]TABELA FRETE'!$A$6:$B$12,2,0)</f>
        <v>#N/A</v>
      </c>
      <c r="W1505" s="3321"/>
      <c r="X1505" s="3322"/>
      <c r="Y1505" s="3323"/>
    </row>
    <row r="1506" spans="2:25" s="1823" customFormat="1" ht="48" customHeight="1" thickBot="1">
      <c r="B1506" s="1974">
        <v>0.5</v>
      </c>
      <c r="C1506" s="1844"/>
      <c r="D1506" s="1871">
        <v>14</v>
      </c>
      <c r="E1506" s="2056"/>
      <c r="F1506" s="1871"/>
      <c r="G1506" s="1874"/>
      <c r="H1506" s="1940"/>
      <c r="I1506" s="1876"/>
      <c r="J1506" s="2407">
        <f t="shared" si="159"/>
        <v>0</v>
      </c>
      <c r="K1506" s="2414">
        <f t="shared" si="158"/>
        <v>0</v>
      </c>
      <c r="L1506" s="1876">
        <v>1</v>
      </c>
      <c r="M1506" s="2409"/>
      <c r="N1506" s="2410"/>
      <c r="O1506" s="3327"/>
      <c r="P1506" s="3331"/>
      <c r="Q1506" s="1889"/>
      <c r="R1506" s="1950"/>
      <c r="S1506" s="2015"/>
      <c r="T1506" s="1890"/>
      <c r="U1506" s="1824"/>
      <c r="V1506" s="3320" t="e">
        <f>VLOOKUP(M1506,'[1]TABELA FRETE'!$A$6:$B$12,2,0)</f>
        <v>#N/A</v>
      </c>
      <c r="W1506" s="3321"/>
      <c r="X1506" s="3322"/>
      <c r="Y1506" s="3323"/>
    </row>
    <row r="1507" spans="2:25" s="1823" customFormat="1" ht="48" customHeight="1" thickBot="1">
      <c r="B1507" s="1938">
        <v>0.5</v>
      </c>
      <c r="C1507" s="1844"/>
      <c r="D1507" s="1871">
        <v>34</v>
      </c>
      <c r="E1507" s="2397"/>
      <c r="F1507" s="1871"/>
      <c r="G1507" s="1874"/>
      <c r="H1507" s="1940"/>
      <c r="I1507" s="1876"/>
      <c r="J1507" s="2407">
        <f t="shared" si="159"/>
        <v>0</v>
      </c>
      <c r="K1507" s="2414">
        <f t="shared" si="158"/>
        <v>0</v>
      </c>
      <c r="L1507" s="1876">
        <v>1</v>
      </c>
      <c r="M1507" s="2006"/>
      <c r="N1507" s="2182"/>
      <c r="O1507" s="3327"/>
      <c r="P1507" s="3331"/>
      <c r="Q1507" s="1889"/>
      <c r="R1507" s="1950"/>
      <c r="S1507" s="2015"/>
      <c r="T1507" s="1890"/>
      <c r="U1507" s="1824"/>
      <c r="V1507" s="3320" t="e">
        <f>VLOOKUP(M1507,'[1]TABELA FRETE'!$A$6:$B$12,2,0)</f>
        <v>#N/A</v>
      </c>
      <c r="W1507" s="3321"/>
      <c r="X1507" s="3322"/>
      <c r="Y1507" s="3323"/>
    </row>
    <row r="1508" spans="2:25" s="1823" customFormat="1" ht="48" customHeight="1" thickBot="1">
      <c r="B1508" s="1938">
        <v>0.5</v>
      </c>
      <c r="C1508" s="1844"/>
      <c r="D1508" s="2253">
        <v>34</v>
      </c>
      <c r="E1508" s="2397"/>
      <c r="F1508" s="1871"/>
      <c r="G1508" s="1874"/>
      <c r="H1508" s="1940"/>
      <c r="I1508" s="1876"/>
      <c r="J1508" s="2407">
        <f t="shared" si="159"/>
        <v>0</v>
      </c>
      <c r="K1508" s="2414">
        <f t="shared" si="158"/>
        <v>0</v>
      </c>
      <c r="L1508" s="1876">
        <v>1</v>
      </c>
      <c r="M1508" s="2006"/>
      <c r="N1508" s="2182"/>
      <c r="O1508" s="3327"/>
      <c r="P1508" s="3331"/>
      <c r="Q1508" s="1889"/>
      <c r="R1508" s="1950"/>
      <c r="S1508" s="2015"/>
      <c r="T1508" s="1890"/>
      <c r="U1508" s="1824"/>
      <c r="V1508" s="3320" t="e">
        <f>VLOOKUP(M1508,'[1]TABELA FRETE'!$A$6:$B$12,2,0)</f>
        <v>#N/A</v>
      </c>
      <c r="W1508" s="3321"/>
      <c r="X1508" s="3322"/>
      <c r="Y1508" s="3323"/>
    </row>
    <row r="1509" spans="2:25" s="1823" customFormat="1" ht="48" customHeight="1" thickBot="1">
      <c r="B1509" s="1938">
        <v>0.5</v>
      </c>
      <c r="C1509" s="1844"/>
      <c r="D1509" s="1871">
        <v>43</v>
      </c>
      <c r="E1509" s="2397"/>
      <c r="F1509" s="1871"/>
      <c r="G1509" s="1874"/>
      <c r="H1509" s="1940"/>
      <c r="I1509" s="1876"/>
      <c r="J1509" s="2407">
        <f t="shared" si="159"/>
        <v>0</v>
      </c>
      <c r="K1509" s="2414">
        <f t="shared" si="158"/>
        <v>0</v>
      </c>
      <c r="L1509" s="1876">
        <v>1</v>
      </c>
      <c r="M1509" s="2006"/>
      <c r="N1509" s="2182"/>
      <c r="O1509" s="3327"/>
      <c r="P1509" s="3331"/>
      <c r="Q1509" s="1889"/>
      <c r="R1509" s="1950"/>
      <c r="S1509" s="2015"/>
      <c r="T1509" s="1890"/>
      <c r="U1509" s="1824"/>
      <c r="V1509" s="3320" t="e">
        <f>VLOOKUP(M1509,'[1]TABELA FRETE'!$A$6:$B$12,2,0)</f>
        <v>#N/A</v>
      </c>
      <c r="W1509" s="3321"/>
      <c r="X1509" s="3322"/>
      <c r="Y1509" s="3323"/>
    </row>
    <row r="1510" spans="2:25" s="1823" customFormat="1" ht="48" customHeight="1" thickBot="1">
      <c r="B1510" s="1938">
        <v>0.5</v>
      </c>
      <c r="C1510" s="1844"/>
      <c r="D1510" s="1871">
        <v>35</v>
      </c>
      <c r="E1510" s="2397"/>
      <c r="F1510" s="2253"/>
      <c r="G1510" s="1874"/>
      <c r="H1510" s="1940"/>
      <c r="I1510" s="1876"/>
      <c r="J1510" s="2407">
        <f t="shared" si="159"/>
        <v>0</v>
      </c>
      <c r="K1510" s="2414">
        <f t="shared" si="158"/>
        <v>0</v>
      </c>
      <c r="L1510" s="1876">
        <v>1</v>
      </c>
      <c r="M1510" s="2006"/>
      <c r="N1510" s="2182"/>
      <c r="O1510" s="3327"/>
      <c r="P1510" s="3331"/>
      <c r="Q1510" s="1889"/>
      <c r="R1510" s="1950"/>
      <c r="S1510" s="2015"/>
      <c r="T1510" s="1890"/>
      <c r="U1510" s="1824"/>
      <c r="V1510" s="3320" t="e">
        <f>VLOOKUP(M1510,'[1]TABELA FRETE'!$A$6:$B$12,2,0)</f>
        <v>#N/A</v>
      </c>
      <c r="W1510" s="3321"/>
      <c r="X1510" s="3322"/>
      <c r="Y1510" s="3323"/>
    </row>
    <row r="1511" spans="2:25" s="1823" customFormat="1" ht="48" customHeight="1" thickBot="1">
      <c r="B1511" s="1938">
        <v>0.5</v>
      </c>
      <c r="C1511" s="1844"/>
      <c r="D1511" s="1871">
        <v>45</v>
      </c>
      <c r="E1511" s="2397"/>
      <c r="F1511" s="1871"/>
      <c r="G1511" s="1872"/>
      <c r="H1511" s="1940"/>
      <c r="I1511" s="1876"/>
      <c r="J1511" s="2407">
        <f t="shared" si="159"/>
        <v>0</v>
      </c>
      <c r="K1511" s="2414">
        <f t="shared" si="158"/>
        <v>0</v>
      </c>
      <c r="L1511" s="1876">
        <v>1</v>
      </c>
      <c r="M1511" s="2416"/>
      <c r="N1511" s="2417"/>
      <c r="O1511" s="3327"/>
      <c r="P1511" s="3331"/>
      <c r="Q1511" s="2418"/>
      <c r="R1511" s="1942"/>
      <c r="S1511" s="2419"/>
      <c r="T1511" s="1896"/>
      <c r="U1511" s="1824"/>
      <c r="V1511" s="3320" t="e">
        <f>VLOOKUP(M1511,'[1]TABELA FRETE'!$A$6:$B$12,2,0)</f>
        <v>#N/A</v>
      </c>
      <c r="W1511" s="3321"/>
      <c r="X1511" s="3322"/>
      <c r="Y1511" s="3323"/>
    </row>
    <row r="1512" spans="2:25" s="1823" customFormat="1" ht="48" customHeight="1" thickBot="1">
      <c r="B1512" s="1938">
        <v>0.5</v>
      </c>
      <c r="C1512" s="1844"/>
      <c r="D1512" s="2253">
        <v>45</v>
      </c>
      <c r="E1512" s="2397"/>
      <c r="F1512" s="1871"/>
      <c r="G1512" s="1872"/>
      <c r="H1512" s="1940"/>
      <c r="I1512" s="1876"/>
      <c r="J1512" s="2407">
        <f t="shared" si="159"/>
        <v>0</v>
      </c>
      <c r="K1512" s="2414">
        <f t="shared" si="158"/>
        <v>0</v>
      </c>
      <c r="L1512" s="1876">
        <v>1</v>
      </c>
      <c r="M1512" s="2409"/>
      <c r="N1512" s="2410"/>
      <c r="O1512" s="3327"/>
      <c r="P1512" s="3331"/>
      <c r="Q1512" s="1889"/>
      <c r="R1512" s="1950"/>
      <c r="S1512" s="2015"/>
      <c r="T1512" s="1890"/>
      <c r="U1512" s="1824"/>
      <c r="V1512" s="3320" t="e">
        <f>VLOOKUP(M1512,'[1]TABELA FRETE'!$A$6:$B$12,2,0)</f>
        <v>#N/A</v>
      </c>
      <c r="W1512" s="3321"/>
      <c r="X1512" s="3322"/>
      <c r="Y1512" s="3323"/>
    </row>
    <row r="1513" spans="2:25" s="1823" customFormat="1" ht="48" customHeight="1" thickBot="1">
      <c r="B1513" s="1938">
        <v>0.5</v>
      </c>
      <c r="C1513" s="1844"/>
      <c r="D1513" s="1955">
        <v>47</v>
      </c>
      <c r="E1513" s="2397"/>
      <c r="F1513" s="1871"/>
      <c r="G1513" s="1872"/>
      <c r="H1513" s="1940"/>
      <c r="I1513" s="1876"/>
      <c r="J1513" s="2407">
        <f t="shared" si="159"/>
        <v>0</v>
      </c>
      <c r="K1513" s="2414">
        <f t="shared" si="158"/>
        <v>0</v>
      </c>
      <c r="L1513" s="1876">
        <v>1</v>
      </c>
      <c r="M1513" s="2409"/>
      <c r="N1513" s="2410"/>
      <c r="O1513" s="3327"/>
      <c r="P1513" s="3331"/>
      <c r="Q1513" s="1889"/>
      <c r="R1513" s="1950"/>
      <c r="S1513" s="2015"/>
      <c r="T1513" s="1890"/>
      <c r="U1513" s="1824"/>
      <c r="V1513" s="3320" t="e">
        <f>VLOOKUP(M1513,'[1]TABELA FRETE'!$A$6:$B$12,2,0)</f>
        <v>#N/A</v>
      </c>
      <c r="W1513" s="3321"/>
      <c r="X1513" s="3322"/>
      <c r="Y1513" s="3323"/>
    </row>
    <row r="1514" spans="2:25" s="1823" customFormat="1" ht="48" customHeight="1" thickBot="1">
      <c r="B1514" s="1901">
        <v>0.5</v>
      </c>
      <c r="C1514" s="1844"/>
      <c r="D1514" s="1957">
        <v>19</v>
      </c>
      <c r="E1514" s="1903"/>
      <c r="F1514" s="1958"/>
      <c r="G1514" s="1903"/>
      <c r="H1514" s="1959"/>
      <c r="I1514" s="1903"/>
      <c r="J1514" s="2420">
        <f>E1514+G1514+I1514</f>
        <v>0</v>
      </c>
      <c r="K1514" s="2421">
        <f>J1514/450</f>
        <v>0</v>
      </c>
      <c r="L1514" s="1907">
        <v>1</v>
      </c>
      <c r="M1514" s="2101"/>
      <c r="N1514" s="2422"/>
      <c r="O1514" s="3726"/>
      <c r="P1514" s="3471"/>
      <c r="Q1514" s="2423"/>
      <c r="R1514" s="2424"/>
      <c r="S1514" s="2191"/>
      <c r="T1514" s="2425"/>
      <c r="U1514" s="1824"/>
      <c r="V1514" s="3320" t="e">
        <f>VLOOKUP(M1514,'[1]TABELA FRETE'!$A$6:$B$12,2,0)</f>
        <v>#N/A</v>
      </c>
      <c r="W1514" s="3321"/>
      <c r="X1514" s="3322"/>
      <c r="Y1514" s="3323"/>
    </row>
    <row r="1515" spans="2:25" s="1916" customFormat="1" ht="6" customHeight="1" thickBot="1">
      <c r="B1515" s="1844"/>
      <c r="C1515" s="1844"/>
      <c r="D1515" s="1917"/>
      <c r="E1515" s="1918"/>
      <c r="F1515" s="1917"/>
      <c r="G1515" s="1919"/>
      <c r="H1515" s="1920"/>
      <c r="I1515" s="1919"/>
      <c r="J1515" s="1919"/>
      <c r="K1515" s="1921"/>
      <c r="L1515" s="1919"/>
      <c r="M1515" s="1922"/>
      <c r="N1515" s="1923"/>
      <c r="O1515" s="1924"/>
      <c r="P1515" s="1924"/>
      <c r="Q1515" s="1925"/>
      <c r="R1515" s="1925"/>
      <c r="S1515" s="1926"/>
      <c r="T1515" s="1924"/>
      <c r="U1515" s="1927"/>
      <c r="V1515" s="2172"/>
      <c r="W1515" s="2172"/>
      <c r="X1515" s="1929"/>
      <c r="Y1515" s="1929"/>
    </row>
    <row r="1516" spans="2:25" s="1823" customFormat="1" ht="48" customHeight="1" thickBot="1">
      <c r="B1516" s="1843">
        <v>0.58333333333333304</v>
      </c>
      <c r="C1516" s="1844"/>
      <c r="D1516" s="2426">
        <v>5</v>
      </c>
      <c r="E1516" s="2281"/>
      <c r="F1516" s="2426">
        <v>20</v>
      </c>
      <c r="G1516" s="2105"/>
      <c r="H1516" s="2104"/>
      <c r="I1516" s="2105"/>
      <c r="J1516" s="2427">
        <f t="shared" si="159"/>
        <v>0</v>
      </c>
      <c r="K1516" s="2428">
        <f t="shared" si="158"/>
        <v>0</v>
      </c>
      <c r="L1516" s="2105">
        <v>1</v>
      </c>
      <c r="M1516" s="2429"/>
      <c r="N1516" s="2430"/>
      <c r="O1516" s="3297"/>
      <c r="P1516" s="3725"/>
      <c r="Q1516" s="2431"/>
      <c r="R1516" s="2299"/>
      <c r="S1516" s="2432"/>
      <c r="T1516" s="2433"/>
      <c r="U1516" s="1824"/>
      <c r="V1516" s="3320" t="e">
        <f>VLOOKUP(M1516,'[1]TABELA FRETE'!$A$6:$B$12,2,0)</f>
        <v>#N/A</v>
      </c>
      <c r="W1516" s="3321"/>
      <c r="X1516" s="3322"/>
      <c r="Y1516" s="3323"/>
    </row>
    <row r="1517" spans="2:25" s="1823" customFormat="1" ht="48" customHeight="1" thickBot="1">
      <c r="B1517" s="1938">
        <v>0.58333333333333304</v>
      </c>
      <c r="C1517" s="1844"/>
      <c r="D1517" s="2434">
        <v>25</v>
      </c>
      <c r="E1517" s="2435"/>
      <c r="F1517" s="1998">
        <v>22</v>
      </c>
      <c r="G1517" s="1883"/>
      <c r="H1517" s="2010"/>
      <c r="I1517" s="1883"/>
      <c r="J1517" s="2436">
        <f t="shared" si="159"/>
        <v>0</v>
      </c>
      <c r="K1517" s="2437">
        <f t="shared" si="158"/>
        <v>0</v>
      </c>
      <c r="L1517" s="1886">
        <v>1</v>
      </c>
      <c r="M1517" s="2438"/>
      <c r="N1517" s="2439"/>
      <c r="O1517" s="3327"/>
      <c r="P1517" s="3331"/>
      <c r="Q1517" s="2440"/>
      <c r="R1517" s="2441"/>
      <c r="S1517" s="2442"/>
      <c r="T1517" s="2443"/>
      <c r="U1517" s="1824"/>
      <c r="V1517" s="3320" t="e">
        <f>VLOOKUP(M1517,'[1]TABELA FRETE'!$A$6:$B$12,2,0)</f>
        <v>#N/A</v>
      </c>
      <c r="W1517" s="3321"/>
      <c r="X1517" s="3322"/>
      <c r="Y1517" s="3323"/>
    </row>
    <row r="1518" spans="2:25" s="1823" customFormat="1" ht="48" customHeight="1" thickBot="1">
      <c r="B1518" s="1938">
        <v>0.58333333333333304</v>
      </c>
      <c r="C1518" s="1844"/>
      <c r="D1518" s="1975">
        <v>31</v>
      </c>
      <c r="E1518" s="2056"/>
      <c r="F1518" s="1948"/>
      <c r="G1518" s="1872"/>
      <c r="H1518" s="1977"/>
      <c r="I1518" s="1872"/>
      <c r="J1518" s="2407">
        <f t="shared" si="159"/>
        <v>0</v>
      </c>
      <c r="K1518" s="2414">
        <f t="shared" si="158"/>
        <v>0</v>
      </c>
      <c r="L1518" s="1876">
        <v>1</v>
      </c>
      <c r="M1518" s="2416"/>
      <c r="N1518" s="2417"/>
      <c r="O1518" s="3727"/>
      <c r="P1518" s="3728"/>
      <c r="Q1518" s="2445"/>
      <c r="R1518" s="2256"/>
      <c r="S1518" s="2446"/>
      <c r="T1518" s="2444"/>
      <c r="U1518" s="1824"/>
      <c r="V1518" s="3320" t="e">
        <f>VLOOKUP(M1518,'[1]TABELA FRETE'!$A$6:$B$12,2,0)</f>
        <v>#N/A</v>
      </c>
      <c r="W1518" s="3321"/>
      <c r="X1518" s="3460"/>
      <c r="Y1518" s="3461"/>
    </row>
    <row r="1519" spans="2:25" s="1823" customFormat="1" ht="48" customHeight="1" thickBot="1">
      <c r="B1519" s="1974">
        <v>0.58333333333333304</v>
      </c>
      <c r="C1519" s="1844"/>
      <c r="D1519" s="1979">
        <v>17</v>
      </c>
      <c r="E1519" s="1860"/>
      <c r="F1519" s="1980"/>
      <c r="G1519" s="1860"/>
      <c r="H1519" s="1981"/>
      <c r="I1519" s="1982"/>
      <c r="J1519" s="2447">
        <f t="shared" si="159"/>
        <v>0</v>
      </c>
      <c r="K1519" s="2408">
        <f t="shared" si="158"/>
        <v>0</v>
      </c>
      <c r="L1519" s="1861">
        <v>1</v>
      </c>
      <c r="M1519" s="2017"/>
      <c r="N1519" s="2448"/>
      <c r="O1519" s="3729"/>
      <c r="P1519" s="3469"/>
      <c r="Q1519" s="2024"/>
      <c r="R1519" s="2174"/>
      <c r="S1519" s="2449"/>
      <c r="T1519" s="2119"/>
      <c r="U1519" s="1824"/>
      <c r="V1519" s="3320" t="e">
        <f>VLOOKUP(M1519,'[1]TABELA FRETE'!$A$6:$B$12,2,0)</f>
        <v>#N/A</v>
      </c>
      <c r="W1519" s="3321"/>
      <c r="X1519" s="3322"/>
      <c r="Y1519" s="3323"/>
    </row>
    <row r="1520" spans="2:25" s="1823" customFormat="1" ht="48" customHeight="1" thickBot="1">
      <c r="B1520" s="1974">
        <v>0.58333333333333304</v>
      </c>
      <c r="C1520" s="1844"/>
      <c r="D1520" s="1998">
        <v>23</v>
      </c>
      <c r="E1520" s="1883"/>
      <c r="F1520" s="1999"/>
      <c r="G1520" s="1883"/>
      <c r="H1520" s="1956"/>
      <c r="I1520" s="1885"/>
      <c r="J1520" s="2436">
        <f t="shared" si="159"/>
        <v>0</v>
      </c>
      <c r="K1520" s="2437">
        <f t="shared" si="158"/>
        <v>0</v>
      </c>
      <c r="L1520" s="1886">
        <v>1</v>
      </c>
      <c r="M1520" s="2006"/>
      <c r="N1520" s="2450"/>
      <c r="O1520" s="3330"/>
      <c r="P1520" s="3327"/>
      <c r="Q1520" s="1898"/>
      <c r="R1520" s="1855"/>
      <c r="S1520" s="2183"/>
      <c r="T1520" s="1890"/>
      <c r="U1520" s="1824"/>
      <c r="V1520" s="3320" t="e">
        <f>VLOOKUP(M1520,'[1]TABELA FRETE'!$A$6:$B$12,2,0)</f>
        <v>#N/A</v>
      </c>
      <c r="W1520" s="3321"/>
      <c r="X1520" s="3322"/>
      <c r="Y1520" s="3323"/>
    </row>
    <row r="1521" spans="2:25" s="1823" customFormat="1" ht="48" customHeight="1" thickBot="1">
      <c r="B1521" s="1974">
        <v>0.58333333333333304</v>
      </c>
      <c r="C1521" s="1844"/>
      <c r="D1521" s="1975">
        <v>44</v>
      </c>
      <c r="E1521" s="1872"/>
      <c r="F1521" s="1939"/>
      <c r="G1521" s="1876"/>
      <c r="H1521" s="2207"/>
      <c r="I1521" s="1876"/>
      <c r="J1521" s="2436">
        <f t="shared" si="159"/>
        <v>0</v>
      </c>
      <c r="K1521" s="2437">
        <f t="shared" si="158"/>
        <v>0</v>
      </c>
      <c r="L1521" s="1886">
        <v>1</v>
      </c>
      <c r="M1521" s="2006"/>
      <c r="N1521" s="2450"/>
      <c r="O1521" s="3330"/>
      <c r="P1521" s="3327"/>
      <c r="Q1521" s="1898"/>
      <c r="R1521" s="1855"/>
      <c r="S1521" s="2183"/>
      <c r="T1521" s="1890"/>
      <c r="U1521" s="1927"/>
      <c r="V1521" s="3320" t="e">
        <f>VLOOKUP(M1521,'[1]TABELA FRETE'!$A$6:$B$12,2,0)</f>
        <v>#N/A</v>
      </c>
      <c r="W1521" s="3321"/>
      <c r="X1521" s="3322"/>
      <c r="Y1521" s="3323"/>
    </row>
    <row r="1522" spans="2:25" s="1823" customFormat="1" ht="63" customHeight="1" thickBot="1">
      <c r="B1522" s="1938">
        <v>0.58333333333333304</v>
      </c>
      <c r="C1522" s="1844"/>
      <c r="D1522" s="2003" t="s">
        <v>78</v>
      </c>
      <c r="E1522" s="1872"/>
      <c r="F1522" s="1976"/>
      <c r="G1522" s="1872"/>
      <c r="H1522" s="1940"/>
      <c r="I1522" s="1874"/>
      <c r="J1522" s="2407">
        <f t="shared" si="159"/>
        <v>0</v>
      </c>
      <c r="K1522" s="2414">
        <f t="shared" si="158"/>
        <v>0</v>
      </c>
      <c r="L1522" s="1876">
        <v>1</v>
      </c>
      <c r="M1522" s="2006"/>
      <c r="N1522" s="2450"/>
      <c r="O1522" s="3330"/>
      <c r="P1522" s="3327"/>
      <c r="Q1522" s="1898"/>
      <c r="R1522" s="1855"/>
      <c r="S1522" s="2183"/>
      <c r="T1522" s="1890"/>
      <c r="U1522" s="1824"/>
      <c r="V1522" s="3320" t="e">
        <f>VLOOKUP(M1522,'[1]TABELA FRETE'!$A$6:$B$12,2,0)</f>
        <v>#N/A</v>
      </c>
      <c r="W1522" s="3321"/>
      <c r="X1522" s="3322"/>
      <c r="Y1522" s="3323"/>
    </row>
    <row r="1523" spans="2:25" s="1823" customFormat="1" ht="48" customHeight="1" thickBot="1">
      <c r="B1523" s="1938">
        <v>0.58333333333333304</v>
      </c>
      <c r="C1523" s="1844"/>
      <c r="D1523" s="1809">
        <v>10</v>
      </c>
      <c r="E1523" s="1872"/>
      <c r="F1523" s="1976"/>
      <c r="G1523" s="1872"/>
      <c r="H1523" s="1940"/>
      <c r="I1523" s="1874"/>
      <c r="J1523" s="2407">
        <f t="shared" si="159"/>
        <v>0</v>
      </c>
      <c r="K1523" s="2414">
        <f t="shared" si="158"/>
        <v>0</v>
      </c>
      <c r="L1523" s="1876">
        <v>1</v>
      </c>
      <c r="M1523" s="2006"/>
      <c r="N1523" s="2450"/>
      <c r="O1523" s="3330"/>
      <c r="P1523" s="3327"/>
      <c r="Q1523" s="1898"/>
      <c r="R1523" s="1855"/>
      <c r="S1523" s="2183"/>
      <c r="T1523" s="1890"/>
      <c r="U1523" s="1824"/>
      <c r="V1523" s="3320" t="e">
        <f>VLOOKUP(M1523,'[1]TABELA FRETE'!$A$6:$B$12,2,0)</f>
        <v>#N/A</v>
      </c>
      <c r="W1523" s="3321"/>
      <c r="X1523" s="3322"/>
      <c r="Y1523" s="3323"/>
    </row>
    <row r="1524" spans="2:25" s="1823" customFormat="1" ht="48" customHeight="1" thickBot="1">
      <c r="B1524" s="2116">
        <v>0.58333333333333304</v>
      </c>
      <c r="C1524" s="1844"/>
      <c r="D1524" s="1991">
        <v>40</v>
      </c>
      <c r="E1524" s="1992"/>
      <c r="F1524" s="1980"/>
      <c r="G1524" s="1860"/>
      <c r="H1524" s="2118"/>
      <c r="I1524" s="1992"/>
      <c r="J1524" s="2447">
        <f>E1524+G1524+I1524</f>
        <v>0</v>
      </c>
      <c r="K1524" s="2408">
        <f>J1524/450</f>
        <v>0</v>
      </c>
      <c r="L1524" s="2451">
        <v>1</v>
      </c>
      <c r="M1524" s="2452"/>
      <c r="N1524" s="2453"/>
      <c r="O1524" s="3729"/>
      <c r="P1524" s="3469"/>
      <c r="Q1524" s="1989"/>
      <c r="R1524" s="1988"/>
      <c r="S1524" s="2454"/>
      <c r="T1524" s="1987"/>
      <c r="U1524" s="1824"/>
      <c r="V1524" s="3320" t="e">
        <f>VLOOKUP(M1524,'[1]TABELA FRETE'!$A$6:$B$12,2,0)</f>
        <v>#N/A</v>
      </c>
      <c r="W1524" s="3321"/>
      <c r="X1524" s="3322"/>
      <c r="Y1524" s="3323"/>
    </row>
    <row r="1525" spans="2:25" s="1823" customFormat="1" ht="48" customHeight="1" thickBot="1">
      <c r="B1525" s="1858">
        <v>0.58333333333333304</v>
      </c>
      <c r="C1525" s="1844"/>
      <c r="D1525" s="1998">
        <v>32</v>
      </c>
      <c r="E1525" s="1883"/>
      <c r="F1525" s="1976"/>
      <c r="G1525" s="1883"/>
      <c r="H1525" s="2010"/>
      <c r="I1525" s="1883"/>
      <c r="J1525" s="2407">
        <f t="shared" si="159"/>
        <v>0</v>
      </c>
      <c r="K1525" s="2414">
        <f t="shared" si="158"/>
        <v>0</v>
      </c>
      <c r="L1525" s="1886">
        <v>1</v>
      </c>
      <c r="M1525" s="2416"/>
      <c r="N1525" s="2455"/>
      <c r="O1525" s="3330"/>
      <c r="P1525" s="3327"/>
      <c r="Q1525" s="1942"/>
      <c r="R1525" s="1941"/>
      <c r="S1525" s="2456"/>
      <c r="T1525" s="1896"/>
      <c r="U1525" s="1824"/>
      <c r="V1525" s="3320" t="e">
        <f>VLOOKUP(M1525,'[1]TABELA FRETE'!$A$6:$B$12,2,0)</f>
        <v>#N/A</v>
      </c>
      <c r="W1525" s="3321"/>
      <c r="X1525" s="3322"/>
      <c r="Y1525" s="3323"/>
    </row>
    <row r="1526" spans="2:25" s="1823" customFormat="1" ht="48" customHeight="1" thickBot="1">
      <c r="B1526" s="1858">
        <v>0.58333333333333304</v>
      </c>
      <c r="C1526" s="1844"/>
      <c r="D1526" s="1998">
        <v>42</v>
      </c>
      <c r="E1526" s="1883"/>
      <c r="F1526" s="1999">
        <v>36</v>
      </c>
      <c r="G1526" s="1883"/>
      <c r="H1526" s="2010"/>
      <c r="I1526" s="1883"/>
      <c r="J1526" s="2407">
        <f t="shared" si="159"/>
        <v>0</v>
      </c>
      <c r="K1526" s="2414">
        <f t="shared" si="158"/>
        <v>0</v>
      </c>
      <c r="L1526" s="1886">
        <v>1</v>
      </c>
      <c r="M1526" s="2416"/>
      <c r="N1526" s="2455"/>
      <c r="O1526" s="3330"/>
      <c r="P1526" s="3327"/>
      <c r="Q1526" s="1942"/>
      <c r="R1526" s="1941"/>
      <c r="S1526" s="2456"/>
      <c r="T1526" s="1896"/>
      <c r="U1526" s="1824"/>
      <c r="V1526" s="3320" t="e">
        <f>VLOOKUP(M1526,'[1]TABELA FRETE'!$A$6:$B$12,2,0)</f>
        <v>#N/A</v>
      </c>
      <c r="W1526" s="3321"/>
      <c r="X1526" s="3322"/>
      <c r="Y1526" s="3323"/>
    </row>
    <row r="1527" spans="2:25" s="1823" customFormat="1" ht="48" customHeight="1" thickBot="1">
      <c r="B1527" s="1858">
        <v>0.58333333333333304</v>
      </c>
      <c r="C1527" s="1844"/>
      <c r="D1527" s="1998">
        <v>3</v>
      </c>
      <c r="E1527" s="1883"/>
      <c r="F1527" s="1999">
        <v>26</v>
      </c>
      <c r="G1527" s="1883"/>
      <c r="H1527" s="2010"/>
      <c r="I1527" s="1883"/>
      <c r="J1527" s="2407">
        <f t="shared" si="159"/>
        <v>0</v>
      </c>
      <c r="K1527" s="2414">
        <f t="shared" si="158"/>
        <v>0</v>
      </c>
      <c r="L1527" s="1886">
        <v>1</v>
      </c>
      <c r="M1527" s="2416"/>
      <c r="N1527" s="2455"/>
      <c r="O1527" s="3330"/>
      <c r="P1527" s="3327"/>
      <c r="Q1527" s="1942"/>
      <c r="R1527" s="1941"/>
      <c r="S1527" s="2456"/>
      <c r="T1527" s="1896"/>
      <c r="U1527" s="1824"/>
      <c r="V1527" s="3320" t="e">
        <f>VLOOKUP(M1527,'[1]TABELA FRETE'!$A$6:$B$12,2,0)</f>
        <v>#N/A</v>
      </c>
      <c r="W1527" s="3321"/>
      <c r="X1527" s="3322"/>
      <c r="Y1527" s="3323"/>
    </row>
    <row r="1528" spans="2:25" s="1823" customFormat="1" ht="63" customHeight="1" thickBot="1">
      <c r="B1528" s="1858">
        <v>0.58333333333333304</v>
      </c>
      <c r="C1528" s="1844"/>
      <c r="D1528" s="2021" t="s">
        <v>198</v>
      </c>
      <c r="E1528" s="1883"/>
      <c r="F1528" s="1999"/>
      <c r="G1528" s="1883"/>
      <c r="H1528" s="2010"/>
      <c r="I1528" s="1883"/>
      <c r="J1528" s="2407">
        <f t="shared" si="159"/>
        <v>0</v>
      </c>
      <c r="K1528" s="2414">
        <f t="shared" si="158"/>
        <v>0</v>
      </c>
      <c r="L1528" s="1886">
        <v>1</v>
      </c>
      <c r="M1528" s="2006"/>
      <c r="N1528" s="2457"/>
      <c r="O1528" s="3330"/>
      <c r="P1528" s="3327"/>
      <c r="Q1528" s="2008"/>
      <c r="R1528" s="2007"/>
      <c r="S1528" s="2458"/>
      <c r="T1528" s="2113"/>
      <c r="U1528" s="1824"/>
      <c r="V1528" s="3320" t="e">
        <f>VLOOKUP(M1528,'[1]TABELA FRETE'!$D$25:$E$29,2,0)</f>
        <v>#N/A</v>
      </c>
      <c r="W1528" s="3321"/>
      <c r="X1528" s="3322"/>
      <c r="Y1528" s="3323"/>
    </row>
    <row r="1529" spans="2:25" s="1823" customFormat="1" ht="47.25" customHeight="1" thickBot="1">
      <c r="B1529" s="1858">
        <v>0.58333333333333304</v>
      </c>
      <c r="C1529" s="1844"/>
      <c r="D1529" s="1809">
        <v>1129</v>
      </c>
      <c r="E1529" s="1874"/>
      <c r="F1529" s="1976"/>
      <c r="G1529" s="1872"/>
      <c r="H1529" s="1977"/>
      <c r="I1529" s="1872"/>
      <c r="J1529" s="2407">
        <f t="shared" si="159"/>
        <v>0</v>
      </c>
      <c r="K1529" s="2414">
        <f t="shared" si="158"/>
        <v>0</v>
      </c>
      <c r="L1529" s="1876">
        <v>1</v>
      </c>
      <c r="M1529" s="2006"/>
      <c r="N1529" s="2450"/>
      <c r="O1529" s="3330"/>
      <c r="P1529" s="3327"/>
      <c r="Q1529" s="1950"/>
      <c r="R1529" s="1855"/>
      <c r="S1529" s="2183"/>
      <c r="T1529" s="1890"/>
      <c r="U1529" s="1824"/>
      <c r="V1529" s="3320" t="e">
        <f>VLOOKUP(M1529,'[1]TABELA FRETE'!$A$6:$B$12,2,0)</f>
        <v>#N/A</v>
      </c>
      <c r="W1529" s="3321"/>
      <c r="X1529" s="3460"/>
      <c r="Y1529" s="3461"/>
    </row>
    <row r="1530" spans="2:25" s="1823" customFormat="1" ht="48" customHeight="1" thickBot="1">
      <c r="B1530" s="1858">
        <v>0.70833333333333304</v>
      </c>
      <c r="C1530" s="1844"/>
      <c r="D1530" s="2110">
        <v>6</v>
      </c>
      <c r="E1530" s="2459"/>
      <c r="F1530" s="2044"/>
      <c r="G1530" s="1874"/>
      <c r="H1530" s="2460"/>
      <c r="I1530" s="2461"/>
      <c r="J1530" s="2057">
        <f>E1530+G1530+I1530</f>
        <v>0</v>
      </c>
      <c r="K1530" s="2462">
        <f>J1530/450</f>
        <v>0</v>
      </c>
      <c r="L1530" s="1874">
        <v>1</v>
      </c>
      <c r="M1530" s="2463"/>
      <c r="N1530" s="1853"/>
      <c r="O1530" s="3326"/>
      <c r="P1530" s="3331"/>
      <c r="Q1530" s="1889"/>
      <c r="R1530" s="1889"/>
      <c r="S1530" s="2464"/>
      <c r="T1530" s="1950"/>
      <c r="U1530" s="1824"/>
      <c r="V1530" s="3320" t="e">
        <f>VLOOKUP(M1530,'[1]TABELA FRETE'!$A$6:$B$12,2,0)</f>
        <v>#N/A</v>
      </c>
      <c r="W1530" s="3321"/>
      <c r="X1530" s="3322"/>
      <c r="Y1530" s="3323"/>
    </row>
    <row r="1531" spans="2:25" s="1823" customFormat="1" ht="61.5" customHeight="1" thickBot="1">
      <c r="B1531" s="1901">
        <v>0.58333333333333304</v>
      </c>
      <c r="C1531" s="1844"/>
      <c r="D1531" s="2465">
        <v>46</v>
      </c>
      <c r="E1531" s="2466"/>
      <c r="F1531" s="2467"/>
      <c r="G1531" s="2466"/>
      <c r="H1531" s="2152"/>
      <c r="I1531" s="2468"/>
      <c r="J1531" s="2469">
        <f t="shared" ref="J1531:J1542" si="160">E1531+G1531+I1531</f>
        <v>0</v>
      </c>
      <c r="K1531" s="2470">
        <f t="shared" ref="K1531:K1541" si="161">J1531/450</f>
        <v>0</v>
      </c>
      <c r="L1531" s="2210">
        <v>1</v>
      </c>
      <c r="M1531" s="2471"/>
      <c r="N1531" s="2472"/>
      <c r="O1531" s="3730"/>
      <c r="P1531" s="3731"/>
      <c r="Q1531" s="2473"/>
      <c r="R1531" s="2473"/>
      <c r="S1531" s="2474"/>
      <c r="T1531" s="1965"/>
      <c r="U1531" s="1824"/>
      <c r="V1531" s="3320" t="e">
        <f>VLOOKUP(M1531,'[1]TABELA FRETE'!$A$6:$B$12,2,0)</f>
        <v>#N/A</v>
      </c>
      <c r="W1531" s="3321"/>
      <c r="X1531" s="3460"/>
      <c r="Y1531" s="3461"/>
    </row>
    <row r="1532" spans="2:25" s="1916" customFormat="1" ht="6" customHeight="1" thickBot="1">
      <c r="B1532" s="1844"/>
      <c r="C1532" s="1844"/>
      <c r="D1532" s="2032"/>
      <c r="E1532" s="1919"/>
      <c r="F1532" s="2033"/>
      <c r="G1532" s="1919"/>
      <c r="H1532" s="1920"/>
      <c r="I1532" s="1919"/>
      <c r="J1532" s="1919"/>
      <c r="K1532" s="1921"/>
      <c r="L1532" s="1919"/>
      <c r="M1532" s="1966"/>
      <c r="N1532" s="1967"/>
      <c r="O1532" s="1968"/>
      <c r="P1532" s="1968"/>
      <c r="Q1532" s="1925"/>
      <c r="R1532" s="1968"/>
      <c r="S1532" s="2034"/>
      <c r="T1532" s="1968"/>
      <c r="U1532" s="1927"/>
      <c r="V1532" s="2172"/>
      <c r="W1532" s="2172"/>
      <c r="X1532" s="1929"/>
      <c r="Y1532" s="1929"/>
    </row>
    <row r="1533" spans="2:25" s="1823" customFormat="1" ht="48" customHeight="1" thickBot="1">
      <c r="B1533" s="1843">
        <v>0.70833333333333304</v>
      </c>
      <c r="C1533" s="1844"/>
      <c r="D1533" s="2123">
        <v>33</v>
      </c>
      <c r="E1533" s="2475"/>
      <c r="F1533" s="2035"/>
      <c r="G1533" s="1846"/>
      <c r="H1533" s="2476"/>
      <c r="I1533" s="2154"/>
      <c r="J1533" s="2154">
        <f t="shared" si="160"/>
        <v>0</v>
      </c>
      <c r="K1533" s="2477">
        <f t="shared" si="161"/>
        <v>0</v>
      </c>
      <c r="L1533" s="2282">
        <v>1</v>
      </c>
      <c r="M1533" s="2478">
        <v>1016</v>
      </c>
      <c r="N1533" s="1971">
        <v>8</v>
      </c>
      <c r="O1533" s="3466" t="s">
        <v>81</v>
      </c>
      <c r="P1533" s="3732"/>
      <c r="Q1533" s="2415">
        <v>1</v>
      </c>
      <c r="R1533" s="2415">
        <v>0</v>
      </c>
      <c r="S1533" s="2479" t="s">
        <v>163</v>
      </c>
      <c r="T1533" s="1900">
        <v>606</v>
      </c>
      <c r="U1533" s="1824"/>
      <c r="V1533" s="3320">
        <f>VLOOKUP(M1533,'[1]TABELA FRETE'!$A$6:$B$12,2,0)</f>
        <v>425.7</v>
      </c>
      <c r="W1533" s="3321"/>
      <c r="X1533" s="3322"/>
      <c r="Y1533" s="3323"/>
    </row>
    <row r="1534" spans="2:25" s="1823" customFormat="1" ht="48" customHeight="1" thickBot="1">
      <c r="B1534" s="1858">
        <v>0.70833333333333304</v>
      </c>
      <c r="C1534" s="1844"/>
      <c r="D1534" s="2124">
        <v>21</v>
      </c>
      <c r="E1534" s="2459"/>
      <c r="F1534" s="2480"/>
      <c r="G1534" s="1872"/>
      <c r="H1534" s="2460"/>
      <c r="I1534" s="2461"/>
      <c r="J1534" s="2057">
        <f t="shared" si="160"/>
        <v>0</v>
      </c>
      <c r="K1534" s="2462">
        <f t="shared" si="161"/>
        <v>0</v>
      </c>
      <c r="L1534" s="1874">
        <v>1</v>
      </c>
      <c r="M1534" s="2481">
        <v>1016</v>
      </c>
      <c r="N1534" s="1895">
        <v>10</v>
      </c>
      <c r="O1534" s="3306" t="s">
        <v>85</v>
      </c>
      <c r="P1534" s="3453"/>
      <c r="Q1534" s="2415">
        <v>2</v>
      </c>
      <c r="R1534" s="2415">
        <v>0</v>
      </c>
      <c r="S1534" s="2479" t="s">
        <v>86</v>
      </c>
      <c r="T1534" s="1900">
        <v>714</v>
      </c>
      <c r="U1534" s="1824"/>
      <c r="V1534" s="3320">
        <f>VLOOKUP(M1534,'[1]TABELA FRETE'!$A$6:$B$12,2,0)</f>
        <v>425.7</v>
      </c>
      <c r="W1534" s="3321"/>
      <c r="X1534" s="3322"/>
      <c r="Y1534" s="3323"/>
    </row>
    <row r="1535" spans="2:25" s="1823" customFormat="1" ht="48" customHeight="1" thickBot="1">
      <c r="B1535" s="1938">
        <v>0.70833333333333304</v>
      </c>
      <c r="C1535" s="1844"/>
      <c r="D1535" s="2124">
        <v>30</v>
      </c>
      <c r="E1535" s="2459"/>
      <c r="F1535" s="2289"/>
      <c r="G1535" s="1860"/>
      <c r="H1535" s="2460"/>
      <c r="I1535" s="2461"/>
      <c r="J1535" s="2057">
        <f t="shared" si="160"/>
        <v>0</v>
      </c>
      <c r="K1535" s="2462">
        <f t="shared" si="161"/>
        <v>0</v>
      </c>
      <c r="L1535" s="1874">
        <v>1</v>
      </c>
      <c r="M1535" s="2463">
        <v>1016</v>
      </c>
      <c r="N1535" s="1853">
        <v>8</v>
      </c>
      <c r="O1535" s="3326" t="s">
        <v>44</v>
      </c>
      <c r="P1535" s="3331"/>
      <c r="Q1535" s="2415">
        <v>2</v>
      </c>
      <c r="R1535" s="1889">
        <v>0</v>
      </c>
      <c r="S1535" s="2464" t="s">
        <v>103</v>
      </c>
      <c r="T1535" s="1950">
        <v>674</v>
      </c>
      <c r="U1535" s="1824"/>
      <c r="V1535" s="3320">
        <f>VLOOKUP(M1535,'[1]TABELA FRETE'!$A$6:$B$12,2,0)</f>
        <v>425.7</v>
      </c>
      <c r="W1535" s="3321"/>
      <c r="X1535" s="3322"/>
      <c r="Y1535" s="3323"/>
    </row>
    <row r="1536" spans="2:25" s="1823" customFormat="1" ht="48" customHeight="1" thickBot="1">
      <c r="B1536" s="1938">
        <v>0.70833333333333304</v>
      </c>
      <c r="C1536" s="1844"/>
      <c r="D1536" s="2124">
        <v>27</v>
      </c>
      <c r="E1536" s="2459"/>
      <c r="F1536" s="2482" t="s">
        <v>201</v>
      </c>
      <c r="G1536" s="1860"/>
      <c r="H1536" s="2483"/>
      <c r="I1536" s="2484"/>
      <c r="J1536" s="2057">
        <f t="shared" si="160"/>
        <v>0</v>
      </c>
      <c r="K1536" s="2462">
        <f t="shared" si="161"/>
        <v>0</v>
      </c>
      <c r="L1536" s="1874">
        <v>1</v>
      </c>
      <c r="M1536" s="2463">
        <v>1016</v>
      </c>
      <c r="N1536" s="1853">
        <v>8</v>
      </c>
      <c r="O1536" s="3326" t="s">
        <v>46</v>
      </c>
      <c r="P1536" s="3331"/>
      <c r="Q1536" s="1889">
        <v>2</v>
      </c>
      <c r="R1536" s="1889">
        <v>0</v>
      </c>
      <c r="S1536" s="2464" t="s">
        <v>102</v>
      </c>
      <c r="T1536" s="1950">
        <v>48</v>
      </c>
      <c r="U1536" s="1927"/>
      <c r="V1536" s="3320">
        <f>VLOOKUP(M1536,'[1]TABELA FRETE'!$A$6:$B$12,2,0)</f>
        <v>425.7</v>
      </c>
      <c r="W1536" s="3321"/>
      <c r="X1536" s="3322"/>
      <c r="Y1536" s="3323"/>
    </row>
    <row r="1537" spans="2:25" s="1823" customFormat="1" ht="48" customHeight="1" thickBot="1">
      <c r="B1537" s="1938">
        <v>0.70833333333333304</v>
      </c>
      <c r="C1537" s="1844"/>
      <c r="D1537" s="2124">
        <v>4</v>
      </c>
      <c r="E1537" s="2459"/>
      <c r="F1537" s="2482"/>
      <c r="G1537" s="1860"/>
      <c r="H1537" s="2485"/>
      <c r="I1537" s="2461"/>
      <c r="J1537" s="2057">
        <f t="shared" si="160"/>
        <v>0</v>
      </c>
      <c r="K1537" s="2462">
        <f t="shared" si="161"/>
        <v>0</v>
      </c>
      <c r="L1537" s="1874">
        <v>1</v>
      </c>
      <c r="M1537" s="2463">
        <v>1016</v>
      </c>
      <c r="N1537" s="1853">
        <v>8</v>
      </c>
      <c r="O1537" s="3326" t="s">
        <v>92</v>
      </c>
      <c r="P1537" s="3331"/>
      <c r="Q1537" s="1889">
        <v>2</v>
      </c>
      <c r="R1537" s="1889">
        <v>0</v>
      </c>
      <c r="S1537" s="2464" t="s">
        <v>104</v>
      </c>
      <c r="T1537" s="1950">
        <v>576</v>
      </c>
      <c r="U1537" s="1927"/>
      <c r="V1537" s="3320">
        <f>VLOOKUP(M1537,'[1]TABELA FRETE'!$A$6:$B$12,2,0)</f>
        <v>425.7</v>
      </c>
      <c r="W1537" s="3321"/>
      <c r="X1537" s="3322"/>
      <c r="Y1537" s="3323"/>
    </row>
    <row r="1538" spans="2:25" s="1823" customFormat="1" ht="48" customHeight="1" thickBot="1">
      <c r="B1538" s="1938">
        <v>0.70833333333333304</v>
      </c>
      <c r="C1538" s="1844"/>
      <c r="D1538" s="2124">
        <v>18</v>
      </c>
      <c r="E1538" s="2459"/>
      <c r="F1538" s="2482"/>
      <c r="G1538" s="1860"/>
      <c r="H1538" s="2485"/>
      <c r="I1538" s="2461"/>
      <c r="J1538" s="2057">
        <f t="shared" si="160"/>
        <v>0</v>
      </c>
      <c r="K1538" s="2462">
        <f t="shared" si="161"/>
        <v>0</v>
      </c>
      <c r="L1538" s="1874">
        <v>1</v>
      </c>
      <c r="M1538" s="2463">
        <v>1016</v>
      </c>
      <c r="N1538" s="1853">
        <v>7</v>
      </c>
      <c r="O1538" s="3306" t="s">
        <v>56</v>
      </c>
      <c r="P1538" s="3307"/>
      <c r="Q1538" s="2415">
        <v>1</v>
      </c>
      <c r="R1538" s="2415">
        <v>0</v>
      </c>
      <c r="S1538" s="2479" t="s">
        <v>57</v>
      </c>
      <c r="T1538" s="1950">
        <v>663</v>
      </c>
      <c r="U1538" s="1927"/>
      <c r="V1538" s="3320">
        <f>VLOOKUP(M1538,'[1]TABELA FRETE'!$A$6:$B$12,2,0)</f>
        <v>425.7</v>
      </c>
      <c r="W1538" s="3321"/>
      <c r="X1538" s="3322"/>
      <c r="Y1538" s="3323"/>
    </row>
    <row r="1539" spans="2:25" s="1823" customFormat="1" ht="48" customHeight="1" thickBot="1">
      <c r="B1539" s="1858">
        <v>0.70833333333333304</v>
      </c>
      <c r="C1539" s="1844"/>
      <c r="D1539" s="2124">
        <v>7</v>
      </c>
      <c r="E1539" s="2459"/>
      <c r="F1539" s="2044"/>
      <c r="G1539" s="1874"/>
      <c r="H1539" s="2460"/>
      <c r="I1539" s="2461"/>
      <c r="J1539" s="2057">
        <f t="shared" si="160"/>
        <v>0</v>
      </c>
      <c r="K1539" s="2462">
        <f t="shared" si="161"/>
        <v>0</v>
      </c>
      <c r="L1539" s="1874">
        <v>1</v>
      </c>
      <c r="M1539" s="2486" t="s">
        <v>7</v>
      </c>
      <c r="N1539" s="1888">
        <v>12</v>
      </c>
      <c r="O1539" s="3733" t="s">
        <v>50</v>
      </c>
      <c r="P1539" s="3529"/>
      <c r="Q1539" s="2487">
        <v>2</v>
      </c>
      <c r="R1539" s="2487">
        <v>0</v>
      </c>
      <c r="S1539" s="2488" t="s">
        <v>105</v>
      </c>
      <c r="T1539" s="1891">
        <v>612</v>
      </c>
      <c r="U1539" s="1824"/>
      <c r="V1539" s="3320">
        <f>VLOOKUP(M1539,'[1]TABELA FRETE'!$A$6:$B$12,2,0)</f>
        <v>466.4</v>
      </c>
      <c r="W1539" s="3321"/>
      <c r="X1539" s="3322"/>
      <c r="Y1539" s="3323"/>
    </row>
    <row r="1540" spans="2:25" s="1823" customFormat="1" ht="48" customHeight="1" thickBot="1">
      <c r="B1540" s="1858">
        <v>0.70833333333333304</v>
      </c>
      <c r="C1540" s="1844"/>
      <c r="D1540" s="2489">
        <v>48</v>
      </c>
      <c r="E1540" s="2490"/>
      <c r="F1540" s="2290"/>
      <c r="G1540" s="1885"/>
      <c r="H1540" s="2491"/>
      <c r="I1540" s="2492"/>
      <c r="J1540" s="2057">
        <f t="shared" si="160"/>
        <v>0</v>
      </c>
      <c r="K1540" s="2462">
        <f t="shared" si="161"/>
        <v>0</v>
      </c>
      <c r="L1540" s="1885">
        <v>1</v>
      </c>
      <c r="M1540" s="2463">
        <v>1016</v>
      </c>
      <c r="N1540" s="1853">
        <v>8</v>
      </c>
      <c r="O1540" s="3306" t="s">
        <v>88</v>
      </c>
      <c r="P1540" s="3453"/>
      <c r="Q1540" s="2415">
        <v>1</v>
      </c>
      <c r="R1540" s="2415">
        <v>0</v>
      </c>
      <c r="S1540" s="2479" t="s">
        <v>184</v>
      </c>
      <c r="T1540" s="1950">
        <v>799</v>
      </c>
      <c r="U1540" s="1824"/>
      <c r="V1540" s="3320">
        <f>VLOOKUP(M1540,'[1]TABELA FRETE'!$A$6:$B$12,2,0)</f>
        <v>425.7</v>
      </c>
      <c r="W1540" s="3321"/>
      <c r="X1540" s="3322"/>
      <c r="Y1540" s="3323"/>
    </row>
    <row r="1541" spans="2:25" s="1823" customFormat="1" ht="48" customHeight="1" thickBot="1">
      <c r="B1541" s="1901">
        <v>0.70833333333333304</v>
      </c>
      <c r="C1541" s="1844"/>
      <c r="D1541" s="2128">
        <v>13</v>
      </c>
      <c r="E1541" s="2493"/>
      <c r="F1541" s="2061"/>
      <c r="G1541" s="1905"/>
      <c r="H1541" s="2494"/>
      <c r="I1541" s="2495"/>
      <c r="J1541" s="2495">
        <f t="shared" si="160"/>
        <v>0</v>
      </c>
      <c r="K1541" s="2496">
        <f t="shared" si="161"/>
        <v>0</v>
      </c>
      <c r="L1541" s="1905">
        <v>1</v>
      </c>
      <c r="M1541" s="2497" t="s">
        <v>7</v>
      </c>
      <c r="N1541" s="2028">
        <v>12</v>
      </c>
      <c r="O1541" s="3470" t="s">
        <v>68</v>
      </c>
      <c r="P1541" s="3530"/>
      <c r="Q1541" s="2068">
        <v>1</v>
      </c>
      <c r="R1541" s="2129">
        <v>0</v>
      </c>
      <c r="S1541" s="2498" t="s">
        <v>174</v>
      </c>
      <c r="T1541" s="2030">
        <v>808</v>
      </c>
      <c r="U1541" s="1824"/>
      <c r="V1541" s="3320">
        <f>VLOOKUP(M1541,'[1]TABELA FRETE'!$D$7:$E$12,2,0)</f>
        <v>1161.5999999999999</v>
      </c>
      <c r="W1541" s="3321"/>
      <c r="X1541" s="3460"/>
      <c r="Y1541" s="3461"/>
    </row>
    <row r="1542" spans="2:25" s="1823" customFormat="1" ht="46.5" customHeight="1" thickBot="1">
      <c r="B1542" s="2069" t="s">
        <v>108</v>
      </c>
      <c r="C1542" s="2499"/>
      <c r="D1542" s="2071"/>
      <c r="E1542" s="2072">
        <f>SUM(E1484:E1541)</f>
        <v>33500</v>
      </c>
      <c r="F1542" s="2072" t="s">
        <v>109</v>
      </c>
      <c r="G1542" s="2072">
        <f>SUM(G1484:G1541)</f>
        <v>9500</v>
      </c>
      <c r="H1542" s="2072" t="s">
        <v>109</v>
      </c>
      <c r="I1542" s="1836">
        <f>SUM(I1484:I1541)</f>
        <v>2000</v>
      </c>
      <c r="J1542" s="1836">
        <f t="shared" si="160"/>
        <v>45000</v>
      </c>
      <c r="K1542" s="2073">
        <f>SUM(K1484:K1541)</f>
        <v>90</v>
      </c>
      <c r="L1542" s="2074">
        <f>SUM(L1484:L1541)</f>
        <v>54</v>
      </c>
      <c r="M1542" s="2075" t="s">
        <v>110</v>
      </c>
      <c r="N1542" s="2069">
        <f>SUM(N1484:N1541)</f>
        <v>187</v>
      </c>
      <c r="O1542" s="2072" t="s">
        <v>32</v>
      </c>
      <c r="P1542" s="2072"/>
      <c r="Q1542" s="1836"/>
      <c r="R1542" s="2076">
        <f>SUM(R1495:R1541)</f>
        <v>0</v>
      </c>
      <c r="S1542" s="2077" t="s">
        <v>111</v>
      </c>
      <c r="T1542" s="2500"/>
      <c r="U1542" s="1824"/>
      <c r="V1542" s="3472" t="e">
        <f>SUM(V1484:W1541)</f>
        <v>#N/A</v>
      </c>
      <c r="W1542" s="3473"/>
      <c r="X1542" s="3474">
        <f>COUNT(X1484:Y1541)</f>
        <v>0</v>
      </c>
      <c r="Y1542" s="3475"/>
    </row>
    <row r="1543" spans="2:25" s="1823" customFormat="1" ht="40.5" customHeight="1" thickBot="1">
      <c r="B1543" s="3288" t="s">
        <v>112</v>
      </c>
      <c r="C1543" s="3346"/>
      <c r="D1543" s="3346"/>
      <c r="E1543" s="3346"/>
      <c r="F1543" s="3346"/>
      <c r="G1543" s="3346"/>
      <c r="H1543" s="3346"/>
      <c r="I1543" s="3346"/>
      <c r="J1543" s="3346"/>
      <c r="K1543" s="2079">
        <v>44</v>
      </c>
      <c r="L1543" s="3346" t="s">
        <v>113</v>
      </c>
      <c r="M1543" s="3289"/>
      <c r="N1543" s="3347" t="s">
        <v>114</v>
      </c>
      <c r="O1543" s="3348"/>
      <c r="P1543" s="3348"/>
      <c r="Q1543" s="3348"/>
      <c r="R1543" s="3349"/>
      <c r="S1543" s="3347" t="s">
        <v>115</v>
      </c>
      <c r="T1543" s="3349"/>
      <c r="U1543" s="1824"/>
      <c r="V1543" s="3338"/>
      <c r="W1543" s="3339"/>
      <c r="X1543" s="3342"/>
      <c r="Y1543" s="3343"/>
    </row>
    <row r="1544" spans="2:25" s="1823" customFormat="1" ht="6.75" customHeight="1" thickBot="1">
      <c r="B1544" s="3350" t="s">
        <v>116</v>
      </c>
      <c r="C1544" s="3351"/>
      <c r="D1544" s="3351"/>
      <c r="E1544" s="3354">
        <f>L1542</f>
        <v>54</v>
      </c>
      <c r="F1544" s="3350" t="s">
        <v>30</v>
      </c>
      <c r="G1544" s="3351"/>
      <c r="H1544" s="3354">
        <f>J1542</f>
        <v>45000</v>
      </c>
      <c r="I1544" s="3356"/>
      <c r="J1544" s="3351" t="s">
        <v>117</v>
      </c>
      <c r="K1544" s="3356">
        <f>H1544/E1544</f>
        <v>833.33333333333337</v>
      </c>
      <c r="L1544" s="3354" t="s">
        <v>118</v>
      </c>
      <c r="M1544" s="3354"/>
      <c r="N1544" s="3354"/>
      <c r="O1544" s="3356">
        <v>44</v>
      </c>
      <c r="P1544" s="2080"/>
      <c r="Q1544" s="2080"/>
      <c r="R1544" s="2080"/>
      <c r="S1544" s="2080"/>
      <c r="T1544" s="2081"/>
      <c r="U1544" s="1824"/>
      <c r="V1544" s="3340"/>
      <c r="W1544" s="3341"/>
      <c r="X1544" s="3344"/>
      <c r="Y1544" s="3345"/>
    </row>
    <row r="1545" spans="2:25" s="1823" customFormat="1" ht="40.5" customHeight="1" thickBot="1">
      <c r="B1545" s="3352"/>
      <c r="C1545" s="3353"/>
      <c r="D1545" s="3353"/>
      <c r="E1545" s="3355"/>
      <c r="F1545" s="3352"/>
      <c r="G1545" s="3353"/>
      <c r="H1545" s="3355"/>
      <c r="I1545" s="3357"/>
      <c r="J1545" s="3353"/>
      <c r="K1545" s="3357"/>
      <c r="L1545" s="3355"/>
      <c r="M1545" s="3355"/>
      <c r="N1545" s="3355"/>
      <c r="O1545" s="3357"/>
      <c r="P1545" s="2082"/>
      <c r="Q1545" s="3358" t="s">
        <v>119</v>
      </c>
      <c r="R1545" s="3359"/>
      <c r="S1545" s="3359"/>
      <c r="T1545" s="3360"/>
      <c r="U1545" s="1824"/>
      <c r="V1545" s="3361" t="s">
        <v>120</v>
      </c>
      <c r="W1545" s="3362"/>
      <c r="X1545" s="3365" t="s">
        <v>121</v>
      </c>
      <c r="Y1545" s="3366"/>
    </row>
    <row r="1546" spans="2:25" s="1823" customFormat="1" ht="51" customHeight="1">
      <c r="B1546" s="3369" t="s">
        <v>122</v>
      </c>
      <c r="C1546" s="3371" t="s">
        <v>33</v>
      </c>
      <c r="D1546" s="3372"/>
      <c r="E1546" s="3375" t="s">
        <v>123</v>
      </c>
      <c r="F1546" s="3376"/>
      <c r="G1546" s="3376"/>
      <c r="H1546" s="3376"/>
      <c r="I1546" s="3376"/>
      <c r="J1546" s="3376"/>
      <c r="K1546" s="3376"/>
      <c r="L1546" s="3376"/>
      <c r="M1546" s="3376"/>
      <c r="N1546" s="3376"/>
      <c r="O1546" s="3377"/>
      <c r="P1546" s="2083"/>
      <c r="Q1546" s="3384" t="s">
        <v>731</v>
      </c>
      <c r="R1546" s="3385"/>
      <c r="S1546" s="3385"/>
      <c r="T1546" s="3386"/>
      <c r="U1546" s="1824"/>
      <c r="V1546" s="3361"/>
      <c r="W1546" s="3362"/>
      <c r="X1546" s="3365"/>
      <c r="Y1546" s="3366"/>
    </row>
    <row r="1547" spans="2:25" s="1823" customFormat="1" ht="51" customHeight="1" thickBot="1">
      <c r="B1547" s="3370"/>
      <c r="C1547" s="3476"/>
      <c r="D1547" s="3477"/>
      <c r="E1547" s="3378"/>
      <c r="F1547" s="3379"/>
      <c r="G1547" s="3379"/>
      <c r="H1547" s="3379"/>
      <c r="I1547" s="3379"/>
      <c r="J1547" s="3379"/>
      <c r="K1547" s="3379"/>
      <c r="L1547" s="3379"/>
      <c r="M1547" s="3379"/>
      <c r="N1547" s="3379"/>
      <c r="O1547" s="3380"/>
      <c r="P1547" s="2084"/>
      <c r="Q1547" s="3387" t="s">
        <v>732</v>
      </c>
      <c r="R1547" s="3388"/>
      <c r="S1547" s="3388"/>
      <c r="T1547" s="3389"/>
      <c r="U1547" s="1824"/>
      <c r="V1547" s="3363"/>
      <c r="W1547" s="3364"/>
      <c r="X1547" s="3367"/>
      <c r="Y1547" s="3368"/>
    </row>
    <row r="1548" spans="2:25" s="1823" customFormat="1" ht="51" customHeight="1" thickBot="1">
      <c r="B1548" s="2085" t="s">
        <v>9</v>
      </c>
      <c r="C1548" s="3478">
        <f>COUNTIF(M1484:M1541,"kia")</f>
        <v>2</v>
      </c>
      <c r="D1548" s="3479"/>
      <c r="E1548" s="3381"/>
      <c r="F1548" s="3382"/>
      <c r="G1548" s="3382"/>
      <c r="H1548" s="3382"/>
      <c r="I1548" s="3382"/>
      <c r="J1548" s="3382"/>
      <c r="K1548" s="3382"/>
      <c r="L1548" s="3382"/>
      <c r="M1548" s="3382"/>
      <c r="N1548" s="3382"/>
      <c r="O1548" s="3383"/>
      <c r="P1548" s="2084"/>
      <c r="Q1548" s="3392" t="s">
        <v>126</v>
      </c>
      <c r="R1548" s="3393"/>
      <c r="S1548" s="3393"/>
      <c r="T1548" s="3394"/>
      <c r="U1548" s="1824"/>
      <c r="V1548" s="1838"/>
      <c r="W1548" s="1838"/>
      <c r="X1548" s="1838"/>
      <c r="Y1548" s="1838"/>
    </row>
    <row r="1549" spans="2:25" s="1823" customFormat="1" ht="51" customHeight="1">
      <c r="B1549" s="2086" t="s">
        <v>8</v>
      </c>
      <c r="C1549" s="3480">
        <f>COUNTIF(M1484:M1541,"iveco")</f>
        <v>1</v>
      </c>
      <c r="D1549" s="3481"/>
      <c r="E1549" s="3397" t="s">
        <v>127</v>
      </c>
      <c r="F1549" s="3398"/>
      <c r="G1549" s="3398"/>
      <c r="H1549" s="3398"/>
      <c r="I1549" s="3398"/>
      <c r="J1549" s="3398"/>
      <c r="K1549" s="3398"/>
      <c r="L1549" s="3398"/>
      <c r="M1549" s="3398"/>
      <c r="N1549" s="3398"/>
      <c r="O1549" s="3399"/>
      <c r="P1549" s="2084"/>
      <c r="Q1549" s="3403" t="s">
        <v>733</v>
      </c>
      <c r="R1549" s="3404"/>
      <c r="S1549" s="3404"/>
      <c r="T1549" s="3405"/>
      <c r="U1549" s="1824"/>
      <c r="V1549" s="3412" t="s">
        <v>129</v>
      </c>
      <c r="W1549" s="3413"/>
      <c r="X1549" s="3413"/>
      <c r="Y1549" s="3414"/>
    </row>
    <row r="1550" spans="2:25" s="1823" customFormat="1" ht="51" customHeight="1" thickBot="1">
      <c r="B1550" s="2086">
        <v>1016</v>
      </c>
      <c r="C1550" s="3480">
        <f>COUNTIF(M1484:M1541,"1016")</f>
        <v>13</v>
      </c>
      <c r="D1550" s="3481"/>
      <c r="E1550" s="3400"/>
      <c r="F1550" s="3401"/>
      <c r="G1550" s="3401"/>
      <c r="H1550" s="3401"/>
      <c r="I1550" s="3401"/>
      <c r="J1550" s="3401"/>
      <c r="K1550" s="3401"/>
      <c r="L1550" s="3401"/>
      <c r="M1550" s="3401"/>
      <c r="N1550" s="3401"/>
      <c r="O1550" s="3402"/>
      <c r="P1550" s="2084"/>
      <c r="Q1550" s="3406"/>
      <c r="R1550" s="3407"/>
      <c r="S1550" s="3407"/>
      <c r="T1550" s="3408"/>
      <c r="U1550" s="1824"/>
      <c r="V1550" s="3415" t="s">
        <v>130</v>
      </c>
      <c r="W1550" s="3416"/>
      <c r="X1550" s="3416"/>
      <c r="Y1550" s="3417"/>
    </row>
    <row r="1551" spans="2:25" s="1823" customFormat="1" ht="51" customHeight="1" thickBot="1">
      <c r="B1551" s="2086" t="s">
        <v>7</v>
      </c>
      <c r="C1551" s="3480">
        <f>COUNTIF(M1484:M1541,"toco")</f>
        <v>5</v>
      </c>
      <c r="D1551" s="3481"/>
      <c r="E1551" s="3421" t="s">
        <v>131</v>
      </c>
      <c r="F1551" s="3422"/>
      <c r="G1551" s="3422"/>
      <c r="H1551" s="3422"/>
      <c r="I1551" s="3422"/>
      <c r="J1551" s="3422"/>
      <c r="K1551" s="3422"/>
      <c r="L1551" s="3422"/>
      <c r="M1551" s="3422"/>
      <c r="N1551" s="3422"/>
      <c r="O1551" s="3423"/>
      <c r="P1551" s="2083"/>
      <c r="Q1551" s="3409"/>
      <c r="R1551" s="3410"/>
      <c r="S1551" s="3410"/>
      <c r="T1551" s="3411"/>
      <c r="U1551" s="1824"/>
      <c r="V1551" s="3418"/>
      <c r="W1551" s="3419"/>
      <c r="X1551" s="3419"/>
      <c r="Y1551" s="3420"/>
    </row>
    <row r="1552" spans="2:25" s="1823" customFormat="1" ht="51" customHeight="1" thickBot="1">
      <c r="B1552" s="2087" t="s">
        <v>6</v>
      </c>
      <c r="C1552" s="3482">
        <f>COUNTIF(M1484:M1541,"truck")</f>
        <v>1</v>
      </c>
      <c r="D1552" s="3483"/>
      <c r="E1552" s="3424"/>
      <c r="F1552" s="3425"/>
      <c r="G1552" s="3425"/>
      <c r="H1552" s="3425"/>
      <c r="I1552" s="3425"/>
      <c r="J1552" s="3425"/>
      <c r="K1552" s="3425"/>
      <c r="L1552" s="3425"/>
      <c r="M1552" s="3425"/>
      <c r="N1552" s="3425"/>
      <c r="O1552" s="3426"/>
      <c r="P1552" s="2083"/>
      <c r="Q1552" s="3429" t="s">
        <v>132</v>
      </c>
      <c r="R1552" s="3430"/>
      <c r="S1552" s="3430"/>
      <c r="T1552" s="3431"/>
      <c r="U1552" s="1824"/>
      <c r="V1552" s="3435" t="s">
        <v>133</v>
      </c>
      <c r="W1552" s="3436"/>
      <c r="X1552" s="3441">
        <f>SUM(E1484:E1541,G1484:G1541,I1484:I1541)</f>
        <v>45000</v>
      </c>
      <c r="Y1552" s="3442"/>
    </row>
    <row r="1553" spans="2:25" s="1823" customFormat="1" ht="51" customHeight="1">
      <c r="B1553" s="3369" t="s">
        <v>134</v>
      </c>
      <c r="C1553" s="3476">
        <f>SUM(C1548:D1552)</f>
        <v>22</v>
      </c>
      <c r="D1553" s="3477"/>
      <c r="E1553" s="3447" t="s">
        <v>135</v>
      </c>
      <c r="F1553" s="3448"/>
      <c r="G1553" s="3448"/>
      <c r="H1553" s="3448"/>
      <c r="I1553" s="3448"/>
      <c r="J1553" s="3448"/>
      <c r="K1553" s="3448"/>
      <c r="L1553" s="3448"/>
      <c r="M1553" s="3448"/>
      <c r="N1553" s="3448"/>
      <c r="O1553" s="3449"/>
      <c r="P1553" s="2088"/>
      <c r="Q1553" s="3429"/>
      <c r="R1553" s="3430"/>
      <c r="S1553" s="3430"/>
      <c r="T1553" s="3431"/>
      <c r="U1553" s="2089"/>
      <c r="V1553" s="3437"/>
      <c r="W1553" s="3438"/>
      <c r="X1553" s="3443"/>
      <c r="Y1553" s="3444"/>
    </row>
    <row r="1554" spans="2:25" s="1823" customFormat="1" ht="51" customHeight="1" thickBot="1">
      <c r="B1554" s="3370"/>
      <c r="C1554" s="3373"/>
      <c r="D1554" s="3374"/>
      <c r="E1554" s="3424"/>
      <c r="F1554" s="3425"/>
      <c r="G1554" s="3425"/>
      <c r="H1554" s="3425"/>
      <c r="I1554" s="3425"/>
      <c r="J1554" s="3425"/>
      <c r="K1554" s="3425"/>
      <c r="L1554" s="3425"/>
      <c r="M1554" s="3425"/>
      <c r="N1554" s="3425"/>
      <c r="O1554" s="3426"/>
      <c r="P1554" s="2090"/>
      <c r="Q1554" s="3429"/>
      <c r="R1554" s="3430"/>
      <c r="S1554" s="3430"/>
      <c r="T1554" s="3431"/>
      <c r="U1554" s="2089"/>
      <c r="V1554" s="3437"/>
      <c r="W1554" s="3438"/>
      <c r="X1554" s="3443"/>
      <c r="Y1554" s="3444"/>
    </row>
    <row r="1555" spans="2:25" s="1842" customFormat="1" ht="51" customHeight="1" thickBot="1">
      <c r="B1555" s="2091" t="s">
        <v>136</v>
      </c>
      <c r="C1555" s="3450" t="s">
        <v>137</v>
      </c>
      <c r="D1555" s="3451"/>
      <c r="E1555" s="3451"/>
      <c r="F1555" s="3451"/>
      <c r="G1555" s="3451"/>
      <c r="H1555" s="3451"/>
      <c r="I1555" s="3451"/>
      <c r="J1555" s="3451"/>
      <c r="K1555" s="3451"/>
      <c r="L1555" s="3451"/>
      <c r="M1555" s="3451"/>
      <c r="N1555" s="3451"/>
      <c r="O1555" s="3452"/>
      <c r="P1555" s="2090"/>
      <c r="Q1555" s="3432"/>
      <c r="R1555" s="3433"/>
      <c r="S1555" s="3433"/>
      <c r="T1555" s="3434"/>
      <c r="V1555" s="3439"/>
      <c r="W1555" s="3440"/>
      <c r="X1555" s="3445"/>
      <c r="Y1555" s="3446"/>
    </row>
  </sheetData>
  <autoFilter ref="D943:T1007" xr:uid="{00000000-0009-0000-0000-000001000000}"/>
  <mergeCells count="4329">
    <mergeCell ref="C1549:D1549"/>
    <mergeCell ref="E1549:O1550"/>
    <mergeCell ref="Q1549:T1551"/>
    <mergeCell ref="V1549:Y1549"/>
    <mergeCell ref="C1550:D1550"/>
    <mergeCell ref="V1550:Y1551"/>
    <mergeCell ref="C1551:D1551"/>
    <mergeCell ref="E1551:O1552"/>
    <mergeCell ref="C1552:D1552"/>
    <mergeCell ref="Q1552:T1555"/>
    <mergeCell ref="V1552:W1555"/>
    <mergeCell ref="X1552:Y1555"/>
    <mergeCell ref="X1545:Y1547"/>
    <mergeCell ref="O1525:P1525"/>
    <mergeCell ref="V1525:W1525"/>
    <mergeCell ref="X1525:Y1525"/>
    <mergeCell ref="O1526:P1526"/>
    <mergeCell ref="V1526:W1526"/>
    <mergeCell ref="X1526:Y1526"/>
    <mergeCell ref="O1527:P1527"/>
    <mergeCell ref="V1527:W1527"/>
    <mergeCell ref="X1527:Y1527"/>
    <mergeCell ref="O1528:P1528"/>
    <mergeCell ref="V1528:W1528"/>
    <mergeCell ref="X1528:Y1528"/>
    <mergeCell ref="B1553:B1554"/>
    <mergeCell ref="C1553:D1554"/>
    <mergeCell ref="E1553:O1554"/>
    <mergeCell ref="C1555:O1555"/>
    <mergeCell ref="O1538:P1538"/>
    <mergeCell ref="V1538:W1538"/>
    <mergeCell ref="X1538:Y1538"/>
    <mergeCell ref="O1539:P1539"/>
    <mergeCell ref="V1539:W1539"/>
    <mergeCell ref="X1539:Y1539"/>
    <mergeCell ref="O1540:P1540"/>
    <mergeCell ref="V1540:W1540"/>
    <mergeCell ref="X1540:Y1540"/>
    <mergeCell ref="O1541:P1541"/>
    <mergeCell ref="V1541:W1541"/>
    <mergeCell ref="X1541:Y1541"/>
    <mergeCell ref="V1542:W1544"/>
    <mergeCell ref="X1542:Y1544"/>
    <mergeCell ref="B1543:J1543"/>
    <mergeCell ref="L1543:M1543"/>
    <mergeCell ref="N1543:R1543"/>
    <mergeCell ref="S1543:T1543"/>
    <mergeCell ref="B1544:D1545"/>
    <mergeCell ref="E1544:E1545"/>
    <mergeCell ref="F1544:G1545"/>
    <mergeCell ref="H1544:I1545"/>
    <mergeCell ref="J1544:J1545"/>
    <mergeCell ref="K1544:K1545"/>
    <mergeCell ref="L1544:N1545"/>
    <mergeCell ref="O1544:O1545"/>
    <mergeCell ref="Q1545:T1545"/>
    <mergeCell ref="V1545:W1547"/>
    <mergeCell ref="B1546:B1547"/>
    <mergeCell ref="C1546:D1547"/>
    <mergeCell ref="E1546:O1548"/>
    <mergeCell ref="O1531:P1531"/>
    <mergeCell ref="V1531:W1531"/>
    <mergeCell ref="X1531:Y1531"/>
    <mergeCell ref="O1533:P1533"/>
    <mergeCell ref="V1533:W1533"/>
    <mergeCell ref="X1533:Y1533"/>
    <mergeCell ref="O1534:P1534"/>
    <mergeCell ref="V1534:W1534"/>
    <mergeCell ref="X1534:Y1534"/>
    <mergeCell ref="O1535:P1535"/>
    <mergeCell ref="V1535:W1535"/>
    <mergeCell ref="X1535:Y1535"/>
    <mergeCell ref="O1536:P1536"/>
    <mergeCell ref="V1536:W1536"/>
    <mergeCell ref="X1536:Y1536"/>
    <mergeCell ref="O1537:P1537"/>
    <mergeCell ref="V1537:W1537"/>
    <mergeCell ref="X1537:Y1537"/>
    <mergeCell ref="Q1546:T1546"/>
    <mergeCell ref="Q1547:T1547"/>
    <mergeCell ref="C1548:D1548"/>
    <mergeCell ref="Q1548:T1548"/>
    <mergeCell ref="O1529:P1529"/>
    <mergeCell ref="V1529:W1529"/>
    <mergeCell ref="X1529:Y1529"/>
    <mergeCell ref="O1530:P1530"/>
    <mergeCell ref="V1530:W1530"/>
    <mergeCell ref="X1530:Y1530"/>
    <mergeCell ref="O1519:P1519"/>
    <mergeCell ref="V1519:W1519"/>
    <mergeCell ref="X1519:Y1519"/>
    <mergeCell ref="O1520:P1520"/>
    <mergeCell ref="V1520:W1520"/>
    <mergeCell ref="X1520:Y1520"/>
    <mergeCell ref="O1521:P1521"/>
    <mergeCell ref="V1521:W1521"/>
    <mergeCell ref="X1521:Y1521"/>
    <mergeCell ref="O1522:P1522"/>
    <mergeCell ref="V1522:W1522"/>
    <mergeCell ref="X1522:Y1522"/>
    <mergeCell ref="O1523:P1523"/>
    <mergeCell ref="V1523:W1523"/>
    <mergeCell ref="X1523:Y1523"/>
    <mergeCell ref="O1524:P1524"/>
    <mergeCell ref="V1524:W1524"/>
    <mergeCell ref="X1524:Y1524"/>
    <mergeCell ref="O1512:P1512"/>
    <mergeCell ref="V1512:W1512"/>
    <mergeCell ref="X1512:Y1512"/>
    <mergeCell ref="O1513:P1513"/>
    <mergeCell ref="V1513:W1513"/>
    <mergeCell ref="X1513:Y1513"/>
    <mergeCell ref="O1514:P1514"/>
    <mergeCell ref="V1514:W1514"/>
    <mergeCell ref="X1514:Y1514"/>
    <mergeCell ref="O1516:P1516"/>
    <mergeCell ref="V1516:W1516"/>
    <mergeCell ref="X1516:Y1516"/>
    <mergeCell ref="O1517:P1517"/>
    <mergeCell ref="V1517:W1517"/>
    <mergeCell ref="X1517:Y1517"/>
    <mergeCell ref="O1518:P1518"/>
    <mergeCell ref="V1518:W1518"/>
    <mergeCell ref="X1518:Y1518"/>
    <mergeCell ref="O1506:P1506"/>
    <mergeCell ref="V1506:W1506"/>
    <mergeCell ref="X1506:Y1506"/>
    <mergeCell ref="O1507:P1507"/>
    <mergeCell ref="V1507:W1507"/>
    <mergeCell ref="X1507:Y1507"/>
    <mergeCell ref="O1508:P1508"/>
    <mergeCell ref="V1508:W1508"/>
    <mergeCell ref="X1508:Y1508"/>
    <mergeCell ref="O1509:P1509"/>
    <mergeCell ref="V1509:W1509"/>
    <mergeCell ref="X1509:Y1509"/>
    <mergeCell ref="O1510:P1510"/>
    <mergeCell ref="V1510:W1510"/>
    <mergeCell ref="X1510:Y1510"/>
    <mergeCell ref="O1511:P1511"/>
    <mergeCell ref="V1511:W1511"/>
    <mergeCell ref="X1511:Y1511"/>
    <mergeCell ref="O1499:P1499"/>
    <mergeCell ref="V1499:W1499"/>
    <mergeCell ref="X1499:Y1499"/>
    <mergeCell ref="O1501:P1501"/>
    <mergeCell ref="V1501:W1501"/>
    <mergeCell ref="X1501:Y1501"/>
    <mergeCell ref="O1502:P1502"/>
    <mergeCell ref="V1502:W1502"/>
    <mergeCell ref="X1502:Y1502"/>
    <mergeCell ref="O1503:P1503"/>
    <mergeCell ref="V1503:W1503"/>
    <mergeCell ref="X1503:Y1503"/>
    <mergeCell ref="O1504:P1504"/>
    <mergeCell ref="V1504:W1504"/>
    <mergeCell ref="X1504:Y1504"/>
    <mergeCell ref="O1505:P1505"/>
    <mergeCell ref="V1505:W1505"/>
    <mergeCell ref="X1505:Y1505"/>
    <mergeCell ref="O1492:P1492"/>
    <mergeCell ref="V1492:W1492"/>
    <mergeCell ref="X1492:Y1492"/>
    <mergeCell ref="O1493:P1493"/>
    <mergeCell ref="V1493:W1493"/>
    <mergeCell ref="X1493:Y1493"/>
    <mergeCell ref="O1495:P1495"/>
    <mergeCell ref="V1495:W1495"/>
    <mergeCell ref="X1495:Y1495"/>
    <mergeCell ref="O1496:P1496"/>
    <mergeCell ref="V1496:W1496"/>
    <mergeCell ref="X1496:Y1496"/>
    <mergeCell ref="O1497:P1497"/>
    <mergeCell ref="V1497:W1497"/>
    <mergeCell ref="X1497:Y1497"/>
    <mergeCell ref="O1498:P1498"/>
    <mergeCell ref="V1498:W1498"/>
    <mergeCell ref="X1498:Y1498"/>
    <mergeCell ref="O1486:P1486"/>
    <mergeCell ref="V1486:W1486"/>
    <mergeCell ref="X1486:Y1486"/>
    <mergeCell ref="O1487:P1487"/>
    <mergeCell ref="V1487:W1487"/>
    <mergeCell ref="X1487:Y1487"/>
    <mergeCell ref="O1488:P1488"/>
    <mergeCell ref="V1488:W1488"/>
    <mergeCell ref="X1488:Y1488"/>
    <mergeCell ref="O1489:P1489"/>
    <mergeCell ref="V1489:W1489"/>
    <mergeCell ref="X1489:Y1489"/>
    <mergeCell ref="O1490:P1490"/>
    <mergeCell ref="V1490:W1490"/>
    <mergeCell ref="X1490:Y1490"/>
    <mergeCell ref="O1491:P1491"/>
    <mergeCell ref="V1491:W1491"/>
    <mergeCell ref="X1491:Y1491"/>
    <mergeCell ref="B1479:I1480"/>
    <mergeCell ref="J1479:Q1479"/>
    <mergeCell ref="R1479:T1480"/>
    <mergeCell ref="V1479:W1480"/>
    <mergeCell ref="X1479:Y1480"/>
    <mergeCell ref="J1480:Q1482"/>
    <mergeCell ref="B1482:B1483"/>
    <mergeCell ref="D1482:E1482"/>
    <mergeCell ref="F1482:G1482"/>
    <mergeCell ref="H1482:I1482"/>
    <mergeCell ref="R1482:S1482"/>
    <mergeCell ref="V1482:W1483"/>
    <mergeCell ref="X1482:Y1483"/>
    <mergeCell ref="O1484:P1484"/>
    <mergeCell ref="V1484:W1484"/>
    <mergeCell ref="X1484:Y1484"/>
    <mergeCell ref="O1485:P1485"/>
    <mergeCell ref="V1485:W1485"/>
    <mergeCell ref="X1485:Y1485"/>
    <mergeCell ref="C1462:D1462"/>
    <mergeCell ref="E1462:O1463"/>
    <mergeCell ref="Q1462:T1462"/>
    <mergeCell ref="C1463:D1463"/>
    <mergeCell ref="Q1463:T1464"/>
    <mergeCell ref="V1463:Y1463"/>
    <mergeCell ref="C1464:D1464"/>
    <mergeCell ref="E1464:O1464"/>
    <mergeCell ref="V1464:Y1465"/>
    <mergeCell ref="C1465:D1465"/>
    <mergeCell ref="E1465:O1466"/>
    <mergeCell ref="Q1465:T1467"/>
    <mergeCell ref="C1466:D1466"/>
    <mergeCell ref="V1466:W1469"/>
    <mergeCell ref="X1466:Y1469"/>
    <mergeCell ref="B1467:B1468"/>
    <mergeCell ref="C1467:D1468"/>
    <mergeCell ref="E1467:O1468"/>
    <mergeCell ref="Q1468:T1469"/>
    <mergeCell ref="C1469:O1469"/>
    <mergeCell ref="B1456:D1456"/>
    <mergeCell ref="O1456:Q1456"/>
    <mergeCell ref="V1456:W1458"/>
    <mergeCell ref="X1456:Y1458"/>
    <mergeCell ref="B1457:J1457"/>
    <mergeCell ref="L1457:M1457"/>
    <mergeCell ref="N1457:R1457"/>
    <mergeCell ref="S1457:T1457"/>
    <mergeCell ref="B1458:D1459"/>
    <mergeCell ref="E1458:E1459"/>
    <mergeCell ref="F1458:G1459"/>
    <mergeCell ref="H1458:I1459"/>
    <mergeCell ref="J1458:J1459"/>
    <mergeCell ref="K1458:K1459"/>
    <mergeCell ref="L1458:N1459"/>
    <mergeCell ref="O1458:O1459"/>
    <mergeCell ref="Q1459:T1459"/>
    <mergeCell ref="V1459:W1461"/>
    <mergeCell ref="X1459:Y1461"/>
    <mergeCell ref="B1460:B1461"/>
    <mergeCell ref="C1460:D1461"/>
    <mergeCell ref="E1460:O1461"/>
    <mergeCell ref="Q1460:T1461"/>
    <mergeCell ref="B1451:B1452"/>
    <mergeCell ref="D1451:D1452"/>
    <mergeCell ref="E1451:E1452"/>
    <mergeCell ref="F1451:F1452"/>
    <mergeCell ref="G1451:G1452"/>
    <mergeCell ref="H1451:H1452"/>
    <mergeCell ref="I1451:I1452"/>
    <mergeCell ref="J1451:J1452"/>
    <mergeCell ref="K1451:K1452"/>
    <mergeCell ref="L1451:L1452"/>
    <mergeCell ref="V1451:W1452"/>
    <mergeCell ref="X1451:Y1452"/>
    <mergeCell ref="M1452:T1452"/>
    <mergeCell ref="B1453:B1454"/>
    <mergeCell ref="D1453:D1454"/>
    <mergeCell ref="E1453:E1454"/>
    <mergeCell ref="F1453:F1454"/>
    <mergeCell ref="G1453:G1454"/>
    <mergeCell ref="H1453:H1454"/>
    <mergeCell ref="I1453:I1454"/>
    <mergeCell ref="J1453:J1454"/>
    <mergeCell ref="K1453:K1454"/>
    <mergeCell ref="L1453:L1454"/>
    <mergeCell ref="O1453:P1453"/>
    <mergeCell ref="V1453:W1454"/>
    <mergeCell ref="X1453:Y1454"/>
    <mergeCell ref="M1454:T1454"/>
    <mergeCell ref="B1446:B1447"/>
    <mergeCell ref="D1446:D1447"/>
    <mergeCell ref="E1446:E1447"/>
    <mergeCell ref="F1446:F1447"/>
    <mergeCell ref="G1446:G1447"/>
    <mergeCell ref="H1446:H1447"/>
    <mergeCell ref="I1446:I1447"/>
    <mergeCell ref="J1446:J1447"/>
    <mergeCell ref="K1446:K1447"/>
    <mergeCell ref="L1446:L1447"/>
    <mergeCell ref="O1446:P1446"/>
    <mergeCell ref="V1446:W1447"/>
    <mergeCell ref="X1446:Y1447"/>
    <mergeCell ref="M1447:T1447"/>
    <mergeCell ref="B1448:B1449"/>
    <mergeCell ref="D1448:D1449"/>
    <mergeCell ref="E1448:E1449"/>
    <mergeCell ref="F1448:F1449"/>
    <mergeCell ref="G1448:G1449"/>
    <mergeCell ref="H1448:H1449"/>
    <mergeCell ref="I1448:I1449"/>
    <mergeCell ref="J1448:J1449"/>
    <mergeCell ref="K1448:K1449"/>
    <mergeCell ref="L1448:L1449"/>
    <mergeCell ref="O1448:P1448"/>
    <mergeCell ref="V1448:W1449"/>
    <mergeCell ref="X1448:Y1449"/>
    <mergeCell ref="M1449:T1449"/>
    <mergeCell ref="B1442:B1443"/>
    <mergeCell ref="D1442:D1443"/>
    <mergeCell ref="E1442:E1443"/>
    <mergeCell ref="F1442:F1443"/>
    <mergeCell ref="G1442:G1443"/>
    <mergeCell ref="H1442:H1443"/>
    <mergeCell ref="I1442:I1443"/>
    <mergeCell ref="J1442:J1443"/>
    <mergeCell ref="K1442:K1443"/>
    <mergeCell ref="L1442:L1443"/>
    <mergeCell ref="O1442:P1442"/>
    <mergeCell ref="V1442:W1443"/>
    <mergeCell ref="X1442:Y1443"/>
    <mergeCell ref="M1443:T1443"/>
    <mergeCell ref="B1444:B1445"/>
    <mergeCell ref="D1444:D1445"/>
    <mergeCell ref="E1444:E1445"/>
    <mergeCell ref="F1444:F1445"/>
    <mergeCell ref="G1444:G1445"/>
    <mergeCell ref="H1444:H1445"/>
    <mergeCell ref="I1444:I1445"/>
    <mergeCell ref="J1444:J1445"/>
    <mergeCell ref="K1444:K1445"/>
    <mergeCell ref="L1444:L1445"/>
    <mergeCell ref="O1444:P1444"/>
    <mergeCell ref="V1444:W1445"/>
    <mergeCell ref="X1444:Y1445"/>
    <mergeCell ref="M1445:T1445"/>
    <mergeCell ref="B1438:B1439"/>
    <mergeCell ref="D1438:D1439"/>
    <mergeCell ref="E1438:E1439"/>
    <mergeCell ref="F1438:F1439"/>
    <mergeCell ref="G1438:G1439"/>
    <mergeCell ref="H1438:H1439"/>
    <mergeCell ref="I1438:I1439"/>
    <mergeCell ref="J1438:J1439"/>
    <mergeCell ref="K1438:K1439"/>
    <mergeCell ref="L1438:L1439"/>
    <mergeCell ref="O1438:P1438"/>
    <mergeCell ref="V1438:W1439"/>
    <mergeCell ref="X1438:Y1439"/>
    <mergeCell ref="M1439:T1439"/>
    <mergeCell ref="B1440:B1441"/>
    <mergeCell ref="D1440:D1441"/>
    <mergeCell ref="E1440:E1441"/>
    <mergeCell ref="F1440:F1441"/>
    <mergeCell ref="G1440:G1441"/>
    <mergeCell ref="H1440:H1441"/>
    <mergeCell ref="I1440:I1441"/>
    <mergeCell ref="J1440:J1441"/>
    <mergeCell ref="K1440:K1441"/>
    <mergeCell ref="L1440:L1441"/>
    <mergeCell ref="O1440:P1440"/>
    <mergeCell ref="V1440:W1441"/>
    <mergeCell ref="X1440:Y1441"/>
    <mergeCell ref="M1441:T1441"/>
    <mergeCell ref="O1433:P1433"/>
    <mergeCell ref="V1433:W1433"/>
    <mergeCell ref="X1433:Y1433"/>
    <mergeCell ref="O1434:P1434"/>
    <mergeCell ref="V1434:W1434"/>
    <mergeCell ref="X1434:Y1434"/>
    <mergeCell ref="B1436:B1437"/>
    <mergeCell ref="D1436:D1437"/>
    <mergeCell ref="E1436:E1437"/>
    <mergeCell ref="F1436:F1437"/>
    <mergeCell ref="G1436:G1437"/>
    <mergeCell ref="H1436:H1437"/>
    <mergeCell ref="I1436:I1437"/>
    <mergeCell ref="J1436:J1437"/>
    <mergeCell ref="K1436:K1437"/>
    <mergeCell ref="L1436:L1437"/>
    <mergeCell ref="O1436:P1436"/>
    <mergeCell ref="V1436:W1437"/>
    <mergeCell ref="X1436:Y1437"/>
    <mergeCell ref="M1437:T1437"/>
    <mergeCell ref="O1427:P1427"/>
    <mergeCell ref="V1427:W1427"/>
    <mergeCell ref="X1427:Y1427"/>
    <mergeCell ref="O1428:P1428"/>
    <mergeCell ref="V1428:W1428"/>
    <mergeCell ref="X1428:Y1428"/>
    <mergeCell ref="O1429:P1429"/>
    <mergeCell ref="V1429:W1429"/>
    <mergeCell ref="X1429:Y1429"/>
    <mergeCell ref="O1430:P1430"/>
    <mergeCell ref="V1430:W1430"/>
    <mergeCell ref="X1430:Y1430"/>
    <mergeCell ref="V1431:W1431"/>
    <mergeCell ref="X1431:Y1431"/>
    <mergeCell ref="O1432:P1432"/>
    <mergeCell ref="V1432:W1432"/>
    <mergeCell ref="X1432:Y1432"/>
    <mergeCell ref="O1421:P1421"/>
    <mergeCell ref="V1421:W1421"/>
    <mergeCell ref="X1421:Y1421"/>
    <mergeCell ref="O1422:P1422"/>
    <mergeCell ref="V1422:W1422"/>
    <mergeCell ref="X1422:Y1422"/>
    <mergeCell ref="O1423:P1423"/>
    <mergeCell ref="V1423:W1423"/>
    <mergeCell ref="X1423:Y1423"/>
    <mergeCell ref="O1424:P1424"/>
    <mergeCell ref="V1424:W1424"/>
    <mergeCell ref="X1424:Y1424"/>
    <mergeCell ref="O1425:P1425"/>
    <mergeCell ref="V1425:W1425"/>
    <mergeCell ref="X1425:Y1425"/>
    <mergeCell ref="O1426:P1426"/>
    <mergeCell ref="V1426:W1426"/>
    <mergeCell ref="X1426:Y1426"/>
    <mergeCell ref="O1415:P1415"/>
    <mergeCell ref="V1415:W1415"/>
    <mergeCell ref="X1415:Y1415"/>
    <mergeCell ref="O1416:P1416"/>
    <mergeCell ref="V1416:W1416"/>
    <mergeCell ref="X1416:Y1416"/>
    <mergeCell ref="O1417:P1417"/>
    <mergeCell ref="V1417:W1417"/>
    <mergeCell ref="X1417:Y1417"/>
    <mergeCell ref="O1418:P1418"/>
    <mergeCell ref="V1418:W1418"/>
    <mergeCell ref="X1418:Y1418"/>
    <mergeCell ref="O1419:P1419"/>
    <mergeCell ref="V1419:W1419"/>
    <mergeCell ref="X1419:Y1419"/>
    <mergeCell ref="O1420:P1420"/>
    <mergeCell ref="V1420:W1420"/>
    <mergeCell ref="X1420:Y1420"/>
    <mergeCell ref="O1409:P1409"/>
    <mergeCell ref="V1409:W1409"/>
    <mergeCell ref="X1409:Y1409"/>
    <mergeCell ref="O1410:P1410"/>
    <mergeCell ref="V1410:W1410"/>
    <mergeCell ref="X1410:Y1410"/>
    <mergeCell ref="O1411:P1411"/>
    <mergeCell ref="V1411:W1411"/>
    <mergeCell ref="X1411:Y1411"/>
    <mergeCell ref="V1412:W1412"/>
    <mergeCell ref="X1412:Y1412"/>
    <mergeCell ref="O1413:P1413"/>
    <mergeCell ref="V1413:W1413"/>
    <mergeCell ref="X1413:Y1413"/>
    <mergeCell ref="O1414:P1414"/>
    <mergeCell ref="V1414:W1414"/>
    <mergeCell ref="X1414:Y1414"/>
    <mergeCell ref="O1403:P1403"/>
    <mergeCell ref="V1403:W1403"/>
    <mergeCell ref="X1403:Y1403"/>
    <mergeCell ref="O1404:P1404"/>
    <mergeCell ref="V1404:W1404"/>
    <mergeCell ref="X1404:Y1404"/>
    <mergeCell ref="O1405:P1405"/>
    <mergeCell ref="V1405:W1405"/>
    <mergeCell ref="X1405:Y1405"/>
    <mergeCell ref="O1406:P1406"/>
    <mergeCell ref="V1406:W1406"/>
    <mergeCell ref="X1406:Y1406"/>
    <mergeCell ref="O1407:P1407"/>
    <mergeCell ref="V1407:W1407"/>
    <mergeCell ref="X1407:Y1407"/>
    <mergeCell ref="O1408:P1408"/>
    <mergeCell ref="V1408:W1408"/>
    <mergeCell ref="X1408:Y1408"/>
    <mergeCell ref="O1397:P1397"/>
    <mergeCell ref="V1397:W1397"/>
    <mergeCell ref="X1397:Y1397"/>
    <mergeCell ref="O1398:P1398"/>
    <mergeCell ref="V1398:W1398"/>
    <mergeCell ref="X1398:Y1398"/>
    <mergeCell ref="O1399:P1399"/>
    <mergeCell ref="V1399:W1399"/>
    <mergeCell ref="X1399:Y1399"/>
    <mergeCell ref="O1400:P1400"/>
    <mergeCell ref="V1400:W1400"/>
    <mergeCell ref="X1400:Y1400"/>
    <mergeCell ref="O1401:P1401"/>
    <mergeCell ref="V1401:W1401"/>
    <mergeCell ref="X1401:Y1401"/>
    <mergeCell ref="O1402:P1402"/>
    <mergeCell ref="V1402:W1402"/>
    <mergeCell ref="X1402:Y1402"/>
    <mergeCell ref="H1391:I1391"/>
    <mergeCell ref="O1391:P1391"/>
    <mergeCell ref="V1391:W1391"/>
    <mergeCell ref="X1391:Y1391"/>
    <mergeCell ref="O1392:P1392"/>
    <mergeCell ref="V1392:W1392"/>
    <mergeCell ref="X1392:Y1392"/>
    <mergeCell ref="O1393:P1393"/>
    <mergeCell ref="V1393:W1393"/>
    <mergeCell ref="X1393:Y1393"/>
    <mergeCell ref="O1394:P1394"/>
    <mergeCell ref="V1394:W1394"/>
    <mergeCell ref="X1394:Y1394"/>
    <mergeCell ref="V1395:W1395"/>
    <mergeCell ref="X1395:Y1395"/>
    <mergeCell ref="O1396:P1396"/>
    <mergeCell ref="V1396:W1396"/>
    <mergeCell ref="X1396:Y1396"/>
    <mergeCell ref="B1384:I1385"/>
    <mergeCell ref="J1384:Q1384"/>
    <mergeCell ref="R1384:T1385"/>
    <mergeCell ref="V1384:Y1385"/>
    <mergeCell ref="J1385:Q1387"/>
    <mergeCell ref="B1387:B1388"/>
    <mergeCell ref="D1387:E1387"/>
    <mergeCell ref="F1387:G1387"/>
    <mergeCell ref="H1387:I1387"/>
    <mergeCell ref="R1387:S1387"/>
    <mergeCell ref="V1387:W1388"/>
    <mergeCell ref="X1387:Y1388"/>
    <mergeCell ref="O1388:P1388"/>
    <mergeCell ref="O1389:P1389"/>
    <mergeCell ref="V1389:W1389"/>
    <mergeCell ref="X1389:Y1389"/>
    <mergeCell ref="O1390:P1390"/>
    <mergeCell ref="V1390:W1390"/>
    <mergeCell ref="X1390:Y1390"/>
    <mergeCell ref="Q1369:T1369"/>
    <mergeCell ref="C1370:D1370"/>
    <mergeCell ref="E1370:O1371"/>
    <mergeCell ref="Q1370:T1372"/>
    <mergeCell ref="V1370:Y1370"/>
    <mergeCell ref="C1371:D1371"/>
    <mergeCell ref="V1371:Y1372"/>
    <mergeCell ref="C1372:D1372"/>
    <mergeCell ref="E1372:O1373"/>
    <mergeCell ref="C1373:D1373"/>
    <mergeCell ref="Q1373:T1376"/>
    <mergeCell ref="V1373:W1376"/>
    <mergeCell ref="X1373:Y1376"/>
    <mergeCell ref="B1374:B1375"/>
    <mergeCell ref="C1374:D1375"/>
    <mergeCell ref="E1374:O1375"/>
    <mergeCell ref="C1376:O1376"/>
    <mergeCell ref="O1360:P1360"/>
    <mergeCell ref="V1360:W1360"/>
    <mergeCell ref="X1360:Y1360"/>
    <mergeCell ref="O1361:P1361"/>
    <mergeCell ref="V1361:W1361"/>
    <mergeCell ref="X1361:Y1361"/>
    <mergeCell ref="O1362:P1362"/>
    <mergeCell ref="V1362:W1362"/>
    <mergeCell ref="X1362:Y1362"/>
    <mergeCell ref="V1363:W1365"/>
    <mergeCell ref="X1363:Y1365"/>
    <mergeCell ref="B1364:J1364"/>
    <mergeCell ref="L1364:M1364"/>
    <mergeCell ref="N1364:R1364"/>
    <mergeCell ref="S1364:T1364"/>
    <mergeCell ref="B1365:D1366"/>
    <mergeCell ref="E1365:E1366"/>
    <mergeCell ref="F1365:G1366"/>
    <mergeCell ref="H1365:I1366"/>
    <mergeCell ref="J1365:J1366"/>
    <mergeCell ref="K1365:K1366"/>
    <mergeCell ref="L1365:N1366"/>
    <mergeCell ref="O1365:O1366"/>
    <mergeCell ref="Q1366:T1366"/>
    <mergeCell ref="V1366:W1368"/>
    <mergeCell ref="X1366:Y1368"/>
    <mergeCell ref="B1367:B1368"/>
    <mergeCell ref="C1367:D1368"/>
    <mergeCell ref="E1367:O1369"/>
    <mergeCell ref="Q1367:T1367"/>
    <mergeCell ref="Q1368:T1368"/>
    <mergeCell ref="C1369:D1369"/>
    <mergeCell ref="O1353:P1353"/>
    <mergeCell ref="V1353:W1353"/>
    <mergeCell ref="X1353:Y1353"/>
    <mergeCell ref="O1354:P1354"/>
    <mergeCell ref="V1354:W1354"/>
    <mergeCell ref="X1354:Y1354"/>
    <mergeCell ref="O1356:P1356"/>
    <mergeCell ref="V1356:W1356"/>
    <mergeCell ref="X1356:Y1356"/>
    <mergeCell ref="O1357:P1357"/>
    <mergeCell ref="V1357:W1357"/>
    <mergeCell ref="X1357:Y1357"/>
    <mergeCell ref="O1358:P1358"/>
    <mergeCell ref="V1358:W1358"/>
    <mergeCell ref="X1358:Y1358"/>
    <mergeCell ref="O1359:P1359"/>
    <mergeCell ref="V1359:W1359"/>
    <mergeCell ref="X1359:Y1359"/>
    <mergeCell ref="O1347:P1347"/>
    <mergeCell ref="V1347:W1347"/>
    <mergeCell ref="X1347:Y1347"/>
    <mergeCell ref="O1348:P1348"/>
    <mergeCell ref="V1348:W1348"/>
    <mergeCell ref="X1348:Y1348"/>
    <mergeCell ref="O1349:P1349"/>
    <mergeCell ref="V1349:W1349"/>
    <mergeCell ref="X1349:Y1349"/>
    <mergeCell ref="O1350:P1350"/>
    <mergeCell ref="V1350:W1350"/>
    <mergeCell ref="X1350:Y1350"/>
    <mergeCell ref="O1351:P1351"/>
    <mergeCell ref="V1351:W1351"/>
    <mergeCell ref="X1351:Y1351"/>
    <mergeCell ref="O1352:P1352"/>
    <mergeCell ref="V1352:W1352"/>
    <mergeCell ref="X1352:Y1352"/>
    <mergeCell ref="O1340:P1340"/>
    <mergeCell ref="V1340:W1340"/>
    <mergeCell ref="X1340:Y1340"/>
    <mergeCell ref="O1342:P1342"/>
    <mergeCell ref="V1342:W1342"/>
    <mergeCell ref="X1342:Y1342"/>
    <mergeCell ref="O1343:P1343"/>
    <mergeCell ref="V1343:W1343"/>
    <mergeCell ref="X1343:Y1343"/>
    <mergeCell ref="O1344:P1344"/>
    <mergeCell ref="V1344:W1344"/>
    <mergeCell ref="X1344:Y1344"/>
    <mergeCell ref="O1345:P1345"/>
    <mergeCell ref="V1345:W1345"/>
    <mergeCell ref="X1345:Y1345"/>
    <mergeCell ref="O1346:P1346"/>
    <mergeCell ref="V1346:W1346"/>
    <mergeCell ref="X1346:Y1346"/>
    <mergeCell ref="O1334:P1334"/>
    <mergeCell ref="V1334:W1334"/>
    <mergeCell ref="X1334:Y1334"/>
    <mergeCell ref="O1335:P1335"/>
    <mergeCell ref="V1335:W1335"/>
    <mergeCell ref="X1335:Y1335"/>
    <mergeCell ref="O1336:P1336"/>
    <mergeCell ref="V1336:W1336"/>
    <mergeCell ref="X1336:Y1336"/>
    <mergeCell ref="O1337:P1337"/>
    <mergeCell ref="V1337:W1337"/>
    <mergeCell ref="X1337:Y1337"/>
    <mergeCell ref="O1338:P1338"/>
    <mergeCell ref="V1338:W1338"/>
    <mergeCell ref="X1338:Y1338"/>
    <mergeCell ref="O1339:P1339"/>
    <mergeCell ref="V1339:W1339"/>
    <mergeCell ref="X1339:Y1339"/>
    <mergeCell ref="O1327:P1327"/>
    <mergeCell ref="V1327:W1327"/>
    <mergeCell ref="X1327:Y1327"/>
    <mergeCell ref="O1328:P1328"/>
    <mergeCell ref="V1328:W1328"/>
    <mergeCell ref="X1328:Y1328"/>
    <mergeCell ref="O1329:P1329"/>
    <mergeCell ref="V1329:W1329"/>
    <mergeCell ref="X1329:Y1329"/>
    <mergeCell ref="O1330:P1330"/>
    <mergeCell ref="V1330:W1330"/>
    <mergeCell ref="X1330:Y1330"/>
    <mergeCell ref="O1332:P1332"/>
    <mergeCell ref="V1332:W1332"/>
    <mergeCell ref="X1332:Y1332"/>
    <mergeCell ref="O1333:P1333"/>
    <mergeCell ref="V1333:W1333"/>
    <mergeCell ref="X1333:Y1333"/>
    <mergeCell ref="B1320:I1321"/>
    <mergeCell ref="J1320:Q1320"/>
    <mergeCell ref="R1320:T1321"/>
    <mergeCell ref="V1320:W1321"/>
    <mergeCell ref="X1320:Y1321"/>
    <mergeCell ref="J1321:Q1323"/>
    <mergeCell ref="B1323:B1324"/>
    <mergeCell ref="D1323:E1323"/>
    <mergeCell ref="F1323:G1323"/>
    <mergeCell ref="H1323:I1323"/>
    <mergeCell ref="R1323:S1323"/>
    <mergeCell ref="V1323:W1324"/>
    <mergeCell ref="X1323:Y1324"/>
    <mergeCell ref="O1325:P1325"/>
    <mergeCell ref="V1325:W1325"/>
    <mergeCell ref="X1325:Y1325"/>
    <mergeCell ref="H1326:I1326"/>
    <mergeCell ref="V1326:W1326"/>
    <mergeCell ref="X1326:Y1326"/>
    <mergeCell ref="Q1304:T1304"/>
    <mergeCell ref="C1305:D1305"/>
    <mergeCell ref="E1305:O1306"/>
    <mergeCell ref="Q1305:T1307"/>
    <mergeCell ref="V1305:Y1305"/>
    <mergeCell ref="C1306:D1306"/>
    <mergeCell ref="V1306:Y1307"/>
    <mergeCell ref="C1307:D1307"/>
    <mergeCell ref="E1307:O1308"/>
    <mergeCell ref="C1308:D1308"/>
    <mergeCell ref="Q1308:T1311"/>
    <mergeCell ref="V1308:W1311"/>
    <mergeCell ref="X1308:Y1311"/>
    <mergeCell ref="B1309:B1310"/>
    <mergeCell ref="C1309:D1310"/>
    <mergeCell ref="E1309:O1310"/>
    <mergeCell ref="C1311:O1311"/>
    <mergeCell ref="O1295:P1295"/>
    <mergeCell ref="V1295:W1295"/>
    <mergeCell ref="X1295:Y1295"/>
    <mergeCell ref="O1296:P1296"/>
    <mergeCell ref="V1296:W1296"/>
    <mergeCell ref="X1296:Y1296"/>
    <mergeCell ref="O1297:P1297"/>
    <mergeCell ref="V1297:W1297"/>
    <mergeCell ref="X1297:Y1297"/>
    <mergeCell ref="V1298:W1300"/>
    <mergeCell ref="X1298:Y1300"/>
    <mergeCell ref="B1299:J1299"/>
    <mergeCell ref="L1299:M1299"/>
    <mergeCell ref="N1299:R1299"/>
    <mergeCell ref="S1299:T1299"/>
    <mergeCell ref="B1300:D1301"/>
    <mergeCell ref="E1300:E1301"/>
    <mergeCell ref="F1300:G1301"/>
    <mergeCell ref="H1300:I1301"/>
    <mergeCell ref="J1300:J1301"/>
    <mergeCell ref="K1300:K1301"/>
    <mergeCell ref="L1300:N1301"/>
    <mergeCell ref="O1300:O1301"/>
    <mergeCell ref="Q1301:T1301"/>
    <mergeCell ref="V1301:W1303"/>
    <mergeCell ref="X1301:Y1303"/>
    <mergeCell ref="B1302:B1303"/>
    <mergeCell ref="C1302:D1303"/>
    <mergeCell ref="E1302:O1304"/>
    <mergeCell ref="Q1302:T1302"/>
    <mergeCell ref="Q1303:T1303"/>
    <mergeCell ref="C1304:D1304"/>
    <mergeCell ref="O1289:P1289"/>
    <mergeCell ref="V1289:W1289"/>
    <mergeCell ref="X1289:Y1289"/>
    <mergeCell ref="O1290:P1290"/>
    <mergeCell ref="V1290:W1290"/>
    <mergeCell ref="X1290:Y1290"/>
    <mergeCell ref="O1291:P1291"/>
    <mergeCell ref="V1291:W1291"/>
    <mergeCell ref="X1291:Y1291"/>
    <mergeCell ref="O1292:P1292"/>
    <mergeCell ref="V1292:W1292"/>
    <mergeCell ref="X1292:Y1292"/>
    <mergeCell ref="O1293:P1293"/>
    <mergeCell ref="V1293:W1293"/>
    <mergeCell ref="X1293:Y1293"/>
    <mergeCell ref="O1294:P1294"/>
    <mergeCell ref="V1294:W1294"/>
    <mergeCell ref="X1294:Y1294"/>
    <mergeCell ref="O1282:P1282"/>
    <mergeCell ref="V1282:W1282"/>
    <mergeCell ref="X1282:Y1282"/>
    <mergeCell ref="O1283:P1283"/>
    <mergeCell ref="V1283:W1283"/>
    <mergeCell ref="X1283:Y1283"/>
    <mergeCell ref="O1284:P1284"/>
    <mergeCell ref="V1284:W1284"/>
    <mergeCell ref="X1284:Y1284"/>
    <mergeCell ref="O1285:P1285"/>
    <mergeCell ref="V1285:W1285"/>
    <mergeCell ref="X1285:Y1285"/>
    <mergeCell ref="O1286:P1286"/>
    <mergeCell ref="V1286:W1286"/>
    <mergeCell ref="X1286:Y1286"/>
    <mergeCell ref="O1287:P1287"/>
    <mergeCell ref="V1287:W1287"/>
    <mergeCell ref="X1287:Y1287"/>
    <mergeCell ref="O1276:P1276"/>
    <mergeCell ref="V1276:W1276"/>
    <mergeCell ref="X1276:Y1276"/>
    <mergeCell ref="O1277:P1277"/>
    <mergeCell ref="V1277:W1277"/>
    <mergeCell ref="X1277:Y1277"/>
    <mergeCell ref="O1278:P1278"/>
    <mergeCell ref="V1278:W1278"/>
    <mergeCell ref="X1278:Y1278"/>
    <mergeCell ref="O1279:P1279"/>
    <mergeCell ref="V1279:W1279"/>
    <mergeCell ref="X1279:Y1279"/>
    <mergeCell ref="O1280:P1280"/>
    <mergeCell ref="V1280:W1280"/>
    <mergeCell ref="X1280:Y1280"/>
    <mergeCell ref="O1281:P1281"/>
    <mergeCell ref="V1281:W1281"/>
    <mergeCell ref="X1281:Y1281"/>
    <mergeCell ref="O1269:P1269"/>
    <mergeCell ref="V1269:W1269"/>
    <mergeCell ref="X1269:Y1269"/>
    <mergeCell ref="O1270:P1270"/>
    <mergeCell ref="V1270:W1270"/>
    <mergeCell ref="X1270:Y1270"/>
    <mergeCell ref="O1271:P1271"/>
    <mergeCell ref="V1271:W1271"/>
    <mergeCell ref="X1271:Y1271"/>
    <mergeCell ref="O1273:P1273"/>
    <mergeCell ref="V1273:W1273"/>
    <mergeCell ref="X1273:Y1273"/>
    <mergeCell ref="O1274:P1274"/>
    <mergeCell ref="V1274:W1274"/>
    <mergeCell ref="X1274:Y1274"/>
    <mergeCell ref="O1275:P1275"/>
    <mergeCell ref="V1275:W1275"/>
    <mergeCell ref="X1275:Y1275"/>
    <mergeCell ref="O1263:P1263"/>
    <mergeCell ref="V1263:W1263"/>
    <mergeCell ref="X1263:Y1263"/>
    <mergeCell ref="O1264:P1264"/>
    <mergeCell ref="V1264:W1264"/>
    <mergeCell ref="X1264:Y1264"/>
    <mergeCell ref="O1265:P1265"/>
    <mergeCell ref="V1265:W1265"/>
    <mergeCell ref="X1265:Y1265"/>
    <mergeCell ref="O1266:P1266"/>
    <mergeCell ref="V1266:W1266"/>
    <mergeCell ref="X1266:Y1266"/>
    <mergeCell ref="O1267:P1267"/>
    <mergeCell ref="V1267:W1267"/>
    <mergeCell ref="X1267:Y1267"/>
    <mergeCell ref="O1268:P1268"/>
    <mergeCell ref="V1268:W1268"/>
    <mergeCell ref="X1268:Y1268"/>
    <mergeCell ref="O1256:P1256"/>
    <mergeCell ref="V1256:W1256"/>
    <mergeCell ref="X1256:Y1256"/>
    <mergeCell ref="O1257:P1257"/>
    <mergeCell ref="V1257:W1257"/>
    <mergeCell ref="X1257:Y1257"/>
    <mergeCell ref="O1258:P1258"/>
    <mergeCell ref="V1258:W1258"/>
    <mergeCell ref="X1258:Y1258"/>
    <mergeCell ref="O1259:P1259"/>
    <mergeCell ref="V1259:W1259"/>
    <mergeCell ref="X1259:Y1259"/>
    <mergeCell ref="O1261:P1261"/>
    <mergeCell ref="V1261:W1261"/>
    <mergeCell ref="X1261:Y1261"/>
    <mergeCell ref="O1262:P1262"/>
    <mergeCell ref="V1262:W1262"/>
    <mergeCell ref="X1262:Y1262"/>
    <mergeCell ref="B1249:I1250"/>
    <mergeCell ref="J1249:Q1249"/>
    <mergeCell ref="R1249:T1250"/>
    <mergeCell ref="V1249:W1250"/>
    <mergeCell ref="X1249:Y1250"/>
    <mergeCell ref="J1250:Q1252"/>
    <mergeCell ref="B1252:B1253"/>
    <mergeCell ref="D1252:E1252"/>
    <mergeCell ref="F1252:G1252"/>
    <mergeCell ref="H1252:I1252"/>
    <mergeCell ref="R1252:S1252"/>
    <mergeCell ref="V1252:W1253"/>
    <mergeCell ref="X1252:Y1253"/>
    <mergeCell ref="O1254:P1254"/>
    <mergeCell ref="V1254:W1254"/>
    <mergeCell ref="X1254:Y1254"/>
    <mergeCell ref="H1255:I1255"/>
    <mergeCell ref="V1255:W1255"/>
    <mergeCell ref="X1255:Y1255"/>
    <mergeCell ref="Q1232:T1232"/>
    <mergeCell ref="Q1233:T1233"/>
    <mergeCell ref="C1234:D1234"/>
    <mergeCell ref="Q1234:T1234"/>
    <mergeCell ref="C1235:D1235"/>
    <mergeCell ref="E1235:O1236"/>
    <mergeCell ref="Q1235:T1237"/>
    <mergeCell ref="V1235:Y1235"/>
    <mergeCell ref="C1236:D1236"/>
    <mergeCell ref="V1236:Y1237"/>
    <mergeCell ref="C1237:D1237"/>
    <mergeCell ref="E1237:O1238"/>
    <mergeCell ref="C1238:D1238"/>
    <mergeCell ref="Q1238:T1241"/>
    <mergeCell ref="V1238:W1241"/>
    <mergeCell ref="X1238:Y1241"/>
    <mergeCell ref="B1239:B1240"/>
    <mergeCell ref="C1239:D1240"/>
    <mergeCell ref="E1239:O1240"/>
    <mergeCell ref="C1241:O1241"/>
    <mergeCell ref="O1224:P1224"/>
    <mergeCell ref="V1224:W1224"/>
    <mergeCell ref="X1224:Y1224"/>
    <mergeCell ref="O1225:P1225"/>
    <mergeCell ref="V1225:W1225"/>
    <mergeCell ref="X1225:Y1225"/>
    <mergeCell ref="O1226:P1226"/>
    <mergeCell ref="V1226:W1226"/>
    <mergeCell ref="X1226:Y1226"/>
    <mergeCell ref="O1227:P1227"/>
    <mergeCell ref="V1227:W1227"/>
    <mergeCell ref="X1227:Y1227"/>
    <mergeCell ref="V1228:W1230"/>
    <mergeCell ref="X1228:Y1230"/>
    <mergeCell ref="B1229:J1229"/>
    <mergeCell ref="L1229:M1229"/>
    <mergeCell ref="N1229:R1229"/>
    <mergeCell ref="S1229:T1229"/>
    <mergeCell ref="B1230:D1231"/>
    <mergeCell ref="E1230:E1231"/>
    <mergeCell ref="F1230:G1231"/>
    <mergeCell ref="H1230:I1231"/>
    <mergeCell ref="J1230:J1231"/>
    <mergeCell ref="K1230:K1231"/>
    <mergeCell ref="L1230:N1231"/>
    <mergeCell ref="O1230:O1231"/>
    <mergeCell ref="Q1231:T1231"/>
    <mergeCell ref="V1231:W1233"/>
    <mergeCell ref="X1231:Y1233"/>
    <mergeCell ref="B1232:B1233"/>
    <mergeCell ref="C1232:D1233"/>
    <mergeCell ref="E1232:O1234"/>
    <mergeCell ref="O1218:P1218"/>
    <mergeCell ref="V1218:W1218"/>
    <mergeCell ref="X1218:Y1218"/>
    <mergeCell ref="O1220:P1220"/>
    <mergeCell ref="V1220:W1220"/>
    <mergeCell ref="X1220:Y1220"/>
    <mergeCell ref="O1221:P1221"/>
    <mergeCell ref="V1221:W1221"/>
    <mergeCell ref="X1221:Y1221"/>
    <mergeCell ref="O1222:P1222"/>
    <mergeCell ref="V1222:W1222"/>
    <mergeCell ref="X1222:Y1222"/>
    <mergeCell ref="O1223:P1223"/>
    <mergeCell ref="V1223:W1223"/>
    <mergeCell ref="X1223:Y1223"/>
    <mergeCell ref="O1200:P1200"/>
    <mergeCell ref="V1200:W1200"/>
    <mergeCell ref="X1200:Y1200"/>
    <mergeCell ref="O1213:P1213"/>
    <mergeCell ref="V1213:W1213"/>
    <mergeCell ref="X1213:Y1213"/>
    <mergeCell ref="O1214:P1214"/>
    <mergeCell ref="V1214:W1214"/>
    <mergeCell ref="X1214:Y1214"/>
    <mergeCell ref="O1216:P1216"/>
    <mergeCell ref="O1215:P1215"/>
    <mergeCell ref="V1215:W1215"/>
    <mergeCell ref="X1215:Y1215"/>
    <mergeCell ref="O1217:P1217"/>
    <mergeCell ref="V1217:W1217"/>
    <mergeCell ref="X1217:Y1217"/>
    <mergeCell ref="O1206:P1206"/>
    <mergeCell ref="V1206:W1206"/>
    <mergeCell ref="X1206:Y1206"/>
    <mergeCell ref="O1207:P1207"/>
    <mergeCell ref="V1207:W1207"/>
    <mergeCell ref="X1207:Y1207"/>
    <mergeCell ref="O1208:P1208"/>
    <mergeCell ref="V1208:W1208"/>
    <mergeCell ref="X1208:Y1208"/>
    <mergeCell ref="O1209:P1209"/>
    <mergeCell ref="V1209:W1209"/>
    <mergeCell ref="X1209:Y1209"/>
    <mergeCell ref="O1210:P1210"/>
    <mergeCell ref="V1210:W1210"/>
    <mergeCell ref="X1210:Y1210"/>
    <mergeCell ref="O1211:P1211"/>
    <mergeCell ref="V1211:W1211"/>
    <mergeCell ref="X1211:Y1211"/>
    <mergeCell ref="O1202:P1202"/>
    <mergeCell ref="V1202:W1202"/>
    <mergeCell ref="X1202:Y1202"/>
    <mergeCell ref="O1203:P1203"/>
    <mergeCell ref="V1203:W1203"/>
    <mergeCell ref="X1203:Y1203"/>
    <mergeCell ref="V1216:W1216"/>
    <mergeCell ref="X1216:Y1216"/>
    <mergeCell ref="O1212:P1212"/>
    <mergeCell ref="V1212:W1212"/>
    <mergeCell ref="X1212:Y1212"/>
    <mergeCell ref="O1205:P1205"/>
    <mergeCell ref="V1205:W1205"/>
    <mergeCell ref="X1205:Y1205"/>
    <mergeCell ref="O1195:P1195"/>
    <mergeCell ref="V1195:W1195"/>
    <mergeCell ref="X1195:Y1195"/>
    <mergeCell ref="O1197:P1197"/>
    <mergeCell ref="V1197:W1197"/>
    <mergeCell ref="X1197:Y1197"/>
    <mergeCell ref="O1198:P1198"/>
    <mergeCell ref="V1198:W1198"/>
    <mergeCell ref="X1198:Y1198"/>
    <mergeCell ref="O1199:P1199"/>
    <mergeCell ref="V1199:W1199"/>
    <mergeCell ref="X1199:Y1199"/>
    <mergeCell ref="O1196:P1196"/>
    <mergeCell ref="V1196:W1196"/>
    <mergeCell ref="X1196:Y1196"/>
    <mergeCell ref="O1201:P1201"/>
    <mergeCell ref="V1201:W1201"/>
    <mergeCell ref="X1201:Y1201"/>
    <mergeCell ref="O1189:P1189"/>
    <mergeCell ref="V1189:W1189"/>
    <mergeCell ref="X1189:Y1189"/>
    <mergeCell ref="H1190:I1190"/>
    <mergeCell ref="V1190:W1190"/>
    <mergeCell ref="X1190:Y1190"/>
    <mergeCell ref="O1191:P1191"/>
    <mergeCell ref="V1191:W1191"/>
    <mergeCell ref="X1191:Y1191"/>
    <mergeCell ref="O1192:P1192"/>
    <mergeCell ref="V1192:W1192"/>
    <mergeCell ref="X1192:Y1192"/>
    <mergeCell ref="O1193:P1193"/>
    <mergeCell ref="V1193:W1193"/>
    <mergeCell ref="X1193:Y1193"/>
    <mergeCell ref="C1170:D1170"/>
    <mergeCell ref="E1170:O1171"/>
    <mergeCell ref="Q1170:T1172"/>
    <mergeCell ref="V1170:Y1170"/>
    <mergeCell ref="C1171:D1171"/>
    <mergeCell ref="V1171:Y1172"/>
    <mergeCell ref="C1172:D1172"/>
    <mergeCell ref="E1172:O1173"/>
    <mergeCell ref="C1173:D1173"/>
    <mergeCell ref="Q1173:T1176"/>
    <mergeCell ref="V1173:W1176"/>
    <mergeCell ref="X1173:Y1176"/>
    <mergeCell ref="B1174:B1175"/>
    <mergeCell ref="C1174:D1175"/>
    <mergeCell ref="E1174:O1175"/>
    <mergeCell ref="C1176:O1176"/>
    <mergeCell ref="B1184:I1185"/>
    <mergeCell ref="J1184:Q1184"/>
    <mergeCell ref="R1184:T1185"/>
    <mergeCell ref="V1184:W1185"/>
    <mergeCell ref="X1184:Y1185"/>
    <mergeCell ref="J1185:Q1187"/>
    <mergeCell ref="B1187:B1188"/>
    <mergeCell ref="D1187:E1187"/>
    <mergeCell ref="F1187:G1187"/>
    <mergeCell ref="H1187:I1187"/>
    <mergeCell ref="R1187:S1187"/>
    <mergeCell ref="V1187:W1188"/>
    <mergeCell ref="X1187:Y1188"/>
    <mergeCell ref="V1163:W1165"/>
    <mergeCell ref="X1163:Y1165"/>
    <mergeCell ref="B1164:J1164"/>
    <mergeCell ref="L1164:M1164"/>
    <mergeCell ref="N1164:R1164"/>
    <mergeCell ref="S1164:T1164"/>
    <mergeCell ref="B1165:D1166"/>
    <mergeCell ref="E1165:E1166"/>
    <mergeCell ref="F1165:G1166"/>
    <mergeCell ref="H1165:I1166"/>
    <mergeCell ref="J1165:J1166"/>
    <mergeCell ref="K1165:K1166"/>
    <mergeCell ref="L1165:N1166"/>
    <mergeCell ref="O1165:O1166"/>
    <mergeCell ref="Q1166:T1166"/>
    <mergeCell ref="V1166:W1168"/>
    <mergeCell ref="X1166:Y1168"/>
    <mergeCell ref="B1167:B1168"/>
    <mergeCell ref="C1167:D1168"/>
    <mergeCell ref="E1167:O1169"/>
    <mergeCell ref="Q1167:T1167"/>
    <mergeCell ref="Q1168:T1168"/>
    <mergeCell ref="C1169:D1169"/>
    <mergeCell ref="Q1169:T1169"/>
    <mergeCell ref="O1157:P1157"/>
    <mergeCell ref="V1157:W1157"/>
    <mergeCell ref="X1157:Y1157"/>
    <mergeCell ref="O1158:P1158"/>
    <mergeCell ref="V1158:W1158"/>
    <mergeCell ref="X1158:Y1158"/>
    <mergeCell ref="O1159:P1159"/>
    <mergeCell ref="V1159:W1159"/>
    <mergeCell ref="X1159:Y1159"/>
    <mergeCell ref="O1160:P1160"/>
    <mergeCell ref="V1160:W1160"/>
    <mergeCell ref="X1160:Y1160"/>
    <mergeCell ref="O1161:P1161"/>
    <mergeCell ref="V1161:W1161"/>
    <mergeCell ref="X1161:Y1161"/>
    <mergeCell ref="O1162:P1162"/>
    <mergeCell ref="V1162:W1162"/>
    <mergeCell ref="X1162:Y1162"/>
    <mergeCell ref="V1150:W1150"/>
    <mergeCell ref="X1150:Y1150"/>
    <mergeCell ref="O1152:P1152"/>
    <mergeCell ref="V1152:W1152"/>
    <mergeCell ref="X1152:Y1152"/>
    <mergeCell ref="O1151:P1151"/>
    <mergeCell ref="V1151:W1151"/>
    <mergeCell ref="X1151:Y1151"/>
    <mergeCell ref="O1154:P1154"/>
    <mergeCell ref="V1154:W1154"/>
    <mergeCell ref="X1154:Y1154"/>
    <mergeCell ref="O1155:P1155"/>
    <mergeCell ref="V1155:W1155"/>
    <mergeCell ref="X1155:Y1155"/>
    <mergeCell ref="O1156:P1156"/>
    <mergeCell ref="V1156:W1156"/>
    <mergeCell ref="X1156:Y1156"/>
    <mergeCell ref="O1150:P1150"/>
    <mergeCell ref="O1148:P1148"/>
    <mergeCell ref="V1148:W1148"/>
    <mergeCell ref="X1148:Y1148"/>
    <mergeCell ref="O1147:P1147"/>
    <mergeCell ref="V1147:W1147"/>
    <mergeCell ref="X1147:Y1147"/>
    <mergeCell ref="O1149:P1149"/>
    <mergeCell ref="V1149:W1149"/>
    <mergeCell ref="X1149:Y1149"/>
    <mergeCell ref="O1139:P1139"/>
    <mergeCell ref="V1139:W1139"/>
    <mergeCell ref="X1139:Y1139"/>
    <mergeCell ref="O1141:P1141"/>
    <mergeCell ref="V1141:W1141"/>
    <mergeCell ref="X1141:Y1141"/>
    <mergeCell ref="O1142:P1142"/>
    <mergeCell ref="V1142:W1142"/>
    <mergeCell ref="X1142:Y1142"/>
    <mergeCell ref="O1143:P1143"/>
    <mergeCell ref="V1143:W1143"/>
    <mergeCell ref="X1143:Y1143"/>
    <mergeCell ref="O1145:P1145"/>
    <mergeCell ref="V1145:W1145"/>
    <mergeCell ref="X1145:Y1145"/>
    <mergeCell ref="O1144:P1144"/>
    <mergeCell ref="V1144:W1144"/>
    <mergeCell ref="O1146:P1146"/>
    <mergeCell ref="V1146:W1146"/>
    <mergeCell ref="X1146:Y1146"/>
    <mergeCell ref="O1129:P1129"/>
    <mergeCell ref="V1129:W1129"/>
    <mergeCell ref="X1129:Y1129"/>
    <mergeCell ref="O1130:P1130"/>
    <mergeCell ref="V1130:W1130"/>
    <mergeCell ref="X1130:Y1130"/>
    <mergeCell ref="O1131:P1131"/>
    <mergeCell ref="V1131:W1131"/>
    <mergeCell ref="X1131:Y1131"/>
    <mergeCell ref="O1133:P1133"/>
    <mergeCell ref="V1133:W1133"/>
    <mergeCell ref="X1133:Y1133"/>
    <mergeCell ref="X1144:Y1144"/>
    <mergeCell ref="O1132:P1132"/>
    <mergeCell ref="V1132:W1132"/>
    <mergeCell ref="X1132:Y1132"/>
    <mergeCell ref="O1134:P1134"/>
    <mergeCell ref="V1134:W1134"/>
    <mergeCell ref="X1134:Y1134"/>
    <mergeCell ref="O1140:P1140"/>
    <mergeCell ref="V1140:W1140"/>
    <mergeCell ref="X1140:Y1140"/>
    <mergeCell ref="O1135:P1135"/>
    <mergeCell ref="V1135:W1135"/>
    <mergeCell ref="X1135:Y1135"/>
    <mergeCell ref="O1137:P1137"/>
    <mergeCell ref="V1137:W1137"/>
    <mergeCell ref="X1137:Y1137"/>
    <mergeCell ref="O1138:P1138"/>
    <mergeCell ref="V1138:W1138"/>
    <mergeCell ref="X1138:Y1138"/>
    <mergeCell ref="O1122:P1122"/>
    <mergeCell ref="V1122:W1122"/>
    <mergeCell ref="X1122:Y1122"/>
    <mergeCell ref="O1123:P1123"/>
    <mergeCell ref="V1123:W1123"/>
    <mergeCell ref="X1123:Y1123"/>
    <mergeCell ref="O1124:P1124"/>
    <mergeCell ref="V1124:W1124"/>
    <mergeCell ref="X1124:Y1124"/>
    <mergeCell ref="O1126:P1126"/>
    <mergeCell ref="V1126:W1126"/>
    <mergeCell ref="X1126:Y1126"/>
    <mergeCell ref="O1127:P1127"/>
    <mergeCell ref="V1127:W1127"/>
    <mergeCell ref="X1127:Y1127"/>
    <mergeCell ref="O1128:P1128"/>
    <mergeCell ref="V1128:W1128"/>
    <mergeCell ref="X1128:Y1128"/>
    <mergeCell ref="B1115:I1116"/>
    <mergeCell ref="J1115:Q1115"/>
    <mergeCell ref="R1115:T1116"/>
    <mergeCell ref="V1115:W1116"/>
    <mergeCell ref="X1115:Y1116"/>
    <mergeCell ref="J1116:Q1118"/>
    <mergeCell ref="B1118:B1119"/>
    <mergeCell ref="D1118:E1118"/>
    <mergeCell ref="F1118:G1118"/>
    <mergeCell ref="H1118:I1118"/>
    <mergeCell ref="R1118:S1118"/>
    <mergeCell ref="V1118:W1119"/>
    <mergeCell ref="X1118:Y1119"/>
    <mergeCell ref="O1120:P1120"/>
    <mergeCell ref="V1120:W1120"/>
    <mergeCell ref="X1120:Y1120"/>
    <mergeCell ref="H1121:I1121"/>
    <mergeCell ref="V1121:W1121"/>
    <mergeCell ref="X1121:Y1121"/>
    <mergeCell ref="J2:Q2"/>
    <mergeCell ref="D5:E5"/>
    <mergeCell ref="F5:G5"/>
    <mergeCell ref="H5:I5"/>
    <mergeCell ref="R5:S5"/>
    <mergeCell ref="O7:P7"/>
    <mergeCell ref="V7:W7"/>
    <mergeCell ref="X7:Y7"/>
    <mergeCell ref="O8:P8"/>
    <mergeCell ref="V8:W8"/>
    <mergeCell ref="X8:Y8"/>
    <mergeCell ref="O9:P9"/>
    <mergeCell ref="V9:W9"/>
    <mergeCell ref="X9:Y9"/>
    <mergeCell ref="O10:P10"/>
    <mergeCell ref="V10:W10"/>
    <mergeCell ref="X10:Y10"/>
    <mergeCell ref="B2:I3"/>
    <mergeCell ref="R2:T3"/>
    <mergeCell ref="J3:Q5"/>
    <mergeCell ref="O11:P11"/>
    <mergeCell ref="V11:W11"/>
    <mergeCell ref="X11:Y11"/>
    <mergeCell ref="O12:P12"/>
    <mergeCell ref="V12:W12"/>
    <mergeCell ref="X12:Y12"/>
    <mergeCell ref="O13:P13"/>
    <mergeCell ref="V13:W13"/>
    <mergeCell ref="X13:Y13"/>
    <mergeCell ref="O14:P14"/>
    <mergeCell ref="V14:W14"/>
    <mergeCell ref="X14:Y14"/>
    <mergeCell ref="O15:P15"/>
    <mergeCell ref="V15:W15"/>
    <mergeCell ref="X15:Y15"/>
    <mergeCell ref="O16:P16"/>
    <mergeCell ref="V16:W16"/>
    <mergeCell ref="X16:Y16"/>
    <mergeCell ref="O17:P17"/>
    <mergeCell ref="V17:W17"/>
    <mergeCell ref="X17:Y17"/>
    <mergeCell ref="O18:P18"/>
    <mergeCell ref="V18:W18"/>
    <mergeCell ref="X18:Y18"/>
    <mergeCell ref="O19:P19"/>
    <mergeCell ref="V19:W19"/>
    <mergeCell ref="X19:Y19"/>
    <mergeCell ref="O21:P21"/>
    <mergeCell ref="V21:W21"/>
    <mergeCell ref="X21:Y21"/>
    <mergeCell ref="O22:P22"/>
    <mergeCell ref="V22:W22"/>
    <mergeCell ref="X22:Y22"/>
    <mergeCell ref="O23:P23"/>
    <mergeCell ref="V23:W23"/>
    <mergeCell ref="X23:Y23"/>
    <mergeCell ref="O24:P24"/>
    <mergeCell ref="V24:W24"/>
    <mergeCell ref="X24:Y24"/>
    <mergeCell ref="O25:P25"/>
    <mergeCell ref="V25:W25"/>
    <mergeCell ref="X25:Y25"/>
    <mergeCell ref="O26:P26"/>
    <mergeCell ref="V26:W26"/>
    <mergeCell ref="X26:Y26"/>
    <mergeCell ref="O27:P27"/>
    <mergeCell ref="V27:W27"/>
    <mergeCell ref="X27:Y27"/>
    <mergeCell ref="O28:P28"/>
    <mergeCell ref="V28:W28"/>
    <mergeCell ref="X28:Y28"/>
    <mergeCell ref="O29:P29"/>
    <mergeCell ref="V29:W29"/>
    <mergeCell ref="X29:Y29"/>
    <mergeCell ref="O30:P30"/>
    <mergeCell ref="V30:W30"/>
    <mergeCell ref="X30:Y30"/>
    <mergeCell ref="O31:P31"/>
    <mergeCell ref="V31:W31"/>
    <mergeCell ref="X31:Y31"/>
    <mergeCell ref="O32:P32"/>
    <mergeCell ref="V32:W32"/>
    <mergeCell ref="X32:Y32"/>
    <mergeCell ref="O33:P33"/>
    <mergeCell ref="V33:W33"/>
    <mergeCell ref="X33:Y33"/>
    <mergeCell ref="O34:P34"/>
    <mergeCell ref="V34:W34"/>
    <mergeCell ref="X34:Y34"/>
    <mergeCell ref="O36:P36"/>
    <mergeCell ref="V36:W36"/>
    <mergeCell ref="X36:Y36"/>
    <mergeCell ref="V37:W37"/>
    <mergeCell ref="X37:Y37"/>
    <mergeCell ref="O38:P38"/>
    <mergeCell ref="V38:W38"/>
    <mergeCell ref="X38:Y38"/>
    <mergeCell ref="O39:P39"/>
    <mergeCell ref="V39:W39"/>
    <mergeCell ref="X39:Y39"/>
    <mergeCell ref="O40:P40"/>
    <mergeCell ref="V40:W40"/>
    <mergeCell ref="X40:Y40"/>
    <mergeCell ref="O41:P41"/>
    <mergeCell ref="V41:W41"/>
    <mergeCell ref="X41:Y41"/>
    <mergeCell ref="O42:P42"/>
    <mergeCell ref="V42:W42"/>
    <mergeCell ref="X42:Y42"/>
    <mergeCell ref="O43:P43"/>
    <mergeCell ref="V43:W43"/>
    <mergeCell ref="X43:Y43"/>
    <mergeCell ref="O44:P44"/>
    <mergeCell ref="V44:W44"/>
    <mergeCell ref="X44:Y44"/>
    <mergeCell ref="O45:P45"/>
    <mergeCell ref="V45:W45"/>
    <mergeCell ref="X45:Y45"/>
    <mergeCell ref="O46:P46"/>
    <mergeCell ref="V46:W46"/>
    <mergeCell ref="X46:Y46"/>
    <mergeCell ref="V47:W47"/>
    <mergeCell ref="X47:Y47"/>
    <mergeCell ref="O48:P48"/>
    <mergeCell ref="V48:W48"/>
    <mergeCell ref="X48:Y48"/>
    <mergeCell ref="O49:P49"/>
    <mergeCell ref="V49:W49"/>
    <mergeCell ref="X49:Y49"/>
    <mergeCell ref="B51:J51"/>
    <mergeCell ref="L51:M51"/>
    <mergeCell ref="N51:R51"/>
    <mergeCell ref="S51:T51"/>
    <mergeCell ref="Q53:T53"/>
    <mergeCell ref="Q54:T54"/>
    <mergeCell ref="Q55:T55"/>
    <mergeCell ref="C56:D56"/>
    <mergeCell ref="Q56:T56"/>
    <mergeCell ref="C57:D57"/>
    <mergeCell ref="V57:Y57"/>
    <mergeCell ref="C58:D58"/>
    <mergeCell ref="C59:D59"/>
    <mergeCell ref="C60:D60"/>
    <mergeCell ref="J52:J53"/>
    <mergeCell ref="B52:D53"/>
    <mergeCell ref="F52:G53"/>
    <mergeCell ref="H52:I53"/>
    <mergeCell ref="L52:N53"/>
    <mergeCell ref="C54:D55"/>
    <mergeCell ref="E54:O56"/>
    <mergeCell ref="E57:O58"/>
    <mergeCell ref="Q57:T59"/>
    <mergeCell ref="E52:E53"/>
    <mergeCell ref="R72:S72"/>
    <mergeCell ref="O73:P73"/>
    <mergeCell ref="O74:P74"/>
    <mergeCell ref="V74:W74"/>
    <mergeCell ref="X74:Y74"/>
    <mergeCell ref="O75:P75"/>
    <mergeCell ref="V75:W75"/>
    <mergeCell ref="X75:Y75"/>
    <mergeCell ref="O76:P76"/>
    <mergeCell ref="V76:W76"/>
    <mergeCell ref="X76:Y76"/>
    <mergeCell ref="O77:P77"/>
    <mergeCell ref="V77:W77"/>
    <mergeCell ref="X77:Y77"/>
    <mergeCell ref="Q60:T63"/>
    <mergeCell ref="C61:D62"/>
    <mergeCell ref="E61:O62"/>
    <mergeCell ref="B69:I70"/>
    <mergeCell ref="R69:T70"/>
    <mergeCell ref="J70:Q72"/>
    <mergeCell ref="E59:O60"/>
    <mergeCell ref="V78:W78"/>
    <mergeCell ref="X78:Y78"/>
    <mergeCell ref="O79:P79"/>
    <mergeCell ref="V79:W79"/>
    <mergeCell ref="X79:Y79"/>
    <mergeCell ref="O80:P80"/>
    <mergeCell ref="V80:W80"/>
    <mergeCell ref="X80:Y80"/>
    <mergeCell ref="O81:P81"/>
    <mergeCell ref="V81:W81"/>
    <mergeCell ref="X81:Y81"/>
    <mergeCell ref="O82:P82"/>
    <mergeCell ref="V82:W82"/>
    <mergeCell ref="X82:Y82"/>
    <mergeCell ref="O83:P83"/>
    <mergeCell ref="V83:W83"/>
    <mergeCell ref="X83:Y83"/>
    <mergeCell ref="O84:P84"/>
    <mergeCell ref="V84:W84"/>
    <mergeCell ref="X84:Y84"/>
    <mergeCell ref="O85:P85"/>
    <mergeCell ref="V85:W85"/>
    <mergeCell ref="X85:Y85"/>
    <mergeCell ref="O86:P86"/>
    <mergeCell ref="V86:W86"/>
    <mergeCell ref="X86:Y86"/>
    <mergeCell ref="O87:P87"/>
    <mergeCell ref="V87:W87"/>
    <mergeCell ref="X87:Y87"/>
    <mergeCell ref="O88:P88"/>
    <mergeCell ref="V88:W88"/>
    <mergeCell ref="X88:Y88"/>
    <mergeCell ref="V89:W89"/>
    <mergeCell ref="X89:Y89"/>
    <mergeCell ref="O90:P90"/>
    <mergeCell ref="V90:W90"/>
    <mergeCell ref="X90:Y90"/>
    <mergeCell ref="O91:P91"/>
    <mergeCell ref="V91:W91"/>
    <mergeCell ref="X91:Y91"/>
    <mergeCell ref="O92:P92"/>
    <mergeCell ref="V92:W92"/>
    <mergeCell ref="X92:Y92"/>
    <mergeCell ref="O93:P93"/>
    <mergeCell ref="V93:W93"/>
    <mergeCell ref="X93:Y93"/>
    <mergeCell ref="O94:P94"/>
    <mergeCell ref="V94:W94"/>
    <mergeCell ref="X94:Y94"/>
    <mergeCell ref="O95:P95"/>
    <mergeCell ref="V95:W95"/>
    <mergeCell ref="X95:Y95"/>
    <mergeCell ref="O96:P96"/>
    <mergeCell ref="V96:W96"/>
    <mergeCell ref="X96:Y96"/>
    <mergeCell ref="O98:P98"/>
    <mergeCell ref="V98:W98"/>
    <mergeCell ref="X98:Y98"/>
    <mergeCell ref="O99:P99"/>
    <mergeCell ref="V99:W99"/>
    <mergeCell ref="X99:Y99"/>
    <mergeCell ref="O100:P100"/>
    <mergeCell ref="V100:W100"/>
    <mergeCell ref="X100:Y100"/>
    <mergeCell ref="O101:P101"/>
    <mergeCell ref="V101:W101"/>
    <mergeCell ref="X101:Y101"/>
    <mergeCell ref="O102:P102"/>
    <mergeCell ref="V102:W102"/>
    <mergeCell ref="X102:Y102"/>
    <mergeCell ref="M117:T117"/>
    <mergeCell ref="O118:P118"/>
    <mergeCell ref="M119:T119"/>
    <mergeCell ref="O120:P120"/>
    <mergeCell ref="M121:T121"/>
    <mergeCell ref="O122:P122"/>
    <mergeCell ref="M123:T123"/>
    <mergeCell ref="O124:P124"/>
    <mergeCell ref="M125:T125"/>
    <mergeCell ref="O126:P126"/>
    <mergeCell ref="O103:P103"/>
    <mergeCell ref="V103:W103"/>
    <mergeCell ref="X103:Y103"/>
    <mergeCell ref="O104:P104"/>
    <mergeCell ref="V104:W104"/>
    <mergeCell ref="X104:Y104"/>
    <mergeCell ref="O105:P105"/>
    <mergeCell ref="V105:W105"/>
    <mergeCell ref="X105:Y105"/>
    <mergeCell ref="O106:P106"/>
    <mergeCell ref="V106:W106"/>
    <mergeCell ref="X106:Y106"/>
    <mergeCell ref="O107:P107"/>
    <mergeCell ref="V107:W107"/>
    <mergeCell ref="X107:Y107"/>
    <mergeCell ref="O108:P108"/>
    <mergeCell ref="V108:W108"/>
    <mergeCell ref="X108:Y108"/>
    <mergeCell ref="O134:P134"/>
    <mergeCell ref="M135:T135"/>
    <mergeCell ref="M138:T138"/>
    <mergeCell ref="O139:P139"/>
    <mergeCell ref="M140:T140"/>
    <mergeCell ref="B142:D142"/>
    <mergeCell ref="O142:Q142"/>
    <mergeCell ref="B143:J143"/>
    <mergeCell ref="L143:M143"/>
    <mergeCell ref="N143:R143"/>
    <mergeCell ref="S143:T143"/>
    <mergeCell ref="B137:B138"/>
    <mergeCell ref="B139:B140"/>
    <mergeCell ref="I128:I129"/>
    <mergeCell ref="I130:I131"/>
    <mergeCell ref="I132:I133"/>
    <mergeCell ref="I134:I135"/>
    <mergeCell ref="I137:I138"/>
    <mergeCell ref="I139:I140"/>
    <mergeCell ref="Q145:T145"/>
    <mergeCell ref="C148:D148"/>
    <mergeCell ref="Q148:T148"/>
    <mergeCell ref="C149:D149"/>
    <mergeCell ref="V149:Y149"/>
    <mergeCell ref="C150:D150"/>
    <mergeCell ref="E150:O150"/>
    <mergeCell ref="C151:D151"/>
    <mergeCell ref="C152:D152"/>
    <mergeCell ref="C155:O155"/>
    <mergeCell ref="J163:Q163"/>
    <mergeCell ref="D166:E166"/>
    <mergeCell ref="F166:G166"/>
    <mergeCell ref="H166:I166"/>
    <mergeCell ref="R166:S166"/>
    <mergeCell ref="O168:P168"/>
    <mergeCell ref="V168:W168"/>
    <mergeCell ref="X168:Y168"/>
    <mergeCell ref="V145:W147"/>
    <mergeCell ref="X145:Y147"/>
    <mergeCell ref="C146:D147"/>
    <mergeCell ref="V150:Y151"/>
    <mergeCell ref="V152:W155"/>
    <mergeCell ref="X152:Y155"/>
    <mergeCell ref="V163:W164"/>
    <mergeCell ref="X163:Y164"/>
    <mergeCell ref="V166:W167"/>
    <mergeCell ref="X166:Y167"/>
    <mergeCell ref="O169:P169"/>
    <mergeCell ref="V169:W169"/>
    <mergeCell ref="X169:Y169"/>
    <mergeCell ref="O170:P170"/>
    <mergeCell ref="V170:W170"/>
    <mergeCell ref="X170:Y170"/>
    <mergeCell ref="O171:P171"/>
    <mergeCell ref="V171:W171"/>
    <mergeCell ref="X171:Y171"/>
    <mergeCell ref="O172:P172"/>
    <mergeCell ref="V172:W172"/>
    <mergeCell ref="X172:Y172"/>
    <mergeCell ref="O173:P173"/>
    <mergeCell ref="V173:W173"/>
    <mergeCell ref="X173:Y173"/>
    <mergeCell ref="O174:P174"/>
    <mergeCell ref="V174:W174"/>
    <mergeCell ref="X174:Y174"/>
    <mergeCell ref="O175:P175"/>
    <mergeCell ref="V175:W175"/>
    <mergeCell ref="X175:Y175"/>
    <mergeCell ref="O176:P176"/>
    <mergeCell ref="V176:W176"/>
    <mergeCell ref="X176:Y176"/>
    <mergeCell ref="O177:P177"/>
    <mergeCell ref="V177:W177"/>
    <mergeCell ref="X177:Y177"/>
    <mergeCell ref="O179:P179"/>
    <mergeCell ref="V179:W179"/>
    <mergeCell ref="X179:Y179"/>
    <mergeCell ref="O180:P180"/>
    <mergeCell ref="V180:W180"/>
    <mergeCell ref="X180:Y180"/>
    <mergeCell ref="O181:P181"/>
    <mergeCell ref="O182:P182"/>
    <mergeCell ref="V182:W182"/>
    <mergeCell ref="X182:Y182"/>
    <mergeCell ref="V183:W183"/>
    <mergeCell ref="X183:Y183"/>
    <mergeCell ref="O185:P185"/>
    <mergeCell ref="V185:W185"/>
    <mergeCell ref="X185:Y185"/>
    <mergeCell ref="O186:P186"/>
    <mergeCell ref="V186:W186"/>
    <mergeCell ref="X186:Y186"/>
    <mergeCell ref="O187:P187"/>
    <mergeCell ref="V187:W187"/>
    <mergeCell ref="X187:Y187"/>
    <mergeCell ref="O188:P188"/>
    <mergeCell ref="V188:W188"/>
    <mergeCell ref="X188:Y188"/>
    <mergeCell ref="O189:P189"/>
    <mergeCell ref="V189:W189"/>
    <mergeCell ref="X189:Y189"/>
    <mergeCell ref="O190:P190"/>
    <mergeCell ref="V190:W190"/>
    <mergeCell ref="X190:Y190"/>
    <mergeCell ref="O191:P191"/>
    <mergeCell ref="V191:W191"/>
    <mergeCell ref="X191:Y191"/>
    <mergeCell ref="O192:P192"/>
    <mergeCell ref="V192:W192"/>
    <mergeCell ref="X192:Y192"/>
    <mergeCell ref="O193:P193"/>
    <mergeCell ref="O194:P194"/>
    <mergeCell ref="V194:W194"/>
    <mergeCell ref="X194:Y194"/>
    <mergeCell ref="O195:P195"/>
    <mergeCell ref="V195:W195"/>
    <mergeCell ref="X195:Y195"/>
    <mergeCell ref="O196:P196"/>
    <mergeCell ref="O197:P197"/>
    <mergeCell ref="V197:W197"/>
    <mergeCell ref="X197:Y197"/>
    <mergeCell ref="O199:P199"/>
    <mergeCell ref="V199:W199"/>
    <mergeCell ref="X199:Y199"/>
    <mergeCell ref="O200:P200"/>
    <mergeCell ref="V200:W200"/>
    <mergeCell ref="X200:Y200"/>
    <mergeCell ref="O201:P201"/>
    <mergeCell ref="O202:P202"/>
    <mergeCell ref="V202:W202"/>
    <mergeCell ref="X202:Y202"/>
    <mergeCell ref="O203:P203"/>
    <mergeCell ref="V203:W203"/>
    <mergeCell ref="X203:Y203"/>
    <mergeCell ref="O204:P204"/>
    <mergeCell ref="V204:W204"/>
    <mergeCell ref="X204:Y204"/>
    <mergeCell ref="O205:P205"/>
    <mergeCell ref="V205:W205"/>
    <mergeCell ref="X205:Y205"/>
    <mergeCell ref="O206:P206"/>
    <mergeCell ref="V206:W206"/>
    <mergeCell ref="X206:Y206"/>
    <mergeCell ref="O207:P207"/>
    <mergeCell ref="V207:W207"/>
    <mergeCell ref="X207:Y207"/>
    <mergeCell ref="O208:P208"/>
    <mergeCell ref="V208:W208"/>
    <mergeCell ref="X208:Y208"/>
    <mergeCell ref="O209:P209"/>
    <mergeCell ref="V209:W209"/>
    <mergeCell ref="X209:Y209"/>
    <mergeCell ref="O210:P210"/>
    <mergeCell ref="V210:W210"/>
    <mergeCell ref="X210:Y210"/>
    <mergeCell ref="O211:P211"/>
    <mergeCell ref="V211:W211"/>
    <mergeCell ref="X211:Y211"/>
    <mergeCell ref="O212:P212"/>
    <mergeCell ref="V212:W212"/>
    <mergeCell ref="X212:Y212"/>
    <mergeCell ref="O213:P213"/>
    <mergeCell ref="V213:W213"/>
    <mergeCell ref="X213:Y213"/>
    <mergeCell ref="O214:P214"/>
    <mergeCell ref="O215:P215"/>
    <mergeCell ref="V215:W215"/>
    <mergeCell ref="X215:Y215"/>
    <mergeCell ref="O216:P216"/>
    <mergeCell ref="O217:P217"/>
    <mergeCell ref="O218:P218"/>
    <mergeCell ref="V218:W218"/>
    <mergeCell ref="X218:Y218"/>
    <mergeCell ref="O220:P220"/>
    <mergeCell ref="V220:W220"/>
    <mergeCell ref="X220:Y220"/>
    <mergeCell ref="O221:P221"/>
    <mergeCell ref="V221:W221"/>
    <mergeCell ref="X221:Y221"/>
    <mergeCell ref="O222:P222"/>
    <mergeCell ref="V222:W222"/>
    <mergeCell ref="X222:Y222"/>
    <mergeCell ref="O223:P223"/>
    <mergeCell ref="V223:W223"/>
    <mergeCell ref="X223:Y223"/>
    <mergeCell ref="O224:P224"/>
    <mergeCell ref="V224:W224"/>
    <mergeCell ref="X224:Y224"/>
    <mergeCell ref="O225:P225"/>
    <mergeCell ref="V225:W225"/>
    <mergeCell ref="X225:Y225"/>
    <mergeCell ref="O226:P226"/>
    <mergeCell ref="V226:W226"/>
    <mergeCell ref="X226:Y226"/>
    <mergeCell ref="O227:P227"/>
    <mergeCell ref="V227:W227"/>
    <mergeCell ref="X227:Y227"/>
    <mergeCell ref="B229:J229"/>
    <mergeCell ref="L229:M229"/>
    <mergeCell ref="N229:R229"/>
    <mergeCell ref="S229:T229"/>
    <mergeCell ref="Q231:T231"/>
    <mergeCell ref="Q232:T232"/>
    <mergeCell ref="Q233:T233"/>
    <mergeCell ref="C234:D234"/>
    <mergeCell ref="Q234:T234"/>
    <mergeCell ref="C235:D235"/>
    <mergeCell ref="V235:Y235"/>
    <mergeCell ref="V228:W230"/>
    <mergeCell ref="X228:Y230"/>
    <mergeCell ref="V231:W233"/>
    <mergeCell ref="X231:Y233"/>
    <mergeCell ref="E230:E231"/>
    <mergeCell ref="J246:Q246"/>
    <mergeCell ref="D249:E249"/>
    <mergeCell ref="F249:G249"/>
    <mergeCell ref="H249:I249"/>
    <mergeCell ref="R249:S249"/>
    <mergeCell ref="O251:P251"/>
    <mergeCell ref="V251:W251"/>
    <mergeCell ref="X251:Y251"/>
    <mergeCell ref="O252:P252"/>
    <mergeCell ref="V252:W252"/>
    <mergeCell ref="X252:Y252"/>
    <mergeCell ref="O253:P253"/>
    <mergeCell ref="V253:W253"/>
    <mergeCell ref="X253:Y253"/>
    <mergeCell ref="Q235:T237"/>
    <mergeCell ref="V236:Y237"/>
    <mergeCell ref="Q238:T241"/>
    <mergeCell ref="V238:W241"/>
    <mergeCell ref="X238:Y241"/>
    <mergeCell ref="V254:W254"/>
    <mergeCell ref="X254:Y254"/>
    <mergeCell ref="O256:P256"/>
    <mergeCell ref="V256:W256"/>
    <mergeCell ref="X256:Y256"/>
    <mergeCell ref="O257:P257"/>
    <mergeCell ref="V257:W257"/>
    <mergeCell ref="X257:Y257"/>
    <mergeCell ref="O258:P258"/>
    <mergeCell ref="V258:W258"/>
    <mergeCell ref="X258:Y258"/>
    <mergeCell ref="O259:P259"/>
    <mergeCell ref="V259:W259"/>
    <mergeCell ref="X259:Y259"/>
    <mergeCell ref="O260:P260"/>
    <mergeCell ref="V260:W260"/>
    <mergeCell ref="X260:Y260"/>
    <mergeCell ref="V261:W261"/>
    <mergeCell ref="X261:Y261"/>
    <mergeCell ref="O262:P262"/>
    <mergeCell ref="V262:W262"/>
    <mergeCell ref="X262:Y262"/>
    <mergeCell ref="O263:P263"/>
    <mergeCell ref="V263:W263"/>
    <mergeCell ref="X263:Y263"/>
    <mergeCell ref="O264:P264"/>
    <mergeCell ref="V264:W264"/>
    <mergeCell ref="X264:Y264"/>
    <mergeCell ref="O265:P265"/>
    <mergeCell ref="V265:W265"/>
    <mergeCell ref="X265:Y265"/>
    <mergeCell ref="O266:P266"/>
    <mergeCell ref="V266:W266"/>
    <mergeCell ref="X266:Y266"/>
    <mergeCell ref="X280:Y280"/>
    <mergeCell ref="O267:P267"/>
    <mergeCell ref="V267:W267"/>
    <mergeCell ref="X267:Y267"/>
    <mergeCell ref="O269:P269"/>
    <mergeCell ref="V269:W269"/>
    <mergeCell ref="X269:Y269"/>
    <mergeCell ref="O270:P270"/>
    <mergeCell ref="V270:W270"/>
    <mergeCell ref="X270:Y270"/>
    <mergeCell ref="O271:P271"/>
    <mergeCell ref="V271:W271"/>
    <mergeCell ref="X271:Y271"/>
    <mergeCell ref="O272:P272"/>
    <mergeCell ref="V272:W272"/>
    <mergeCell ref="X272:Y272"/>
    <mergeCell ref="O273:P273"/>
    <mergeCell ref="V273:W273"/>
    <mergeCell ref="X273:Y273"/>
    <mergeCell ref="V282:W282"/>
    <mergeCell ref="X282:Y282"/>
    <mergeCell ref="O283:P283"/>
    <mergeCell ref="V283:W283"/>
    <mergeCell ref="X283:Y283"/>
    <mergeCell ref="O284:P284"/>
    <mergeCell ref="O285:P285"/>
    <mergeCell ref="V285:W285"/>
    <mergeCell ref="X285:Y285"/>
    <mergeCell ref="O287:P287"/>
    <mergeCell ref="V287:W287"/>
    <mergeCell ref="X287:Y287"/>
    <mergeCell ref="O288:P288"/>
    <mergeCell ref="O289:P289"/>
    <mergeCell ref="V289:W289"/>
    <mergeCell ref="X289:Y289"/>
    <mergeCell ref="O274:P274"/>
    <mergeCell ref="V274:W274"/>
    <mergeCell ref="X274:Y274"/>
    <mergeCell ref="O275:P275"/>
    <mergeCell ref="V275:W275"/>
    <mergeCell ref="X275:Y275"/>
    <mergeCell ref="O276:P276"/>
    <mergeCell ref="O277:P277"/>
    <mergeCell ref="V277:W277"/>
    <mergeCell ref="X277:Y277"/>
    <mergeCell ref="O278:P278"/>
    <mergeCell ref="V278:W278"/>
    <mergeCell ref="X278:Y278"/>
    <mergeCell ref="O279:P279"/>
    <mergeCell ref="O280:P280"/>
    <mergeCell ref="V280:W280"/>
    <mergeCell ref="V290:W290"/>
    <mergeCell ref="X290:Y290"/>
    <mergeCell ref="O291:P291"/>
    <mergeCell ref="V291:W291"/>
    <mergeCell ref="X291:Y291"/>
    <mergeCell ref="O292:P292"/>
    <mergeCell ref="V292:W292"/>
    <mergeCell ref="X292:Y292"/>
    <mergeCell ref="O293:P293"/>
    <mergeCell ref="V293:W293"/>
    <mergeCell ref="X293:Y293"/>
    <mergeCell ref="O294:P294"/>
    <mergeCell ref="V294:W294"/>
    <mergeCell ref="X294:Y294"/>
    <mergeCell ref="O295:P295"/>
    <mergeCell ref="V295:W295"/>
    <mergeCell ref="X295:Y295"/>
    <mergeCell ref="V307:W310"/>
    <mergeCell ref="X307:Y310"/>
    <mergeCell ref="O296:P296"/>
    <mergeCell ref="V296:W296"/>
    <mergeCell ref="X296:Y296"/>
    <mergeCell ref="B298:J298"/>
    <mergeCell ref="L298:M298"/>
    <mergeCell ref="N298:R298"/>
    <mergeCell ref="S298:T298"/>
    <mergeCell ref="Q300:T300"/>
    <mergeCell ref="Q301:T301"/>
    <mergeCell ref="Q302:T302"/>
    <mergeCell ref="C303:D303"/>
    <mergeCell ref="Q303:T303"/>
    <mergeCell ref="C304:D304"/>
    <mergeCell ref="V304:Y304"/>
    <mergeCell ref="C305:D305"/>
    <mergeCell ref="C306:D306"/>
    <mergeCell ref="C307:D307"/>
    <mergeCell ref="J299:J300"/>
    <mergeCell ref="C301:D302"/>
    <mergeCell ref="V300:W302"/>
    <mergeCell ref="X300:Y302"/>
    <mergeCell ref="E299:E300"/>
    <mergeCell ref="R316:S316"/>
    <mergeCell ref="O318:P318"/>
    <mergeCell ref="V318:W318"/>
    <mergeCell ref="X318:Y318"/>
    <mergeCell ref="O319:P319"/>
    <mergeCell ref="V319:W319"/>
    <mergeCell ref="X319:Y319"/>
    <mergeCell ref="O320:P320"/>
    <mergeCell ref="V320:W320"/>
    <mergeCell ref="X320:Y320"/>
    <mergeCell ref="O321:P321"/>
    <mergeCell ref="V321:W321"/>
    <mergeCell ref="X321:Y321"/>
    <mergeCell ref="R313:T314"/>
    <mergeCell ref="V313:W314"/>
    <mergeCell ref="X313:Y314"/>
    <mergeCell ref="J314:Q316"/>
    <mergeCell ref="V316:W317"/>
    <mergeCell ref="X316:Y317"/>
    <mergeCell ref="O323:P323"/>
    <mergeCell ref="V323:W323"/>
    <mergeCell ref="X323:Y323"/>
    <mergeCell ref="O324:P324"/>
    <mergeCell ref="V324:W324"/>
    <mergeCell ref="X324:Y324"/>
    <mergeCell ref="O325:P325"/>
    <mergeCell ref="V325:W325"/>
    <mergeCell ref="X325:Y325"/>
    <mergeCell ref="O326:P326"/>
    <mergeCell ref="V326:W326"/>
    <mergeCell ref="X326:Y326"/>
    <mergeCell ref="O327:P327"/>
    <mergeCell ref="V327:W327"/>
    <mergeCell ref="X327:Y327"/>
    <mergeCell ref="O328:P328"/>
    <mergeCell ref="V328:W328"/>
    <mergeCell ref="X328:Y328"/>
    <mergeCell ref="O329:P329"/>
    <mergeCell ref="V329:W329"/>
    <mergeCell ref="X329:Y329"/>
    <mergeCell ref="O330:P330"/>
    <mergeCell ref="V330:W330"/>
    <mergeCell ref="X330:Y330"/>
    <mergeCell ref="O331:P331"/>
    <mergeCell ref="V331:W331"/>
    <mergeCell ref="X331:Y331"/>
    <mergeCell ref="O332:P332"/>
    <mergeCell ref="V332:W332"/>
    <mergeCell ref="X332:Y332"/>
    <mergeCell ref="O333:P333"/>
    <mergeCell ref="V333:W333"/>
    <mergeCell ref="X333:Y333"/>
    <mergeCell ref="O335:P335"/>
    <mergeCell ref="V335:W335"/>
    <mergeCell ref="X335:Y335"/>
    <mergeCell ref="O336:P336"/>
    <mergeCell ref="V336:W336"/>
    <mergeCell ref="X336:Y336"/>
    <mergeCell ref="O337:P337"/>
    <mergeCell ref="V337:W337"/>
    <mergeCell ref="X337:Y337"/>
    <mergeCell ref="O338:P338"/>
    <mergeCell ref="V338:W338"/>
    <mergeCell ref="X338:Y338"/>
    <mergeCell ref="O339:P339"/>
    <mergeCell ref="V339:W339"/>
    <mergeCell ref="X339:Y339"/>
    <mergeCell ref="O340:P340"/>
    <mergeCell ref="V340:W340"/>
    <mergeCell ref="X340:Y340"/>
    <mergeCell ref="O341:P341"/>
    <mergeCell ref="V341:W341"/>
    <mergeCell ref="X341:Y341"/>
    <mergeCell ref="O342:P342"/>
    <mergeCell ref="V342:W342"/>
    <mergeCell ref="X342:Y342"/>
    <mergeCell ref="O343:P343"/>
    <mergeCell ref="V343:W343"/>
    <mergeCell ref="X343:Y343"/>
    <mergeCell ref="O344:P344"/>
    <mergeCell ref="O345:P345"/>
    <mergeCell ref="V345:W345"/>
    <mergeCell ref="X345:Y345"/>
    <mergeCell ref="O346:P346"/>
    <mergeCell ref="V346:W346"/>
    <mergeCell ref="X346:Y346"/>
    <mergeCell ref="O347:P347"/>
    <mergeCell ref="V347:W347"/>
    <mergeCell ref="X347:Y347"/>
    <mergeCell ref="O349:P349"/>
    <mergeCell ref="V349:W349"/>
    <mergeCell ref="X349:Y349"/>
    <mergeCell ref="L361:N362"/>
    <mergeCell ref="V362:W364"/>
    <mergeCell ref="X362:Y364"/>
    <mergeCell ref="E361:E362"/>
    <mergeCell ref="O350:P350"/>
    <mergeCell ref="O351:P351"/>
    <mergeCell ref="V351:W351"/>
    <mergeCell ref="X351:Y351"/>
    <mergeCell ref="O352:P352"/>
    <mergeCell ref="V352:W352"/>
    <mergeCell ref="X352:Y352"/>
    <mergeCell ref="O353:P353"/>
    <mergeCell ref="V353:W353"/>
    <mergeCell ref="X353:Y353"/>
    <mergeCell ref="O354:P354"/>
    <mergeCell ref="V354:W354"/>
    <mergeCell ref="X354:Y354"/>
    <mergeCell ref="O355:P355"/>
    <mergeCell ref="V355:W355"/>
    <mergeCell ref="X355:Y355"/>
    <mergeCell ref="O356:P356"/>
    <mergeCell ref="V356:W356"/>
    <mergeCell ref="X356:Y356"/>
    <mergeCell ref="V367:Y368"/>
    <mergeCell ref="E368:O369"/>
    <mergeCell ref="Q369:T372"/>
    <mergeCell ref="V369:W372"/>
    <mergeCell ref="X369:Y372"/>
    <mergeCell ref="E366:O367"/>
    <mergeCell ref="Q366:T368"/>
    <mergeCell ref="V379:W380"/>
    <mergeCell ref="X379:Y380"/>
    <mergeCell ref="O357:P357"/>
    <mergeCell ref="V357:W357"/>
    <mergeCell ref="X357:Y357"/>
    <mergeCell ref="O358:P358"/>
    <mergeCell ref="V358:W358"/>
    <mergeCell ref="X358:Y358"/>
    <mergeCell ref="B360:J360"/>
    <mergeCell ref="L360:M360"/>
    <mergeCell ref="N360:R360"/>
    <mergeCell ref="S360:T360"/>
    <mergeCell ref="Q362:T362"/>
    <mergeCell ref="Q363:T363"/>
    <mergeCell ref="Q364:T364"/>
    <mergeCell ref="C365:D365"/>
    <mergeCell ref="Q365:T365"/>
    <mergeCell ref="C366:D366"/>
    <mergeCell ref="V366:Y366"/>
    <mergeCell ref="J361:J362"/>
    <mergeCell ref="E363:O365"/>
    <mergeCell ref="V359:W361"/>
    <mergeCell ref="X359:Y361"/>
    <mergeCell ref="F361:G362"/>
    <mergeCell ref="H361:I362"/>
    <mergeCell ref="D379:E379"/>
    <mergeCell ref="F379:G379"/>
    <mergeCell ref="H379:I379"/>
    <mergeCell ref="R379:S379"/>
    <mergeCell ref="O381:P381"/>
    <mergeCell ref="V381:W381"/>
    <mergeCell ref="X381:Y381"/>
    <mergeCell ref="O382:P382"/>
    <mergeCell ref="V382:W382"/>
    <mergeCell ref="X382:Y382"/>
    <mergeCell ref="O383:P383"/>
    <mergeCell ref="V383:W383"/>
    <mergeCell ref="X383:Y383"/>
    <mergeCell ref="R376:T377"/>
    <mergeCell ref="V376:W377"/>
    <mergeCell ref="X376:Y377"/>
    <mergeCell ref="E370:O371"/>
    <mergeCell ref="V384:W384"/>
    <mergeCell ref="X384:Y384"/>
    <mergeCell ref="O386:P386"/>
    <mergeCell ref="V386:W386"/>
    <mergeCell ref="X386:Y386"/>
    <mergeCell ref="O387:P387"/>
    <mergeCell ref="V387:W387"/>
    <mergeCell ref="X387:Y387"/>
    <mergeCell ref="O388:P388"/>
    <mergeCell ref="V388:W388"/>
    <mergeCell ref="X388:Y388"/>
    <mergeCell ref="O389:P389"/>
    <mergeCell ref="V389:W389"/>
    <mergeCell ref="X389:Y389"/>
    <mergeCell ref="O390:P390"/>
    <mergeCell ref="V390:W390"/>
    <mergeCell ref="X390:Y390"/>
    <mergeCell ref="V391:W391"/>
    <mergeCell ref="X391:Y391"/>
    <mergeCell ref="O392:P392"/>
    <mergeCell ref="V392:W392"/>
    <mergeCell ref="X392:Y392"/>
    <mergeCell ref="O393:P393"/>
    <mergeCell ref="V393:W393"/>
    <mergeCell ref="X393:Y393"/>
    <mergeCell ref="O394:P394"/>
    <mergeCell ref="V394:W394"/>
    <mergeCell ref="X394:Y394"/>
    <mergeCell ref="O395:P395"/>
    <mergeCell ref="V395:W395"/>
    <mergeCell ref="X395:Y395"/>
    <mergeCell ref="O397:P397"/>
    <mergeCell ref="V397:W397"/>
    <mergeCell ref="X397:Y397"/>
    <mergeCell ref="V398:W398"/>
    <mergeCell ref="X398:Y398"/>
    <mergeCell ref="O399:P399"/>
    <mergeCell ref="V399:W399"/>
    <mergeCell ref="X399:Y399"/>
    <mergeCell ref="O400:P400"/>
    <mergeCell ref="V400:W400"/>
    <mergeCell ref="X400:Y400"/>
    <mergeCell ref="O401:P401"/>
    <mergeCell ref="V401:W401"/>
    <mergeCell ref="X401:Y401"/>
    <mergeCell ref="O402:P402"/>
    <mergeCell ref="V402:W402"/>
    <mergeCell ref="X402:Y402"/>
    <mergeCell ref="O403:P403"/>
    <mergeCell ref="V403:W403"/>
    <mergeCell ref="X403:Y403"/>
    <mergeCell ref="V404:W404"/>
    <mergeCell ref="X404:Y404"/>
    <mergeCell ref="O405:P405"/>
    <mergeCell ref="V405:W405"/>
    <mergeCell ref="X405:Y405"/>
    <mergeCell ref="O406:P406"/>
    <mergeCell ref="O407:P407"/>
    <mergeCell ref="V407:W407"/>
    <mergeCell ref="X407:Y407"/>
    <mergeCell ref="O408:P408"/>
    <mergeCell ref="V408:W408"/>
    <mergeCell ref="X408:Y408"/>
    <mergeCell ref="O409:P409"/>
    <mergeCell ref="V409:W409"/>
    <mergeCell ref="X409:Y409"/>
    <mergeCell ref="O411:P411"/>
    <mergeCell ref="V411:W411"/>
    <mergeCell ref="X411:Y411"/>
    <mergeCell ref="V413:W413"/>
    <mergeCell ref="X413:Y413"/>
    <mergeCell ref="O414:P414"/>
    <mergeCell ref="V414:W414"/>
    <mergeCell ref="X414:Y414"/>
    <mergeCell ref="O415:P415"/>
    <mergeCell ref="V415:W415"/>
    <mergeCell ref="X415:Y415"/>
    <mergeCell ref="O416:P416"/>
    <mergeCell ref="V416:W416"/>
    <mergeCell ref="X416:Y416"/>
    <mergeCell ref="O417:P417"/>
    <mergeCell ref="V417:W417"/>
    <mergeCell ref="X417:Y417"/>
    <mergeCell ref="O418:P418"/>
    <mergeCell ref="V418:W418"/>
    <mergeCell ref="X418:Y418"/>
    <mergeCell ref="V429:Y430"/>
    <mergeCell ref="V431:W434"/>
    <mergeCell ref="X431:Y434"/>
    <mergeCell ref="O419:P419"/>
    <mergeCell ref="V419:W419"/>
    <mergeCell ref="X419:Y419"/>
    <mergeCell ref="O420:P420"/>
    <mergeCell ref="V420:W420"/>
    <mergeCell ref="X420:Y420"/>
    <mergeCell ref="B422:J422"/>
    <mergeCell ref="L422:M422"/>
    <mergeCell ref="N422:R422"/>
    <mergeCell ref="S422:T422"/>
    <mergeCell ref="Q424:T424"/>
    <mergeCell ref="Q425:T425"/>
    <mergeCell ref="Q426:T426"/>
    <mergeCell ref="C427:D427"/>
    <mergeCell ref="Q427:T427"/>
    <mergeCell ref="C428:D428"/>
    <mergeCell ref="V428:Y428"/>
    <mergeCell ref="J423:J424"/>
    <mergeCell ref="K423:K424"/>
    <mergeCell ref="C425:D426"/>
    <mergeCell ref="V421:W423"/>
    <mergeCell ref="X421:Y423"/>
    <mergeCell ref="L423:N424"/>
    <mergeCell ref="V424:W426"/>
    <mergeCell ref="X424:Y426"/>
    <mergeCell ref="E423:E424"/>
    <mergeCell ref="C434:O434"/>
    <mergeCell ref="J438:Q438"/>
    <mergeCell ref="D441:E441"/>
    <mergeCell ref="F441:G441"/>
    <mergeCell ref="H441:I441"/>
    <mergeCell ref="R441:S441"/>
    <mergeCell ref="O443:P443"/>
    <mergeCell ref="V443:W443"/>
    <mergeCell ref="X443:Y443"/>
    <mergeCell ref="H444:I444"/>
    <mergeCell ref="O444:P444"/>
    <mergeCell ref="V444:W444"/>
    <mergeCell ref="X444:Y444"/>
    <mergeCell ref="O445:P445"/>
    <mergeCell ref="V445:W445"/>
    <mergeCell ref="X445:Y445"/>
    <mergeCell ref="C432:D433"/>
    <mergeCell ref="V438:W439"/>
    <mergeCell ref="X438:Y439"/>
    <mergeCell ref="V441:W442"/>
    <mergeCell ref="X441:Y442"/>
    <mergeCell ref="V446:W446"/>
    <mergeCell ref="X446:Y446"/>
    <mergeCell ref="O447:P447"/>
    <mergeCell ref="V447:W447"/>
    <mergeCell ref="X447:Y447"/>
    <mergeCell ref="O449:P449"/>
    <mergeCell ref="V449:W449"/>
    <mergeCell ref="X449:Y449"/>
    <mergeCell ref="O450:P450"/>
    <mergeCell ref="V450:W450"/>
    <mergeCell ref="X450:Y450"/>
    <mergeCell ref="O451:P451"/>
    <mergeCell ref="V451:W451"/>
    <mergeCell ref="X451:Y451"/>
    <mergeCell ref="O452:P452"/>
    <mergeCell ref="V452:W452"/>
    <mergeCell ref="X452:Y452"/>
    <mergeCell ref="V466:W466"/>
    <mergeCell ref="X466:Y466"/>
    <mergeCell ref="O453:P453"/>
    <mergeCell ref="V453:W453"/>
    <mergeCell ref="X453:Y453"/>
    <mergeCell ref="O454:P454"/>
    <mergeCell ref="V454:W454"/>
    <mergeCell ref="X454:Y454"/>
    <mergeCell ref="O455:P455"/>
    <mergeCell ref="V455:W455"/>
    <mergeCell ref="X455:Y455"/>
    <mergeCell ref="O456:P456"/>
    <mergeCell ref="V456:W456"/>
    <mergeCell ref="X456:Y456"/>
    <mergeCell ref="O457:P457"/>
    <mergeCell ref="O458:P458"/>
    <mergeCell ref="V458:W458"/>
    <mergeCell ref="X458:Y458"/>
    <mergeCell ref="O460:P460"/>
    <mergeCell ref="V460:W460"/>
    <mergeCell ref="X460:Y460"/>
    <mergeCell ref="V467:W467"/>
    <mergeCell ref="X467:Y467"/>
    <mergeCell ref="O468:P468"/>
    <mergeCell ref="V468:W468"/>
    <mergeCell ref="X468:Y468"/>
    <mergeCell ref="O469:P469"/>
    <mergeCell ref="O470:P470"/>
    <mergeCell ref="V470:W470"/>
    <mergeCell ref="X470:Y470"/>
    <mergeCell ref="O471:P471"/>
    <mergeCell ref="O472:P472"/>
    <mergeCell ref="V472:W472"/>
    <mergeCell ref="X472:Y472"/>
    <mergeCell ref="O474:P474"/>
    <mergeCell ref="V474:W474"/>
    <mergeCell ref="X474:Y474"/>
    <mergeCell ref="O461:P461"/>
    <mergeCell ref="V461:W461"/>
    <mergeCell ref="X461:Y461"/>
    <mergeCell ref="O462:P462"/>
    <mergeCell ref="V462:W462"/>
    <mergeCell ref="X462:Y462"/>
    <mergeCell ref="O463:P463"/>
    <mergeCell ref="V463:W463"/>
    <mergeCell ref="X463:Y463"/>
    <mergeCell ref="O464:P464"/>
    <mergeCell ref="V464:W464"/>
    <mergeCell ref="X464:Y464"/>
    <mergeCell ref="O465:P465"/>
    <mergeCell ref="V465:W465"/>
    <mergeCell ref="X465:Y465"/>
    <mergeCell ref="O466:P466"/>
    <mergeCell ref="V475:W475"/>
    <mergeCell ref="X475:Y475"/>
    <mergeCell ref="O476:P476"/>
    <mergeCell ref="V476:W476"/>
    <mergeCell ref="X476:Y476"/>
    <mergeCell ref="O477:P477"/>
    <mergeCell ref="V477:W477"/>
    <mergeCell ref="X477:Y477"/>
    <mergeCell ref="O478:P478"/>
    <mergeCell ref="V478:W478"/>
    <mergeCell ref="X478:Y478"/>
    <mergeCell ref="O479:P479"/>
    <mergeCell ref="V479:W479"/>
    <mergeCell ref="X479:Y479"/>
    <mergeCell ref="O480:P480"/>
    <mergeCell ref="V481:W481"/>
    <mergeCell ref="X481:Y481"/>
    <mergeCell ref="V509:W509"/>
    <mergeCell ref="X509:Y509"/>
    <mergeCell ref="R502:T503"/>
    <mergeCell ref="V502:Y503"/>
    <mergeCell ref="V505:W506"/>
    <mergeCell ref="X505:Y506"/>
    <mergeCell ref="V492:Y493"/>
    <mergeCell ref="V494:W497"/>
    <mergeCell ref="X494:Y497"/>
    <mergeCell ref="O482:P482"/>
    <mergeCell ref="V482:W482"/>
    <mergeCell ref="X482:Y482"/>
    <mergeCell ref="O483:P483"/>
    <mergeCell ref="V483:W483"/>
    <mergeCell ref="X483:Y483"/>
    <mergeCell ref="B485:J485"/>
    <mergeCell ref="L485:M485"/>
    <mergeCell ref="N485:R485"/>
    <mergeCell ref="S485:T485"/>
    <mergeCell ref="Q487:T487"/>
    <mergeCell ref="Q488:T488"/>
    <mergeCell ref="Q489:T489"/>
    <mergeCell ref="C490:D490"/>
    <mergeCell ref="Q490:T490"/>
    <mergeCell ref="C491:D491"/>
    <mergeCell ref="V491:Y491"/>
    <mergeCell ref="J486:J487"/>
    <mergeCell ref="K486:K487"/>
    <mergeCell ref="V484:W486"/>
    <mergeCell ref="X484:Y486"/>
    <mergeCell ref="V487:W489"/>
    <mergeCell ref="X487:Y489"/>
    <mergeCell ref="V510:W510"/>
    <mergeCell ref="X510:Y510"/>
    <mergeCell ref="V511:W511"/>
    <mergeCell ref="X511:Y511"/>
    <mergeCell ref="O512:P512"/>
    <mergeCell ref="V512:W512"/>
    <mergeCell ref="X512:Y512"/>
    <mergeCell ref="O513:P513"/>
    <mergeCell ref="V513:W513"/>
    <mergeCell ref="X513:Y513"/>
    <mergeCell ref="O514:P514"/>
    <mergeCell ref="V514:W514"/>
    <mergeCell ref="X514:Y514"/>
    <mergeCell ref="O515:P515"/>
    <mergeCell ref="V515:W515"/>
    <mergeCell ref="X515:Y515"/>
    <mergeCell ref="C492:D492"/>
    <mergeCell ref="C493:D493"/>
    <mergeCell ref="C494:D494"/>
    <mergeCell ref="C497:O497"/>
    <mergeCell ref="J502:Q502"/>
    <mergeCell ref="D505:E505"/>
    <mergeCell ref="F505:G505"/>
    <mergeCell ref="H505:I505"/>
    <mergeCell ref="R505:S505"/>
    <mergeCell ref="O506:P506"/>
    <mergeCell ref="O507:P507"/>
    <mergeCell ref="V507:W507"/>
    <mergeCell ref="X507:Y507"/>
    <mergeCell ref="O508:P508"/>
    <mergeCell ref="V508:W508"/>
    <mergeCell ref="X508:Y508"/>
    <mergeCell ref="X528:Y528"/>
    <mergeCell ref="O516:P516"/>
    <mergeCell ref="V516:W516"/>
    <mergeCell ref="X516:Y516"/>
    <mergeCell ref="O517:P517"/>
    <mergeCell ref="V517:W517"/>
    <mergeCell ref="X517:Y517"/>
    <mergeCell ref="O518:P518"/>
    <mergeCell ref="V518:W518"/>
    <mergeCell ref="X518:Y518"/>
    <mergeCell ref="O519:P519"/>
    <mergeCell ref="V519:W519"/>
    <mergeCell ref="X519:Y519"/>
    <mergeCell ref="O520:P520"/>
    <mergeCell ref="V520:W520"/>
    <mergeCell ref="X520:Y520"/>
    <mergeCell ref="O521:P521"/>
    <mergeCell ref="V521:W521"/>
    <mergeCell ref="X521:Y521"/>
    <mergeCell ref="V530:W530"/>
    <mergeCell ref="X530:Y530"/>
    <mergeCell ref="O531:P531"/>
    <mergeCell ref="V531:W531"/>
    <mergeCell ref="X531:Y531"/>
    <mergeCell ref="O532:P532"/>
    <mergeCell ref="O533:P533"/>
    <mergeCell ref="V533:W533"/>
    <mergeCell ref="X533:Y533"/>
    <mergeCell ref="O534:P534"/>
    <mergeCell ref="V534:W534"/>
    <mergeCell ref="X534:Y534"/>
    <mergeCell ref="O535:P535"/>
    <mergeCell ref="V535:W535"/>
    <mergeCell ref="X535:Y535"/>
    <mergeCell ref="O522:P522"/>
    <mergeCell ref="V522:W522"/>
    <mergeCell ref="X522:Y522"/>
    <mergeCell ref="O523:P523"/>
    <mergeCell ref="V523:W523"/>
    <mergeCell ref="X523:Y523"/>
    <mergeCell ref="O524:P524"/>
    <mergeCell ref="O525:P525"/>
    <mergeCell ref="V525:W525"/>
    <mergeCell ref="X525:Y525"/>
    <mergeCell ref="O526:P526"/>
    <mergeCell ref="V526:W526"/>
    <mergeCell ref="X526:Y526"/>
    <mergeCell ref="V527:W527"/>
    <mergeCell ref="X527:Y527"/>
    <mergeCell ref="O528:P528"/>
    <mergeCell ref="V528:W528"/>
    <mergeCell ref="V544:W544"/>
    <mergeCell ref="X544:Y544"/>
    <mergeCell ref="O545:P545"/>
    <mergeCell ref="V545:W545"/>
    <mergeCell ref="X545:Y545"/>
    <mergeCell ref="O546:P546"/>
    <mergeCell ref="V546:W546"/>
    <mergeCell ref="X546:Y546"/>
    <mergeCell ref="O548:P548"/>
    <mergeCell ref="V548:W548"/>
    <mergeCell ref="X548:Y548"/>
    <mergeCell ref="O549:P549"/>
    <mergeCell ref="O550:P550"/>
    <mergeCell ref="V550:W550"/>
    <mergeCell ref="X550:Y550"/>
    <mergeCell ref="O536:P536"/>
    <mergeCell ref="V536:W536"/>
    <mergeCell ref="X536:Y536"/>
    <mergeCell ref="O537:P537"/>
    <mergeCell ref="V537:W537"/>
    <mergeCell ref="X537:Y537"/>
    <mergeCell ref="O538:P538"/>
    <mergeCell ref="V538:W538"/>
    <mergeCell ref="X538:Y538"/>
    <mergeCell ref="O539:P539"/>
    <mergeCell ref="O540:P540"/>
    <mergeCell ref="V540:W540"/>
    <mergeCell ref="X540:Y540"/>
    <mergeCell ref="O541:P541"/>
    <mergeCell ref="V541:W541"/>
    <mergeCell ref="X541:Y541"/>
    <mergeCell ref="O542:P542"/>
    <mergeCell ref="V551:W551"/>
    <mergeCell ref="X551:Y551"/>
    <mergeCell ref="O553:P553"/>
    <mergeCell ref="M554:T554"/>
    <mergeCell ref="O555:P555"/>
    <mergeCell ref="M556:T556"/>
    <mergeCell ref="O557:P557"/>
    <mergeCell ref="M558:T558"/>
    <mergeCell ref="O559:P559"/>
    <mergeCell ref="M560:T560"/>
    <mergeCell ref="O561:P561"/>
    <mergeCell ref="M562:T562"/>
    <mergeCell ref="O563:P563"/>
    <mergeCell ref="M564:T564"/>
    <mergeCell ref="O565:P565"/>
    <mergeCell ref="M566:T566"/>
    <mergeCell ref="X553:Y554"/>
    <mergeCell ref="V555:W556"/>
    <mergeCell ref="X555:Y556"/>
    <mergeCell ref="O567:P567"/>
    <mergeCell ref="M568:T568"/>
    <mergeCell ref="O570:P570"/>
    <mergeCell ref="M571:T571"/>
    <mergeCell ref="O572:P572"/>
    <mergeCell ref="M573:T573"/>
    <mergeCell ref="O574:P574"/>
    <mergeCell ref="M575:T575"/>
    <mergeCell ref="B577:D577"/>
    <mergeCell ref="O577:Q577"/>
    <mergeCell ref="B578:J578"/>
    <mergeCell ref="L578:M578"/>
    <mergeCell ref="N578:R578"/>
    <mergeCell ref="S578:T578"/>
    <mergeCell ref="Q580:T580"/>
    <mergeCell ref="C583:D583"/>
    <mergeCell ref="Q583:T583"/>
    <mergeCell ref="H567:H568"/>
    <mergeCell ref="H570:H571"/>
    <mergeCell ref="H572:H573"/>
    <mergeCell ref="H574:H575"/>
    <mergeCell ref="K572:K573"/>
    <mergeCell ref="K574:K575"/>
    <mergeCell ref="K579:K580"/>
    <mergeCell ref="C584:D584"/>
    <mergeCell ref="V584:Y584"/>
    <mergeCell ref="C585:D585"/>
    <mergeCell ref="E585:O585"/>
    <mergeCell ref="C586:D586"/>
    <mergeCell ref="C587:D587"/>
    <mergeCell ref="C590:O590"/>
    <mergeCell ref="J595:Q595"/>
    <mergeCell ref="D598:E598"/>
    <mergeCell ref="F598:G598"/>
    <mergeCell ref="H598:I598"/>
    <mergeCell ref="R598:S598"/>
    <mergeCell ref="O600:P600"/>
    <mergeCell ref="V600:W600"/>
    <mergeCell ref="X600:Y600"/>
    <mergeCell ref="V601:W601"/>
    <mergeCell ref="X601:Y601"/>
    <mergeCell ref="V587:W590"/>
    <mergeCell ref="X587:Y590"/>
    <mergeCell ref="Q589:T590"/>
    <mergeCell ref="V598:W599"/>
    <mergeCell ref="X598:Y599"/>
    <mergeCell ref="R595:T596"/>
    <mergeCell ref="V595:W596"/>
    <mergeCell ref="X595:Y596"/>
    <mergeCell ref="Q584:T585"/>
    <mergeCell ref="V585:Y586"/>
    <mergeCell ref="Q586:T588"/>
    <mergeCell ref="O602:P602"/>
    <mergeCell ref="V602:W602"/>
    <mergeCell ref="X602:Y602"/>
    <mergeCell ref="O603:P603"/>
    <mergeCell ref="V603:W603"/>
    <mergeCell ref="X603:Y603"/>
    <mergeCell ref="V604:W604"/>
    <mergeCell ref="X604:Y604"/>
    <mergeCell ref="O605:P605"/>
    <mergeCell ref="V605:W605"/>
    <mergeCell ref="X605:Y605"/>
    <mergeCell ref="O606:P606"/>
    <mergeCell ref="V606:W606"/>
    <mergeCell ref="X606:Y606"/>
    <mergeCell ref="O607:P607"/>
    <mergeCell ref="V607:W607"/>
    <mergeCell ref="X607:Y607"/>
    <mergeCell ref="O608:P608"/>
    <mergeCell ref="V608:W608"/>
    <mergeCell ref="X608:Y608"/>
    <mergeCell ref="O609:P609"/>
    <mergeCell ref="V609:W609"/>
    <mergeCell ref="X609:Y609"/>
    <mergeCell ref="O611:P611"/>
    <mergeCell ref="V611:W611"/>
    <mergeCell ref="X611:Y611"/>
    <mergeCell ref="O612:P612"/>
    <mergeCell ref="V612:W612"/>
    <mergeCell ref="X612:Y612"/>
    <mergeCell ref="O613:P613"/>
    <mergeCell ref="V613:W613"/>
    <mergeCell ref="X613:Y613"/>
    <mergeCell ref="O614:P614"/>
    <mergeCell ref="V614:W614"/>
    <mergeCell ref="X614:Y614"/>
    <mergeCell ref="O615:P615"/>
    <mergeCell ref="V615:W615"/>
    <mergeCell ref="X615:Y615"/>
    <mergeCell ref="O616:P616"/>
    <mergeCell ref="V616:W616"/>
    <mergeCell ref="X616:Y616"/>
    <mergeCell ref="O618:P618"/>
    <mergeCell ref="V618:W618"/>
    <mergeCell ref="X618:Y618"/>
    <mergeCell ref="O619:P619"/>
    <mergeCell ref="V619:W619"/>
    <mergeCell ref="X619:Y619"/>
    <mergeCell ref="O620:P620"/>
    <mergeCell ref="V620:W620"/>
    <mergeCell ref="X620:Y620"/>
    <mergeCell ref="O621:P621"/>
    <mergeCell ref="V621:W621"/>
    <mergeCell ref="X621:Y621"/>
    <mergeCell ref="O622:P622"/>
    <mergeCell ref="V622:W622"/>
    <mergeCell ref="X622:Y622"/>
    <mergeCell ref="O623:P623"/>
    <mergeCell ref="V623:W623"/>
    <mergeCell ref="X623:Y623"/>
    <mergeCell ref="O624:P624"/>
    <mergeCell ref="V624:W624"/>
    <mergeCell ref="X624:Y624"/>
    <mergeCell ref="O625:P625"/>
    <mergeCell ref="V625:W625"/>
    <mergeCell ref="X625:Y625"/>
    <mergeCell ref="O626:P626"/>
    <mergeCell ref="V626:W626"/>
    <mergeCell ref="X626:Y626"/>
    <mergeCell ref="O627:P627"/>
    <mergeCell ref="V627:W627"/>
    <mergeCell ref="X627:Y627"/>
    <mergeCell ref="O628:P628"/>
    <mergeCell ref="V628:W628"/>
    <mergeCell ref="X628:Y628"/>
    <mergeCell ref="O629:P629"/>
    <mergeCell ref="V629:W629"/>
    <mergeCell ref="X629:Y629"/>
    <mergeCell ref="O630:P630"/>
    <mergeCell ref="V630:W630"/>
    <mergeCell ref="X630:Y630"/>
    <mergeCell ref="O632:P632"/>
    <mergeCell ref="V632:W632"/>
    <mergeCell ref="X632:Y632"/>
    <mergeCell ref="O633:P633"/>
    <mergeCell ref="V633:W633"/>
    <mergeCell ref="X633:Y633"/>
    <mergeCell ref="O634:P634"/>
    <mergeCell ref="V634:W634"/>
    <mergeCell ref="X634:Y634"/>
    <mergeCell ref="O635:P635"/>
    <mergeCell ref="V635:W635"/>
    <mergeCell ref="X635:Y635"/>
    <mergeCell ref="O636:P636"/>
    <mergeCell ref="V636:W636"/>
    <mergeCell ref="X636:Y636"/>
    <mergeCell ref="O637:P637"/>
    <mergeCell ref="V637:W637"/>
    <mergeCell ref="X637:Y637"/>
    <mergeCell ref="O638:P638"/>
    <mergeCell ref="V638:W638"/>
    <mergeCell ref="X638:Y638"/>
    <mergeCell ref="O639:P639"/>
    <mergeCell ref="V639:W639"/>
    <mergeCell ref="X639:Y639"/>
    <mergeCell ref="O640:P640"/>
    <mergeCell ref="V640:W640"/>
    <mergeCell ref="X640:Y640"/>
    <mergeCell ref="O641:P641"/>
    <mergeCell ref="V641:W641"/>
    <mergeCell ref="X641:Y641"/>
    <mergeCell ref="O642:P642"/>
    <mergeCell ref="V642:W642"/>
    <mergeCell ref="X642:Y642"/>
    <mergeCell ref="V643:W643"/>
    <mergeCell ref="X643:Y643"/>
    <mergeCell ref="O644:P644"/>
    <mergeCell ref="V644:W644"/>
    <mergeCell ref="X644:Y644"/>
    <mergeCell ref="O645:P645"/>
    <mergeCell ref="V645:W645"/>
    <mergeCell ref="X645:Y645"/>
    <mergeCell ref="O646:P646"/>
    <mergeCell ref="V646:W646"/>
    <mergeCell ref="X646:Y646"/>
    <mergeCell ref="O647:P647"/>
    <mergeCell ref="V647:W647"/>
    <mergeCell ref="X647:Y647"/>
    <mergeCell ref="O648:P648"/>
    <mergeCell ref="V648:W648"/>
    <mergeCell ref="X648:Y648"/>
    <mergeCell ref="O649:P649"/>
    <mergeCell ref="V649:W649"/>
    <mergeCell ref="X649:Y649"/>
    <mergeCell ref="O650:P650"/>
    <mergeCell ref="V650:W650"/>
    <mergeCell ref="X650:Y650"/>
    <mergeCell ref="O652:P652"/>
    <mergeCell ref="V652:W652"/>
    <mergeCell ref="X652:Y652"/>
    <mergeCell ref="O653:P653"/>
    <mergeCell ref="V653:W653"/>
    <mergeCell ref="X653:Y653"/>
    <mergeCell ref="O654:P654"/>
    <mergeCell ref="V654:W654"/>
    <mergeCell ref="X654:Y654"/>
    <mergeCell ref="O655:P655"/>
    <mergeCell ref="V655:W655"/>
    <mergeCell ref="X655:Y655"/>
    <mergeCell ref="O656:P656"/>
    <mergeCell ref="V656:W656"/>
    <mergeCell ref="X656:Y656"/>
    <mergeCell ref="O657:P657"/>
    <mergeCell ref="V657:W657"/>
    <mergeCell ref="X657:Y657"/>
    <mergeCell ref="O658:P658"/>
    <mergeCell ref="V658:W658"/>
    <mergeCell ref="X658:Y658"/>
    <mergeCell ref="V659:W659"/>
    <mergeCell ref="X659:Y659"/>
    <mergeCell ref="O660:P660"/>
    <mergeCell ref="V660:W660"/>
    <mergeCell ref="X660:Y660"/>
    <mergeCell ref="O661:P661"/>
    <mergeCell ref="V661:W661"/>
    <mergeCell ref="X661:Y661"/>
    <mergeCell ref="B663:J663"/>
    <mergeCell ref="L663:M663"/>
    <mergeCell ref="N663:R663"/>
    <mergeCell ref="S663:T663"/>
    <mergeCell ref="Q665:T665"/>
    <mergeCell ref="Q666:T666"/>
    <mergeCell ref="Q667:T667"/>
    <mergeCell ref="C668:D668"/>
    <mergeCell ref="Q668:T668"/>
    <mergeCell ref="C669:D669"/>
    <mergeCell ref="V669:Y669"/>
    <mergeCell ref="V662:W664"/>
    <mergeCell ref="X662:Y664"/>
    <mergeCell ref="L664:N665"/>
    <mergeCell ref="V665:W667"/>
    <mergeCell ref="X665:Y667"/>
    <mergeCell ref="K664:K665"/>
    <mergeCell ref="C670:D670"/>
    <mergeCell ref="C671:D671"/>
    <mergeCell ref="C672:D672"/>
    <mergeCell ref="C675:O675"/>
    <mergeCell ref="J680:Q680"/>
    <mergeCell ref="D683:E683"/>
    <mergeCell ref="F683:G683"/>
    <mergeCell ref="H683:I683"/>
    <mergeCell ref="R683:S683"/>
    <mergeCell ref="O685:P685"/>
    <mergeCell ref="V685:W685"/>
    <mergeCell ref="X685:Y685"/>
    <mergeCell ref="O686:P686"/>
    <mergeCell ref="V686:W686"/>
    <mergeCell ref="X686:Y686"/>
    <mergeCell ref="O687:P687"/>
    <mergeCell ref="V687:W687"/>
    <mergeCell ref="X687:Y687"/>
    <mergeCell ref="R680:T681"/>
    <mergeCell ref="V680:W681"/>
    <mergeCell ref="X680:Y681"/>
    <mergeCell ref="V683:W684"/>
    <mergeCell ref="X683:Y684"/>
    <mergeCell ref="V670:Y671"/>
    <mergeCell ref="V672:W675"/>
    <mergeCell ref="X672:Y675"/>
    <mergeCell ref="O688:P688"/>
    <mergeCell ref="V688:W688"/>
    <mergeCell ref="X688:Y688"/>
    <mergeCell ref="O690:P690"/>
    <mergeCell ref="V690:W690"/>
    <mergeCell ref="X690:Y690"/>
    <mergeCell ref="O691:P691"/>
    <mergeCell ref="V691:W691"/>
    <mergeCell ref="X691:Y691"/>
    <mergeCell ref="O692:P692"/>
    <mergeCell ref="V692:W692"/>
    <mergeCell ref="X692:Y692"/>
    <mergeCell ref="O693:P693"/>
    <mergeCell ref="V693:W693"/>
    <mergeCell ref="X693:Y693"/>
    <mergeCell ref="O694:P694"/>
    <mergeCell ref="V694:W694"/>
    <mergeCell ref="X694:Y694"/>
    <mergeCell ref="O695:P695"/>
    <mergeCell ref="V695:W695"/>
    <mergeCell ref="X695:Y695"/>
    <mergeCell ref="O696:P696"/>
    <mergeCell ref="V696:W696"/>
    <mergeCell ref="X696:Y696"/>
    <mergeCell ref="O697:P697"/>
    <mergeCell ref="V697:W697"/>
    <mergeCell ref="X697:Y697"/>
    <mergeCell ref="O698:P698"/>
    <mergeCell ref="V698:W698"/>
    <mergeCell ref="X698:Y698"/>
    <mergeCell ref="O699:P699"/>
    <mergeCell ref="V699:W699"/>
    <mergeCell ref="X699:Y699"/>
    <mergeCell ref="O700:P700"/>
    <mergeCell ref="V700:W700"/>
    <mergeCell ref="X700:Y700"/>
    <mergeCell ref="O701:P701"/>
    <mergeCell ref="V701:W701"/>
    <mergeCell ref="X701:Y701"/>
    <mergeCell ref="O703:P703"/>
    <mergeCell ref="V703:W703"/>
    <mergeCell ref="X703:Y703"/>
    <mergeCell ref="O704:P704"/>
    <mergeCell ref="V704:W704"/>
    <mergeCell ref="X704:Y704"/>
    <mergeCell ref="O705:P705"/>
    <mergeCell ref="V705:W705"/>
    <mergeCell ref="X705:Y705"/>
    <mergeCell ref="O706:P706"/>
    <mergeCell ref="V706:W706"/>
    <mergeCell ref="X706:Y706"/>
    <mergeCell ref="O707:P707"/>
    <mergeCell ref="O708:P708"/>
    <mergeCell ref="V708:W708"/>
    <mergeCell ref="X708:Y708"/>
    <mergeCell ref="O709:P709"/>
    <mergeCell ref="V709:W709"/>
    <mergeCell ref="X709:Y709"/>
    <mergeCell ref="O710:P710"/>
    <mergeCell ref="V710:W710"/>
    <mergeCell ref="X710:Y710"/>
    <mergeCell ref="O711:P711"/>
    <mergeCell ref="O712:P712"/>
    <mergeCell ref="V712:W712"/>
    <mergeCell ref="X712:Y712"/>
    <mergeCell ref="O713:P713"/>
    <mergeCell ref="O714:P714"/>
    <mergeCell ref="V714:W714"/>
    <mergeCell ref="X714:Y714"/>
    <mergeCell ref="O715:P715"/>
    <mergeCell ref="V715:W715"/>
    <mergeCell ref="X715:Y715"/>
    <mergeCell ref="O716:P716"/>
    <mergeCell ref="V716:W716"/>
    <mergeCell ref="X716:Y716"/>
    <mergeCell ref="O718:P718"/>
    <mergeCell ref="O719:P719"/>
    <mergeCell ref="V719:W719"/>
    <mergeCell ref="X719:Y719"/>
    <mergeCell ref="O721:P721"/>
    <mergeCell ref="V721:W721"/>
    <mergeCell ref="X721:Y721"/>
    <mergeCell ref="O722:P722"/>
    <mergeCell ref="O723:P723"/>
    <mergeCell ref="V723:W723"/>
    <mergeCell ref="X723:Y723"/>
    <mergeCell ref="O724:P724"/>
    <mergeCell ref="V724:W724"/>
    <mergeCell ref="X724:Y724"/>
    <mergeCell ref="O725:P725"/>
    <mergeCell ref="V725:W725"/>
    <mergeCell ref="X725:Y725"/>
    <mergeCell ref="O726:P726"/>
    <mergeCell ref="V726:W726"/>
    <mergeCell ref="X726:Y726"/>
    <mergeCell ref="O727:P727"/>
    <mergeCell ref="V727:W727"/>
    <mergeCell ref="X727:Y727"/>
    <mergeCell ref="O728:P728"/>
    <mergeCell ref="V728:W728"/>
    <mergeCell ref="X728:Y728"/>
    <mergeCell ref="O729:P729"/>
    <mergeCell ref="V729:W729"/>
    <mergeCell ref="X729:Y729"/>
    <mergeCell ref="O730:P730"/>
    <mergeCell ref="V730:W730"/>
    <mergeCell ref="X730:Y730"/>
    <mergeCell ref="L732:M732"/>
    <mergeCell ref="N732:R732"/>
    <mergeCell ref="S732:T732"/>
    <mergeCell ref="Q734:T734"/>
    <mergeCell ref="Q735:T735"/>
    <mergeCell ref="Q736:T736"/>
    <mergeCell ref="C737:D737"/>
    <mergeCell ref="Q737:T737"/>
    <mergeCell ref="C738:D738"/>
    <mergeCell ref="V738:Y738"/>
    <mergeCell ref="C739:D739"/>
    <mergeCell ref="C740:D740"/>
    <mergeCell ref="C741:D741"/>
    <mergeCell ref="C744:O744"/>
    <mergeCell ref="J750:Q750"/>
    <mergeCell ref="D753:E753"/>
    <mergeCell ref="F753:G753"/>
    <mergeCell ref="H753:I753"/>
    <mergeCell ref="R753:S753"/>
    <mergeCell ref="K733:K734"/>
    <mergeCell ref="O755:P755"/>
    <mergeCell ref="V755:W755"/>
    <mergeCell ref="X755:Y755"/>
    <mergeCell ref="H756:I756"/>
    <mergeCell ref="V756:W756"/>
    <mergeCell ref="X756:Y756"/>
    <mergeCell ref="O757:P757"/>
    <mergeCell ref="V757:W757"/>
    <mergeCell ref="X757:Y757"/>
    <mergeCell ref="O758:P758"/>
    <mergeCell ref="V758:W758"/>
    <mergeCell ref="X758:Y758"/>
    <mergeCell ref="O759:P759"/>
    <mergeCell ref="V759:W759"/>
    <mergeCell ref="X759:Y759"/>
    <mergeCell ref="O760:P760"/>
    <mergeCell ref="V760:W760"/>
    <mergeCell ref="X760:Y760"/>
    <mergeCell ref="O762:P762"/>
    <mergeCell ref="V762:W762"/>
    <mergeCell ref="X762:Y762"/>
    <mergeCell ref="O763:P763"/>
    <mergeCell ref="V763:W763"/>
    <mergeCell ref="X763:Y763"/>
    <mergeCell ref="O764:P764"/>
    <mergeCell ref="V764:W764"/>
    <mergeCell ref="X764:Y764"/>
    <mergeCell ref="O765:P765"/>
    <mergeCell ref="V765:W765"/>
    <mergeCell ref="X765:Y765"/>
    <mergeCell ref="O766:P766"/>
    <mergeCell ref="V766:W766"/>
    <mergeCell ref="X766:Y766"/>
    <mergeCell ref="O767:P767"/>
    <mergeCell ref="V767:W767"/>
    <mergeCell ref="X767:Y767"/>
    <mergeCell ref="O768:P768"/>
    <mergeCell ref="V768:W768"/>
    <mergeCell ref="X768:Y768"/>
    <mergeCell ref="O769:P769"/>
    <mergeCell ref="V769:W769"/>
    <mergeCell ref="X769:Y769"/>
    <mergeCell ref="O770:P770"/>
    <mergeCell ref="V770:W770"/>
    <mergeCell ref="X770:Y770"/>
    <mergeCell ref="O772:P772"/>
    <mergeCell ref="V772:W772"/>
    <mergeCell ref="X772:Y772"/>
    <mergeCell ref="O773:P773"/>
    <mergeCell ref="V773:W773"/>
    <mergeCell ref="X773:Y773"/>
    <mergeCell ref="O774:P774"/>
    <mergeCell ref="V774:W774"/>
    <mergeCell ref="X774:Y774"/>
    <mergeCell ref="O775:P775"/>
    <mergeCell ref="V775:W775"/>
    <mergeCell ref="X775:Y775"/>
    <mergeCell ref="O776:P776"/>
    <mergeCell ref="V776:W776"/>
    <mergeCell ref="X776:Y776"/>
    <mergeCell ref="O777:P777"/>
    <mergeCell ref="V777:W777"/>
    <mergeCell ref="X777:Y777"/>
    <mergeCell ref="O778:P778"/>
    <mergeCell ref="V778:W778"/>
    <mergeCell ref="X778:Y778"/>
    <mergeCell ref="O779:P779"/>
    <mergeCell ref="V779:W779"/>
    <mergeCell ref="X779:Y779"/>
    <mergeCell ref="O780:P780"/>
    <mergeCell ref="V780:W780"/>
    <mergeCell ref="X780:Y780"/>
    <mergeCell ref="O781:P781"/>
    <mergeCell ref="V781:W781"/>
    <mergeCell ref="X781:Y781"/>
    <mergeCell ref="O782:P782"/>
    <mergeCell ref="V782:W782"/>
    <mergeCell ref="X782:Y782"/>
    <mergeCell ref="O784:P784"/>
    <mergeCell ref="V784:W784"/>
    <mergeCell ref="X784:Y784"/>
    <mergeCell ref="O785:P785"/>
    <mergeCell ref="V785:W785"/>
    <mergeCell ref="X785:Y785"/>
    <mergeCell ref="O786:P786"/>
    <mergeCell ref="V786:W786"/>
    <mergeCell ref="X786:Y786"/>
    <mergeCell ref="O787:P787"/>
    <mergeCell ref="V787:W787"/>
    <mergeCell ref="X787:Y787"/>
    <mergeCell ref="O788:P788"/>
    <mergeCell ref="V788:W788"/>
    <mergeCell ref="X788:Y788"/>
    <mergeCell ref="O789:P789"/>
    <mergeCell ref="V789:W789"/>
    <mergeCell ref="X789:Y789"/>
    <mergeCell ref="O790:P790"/>
    <mergeCell ref="V790:W790"/>
    <mergeCell ref="X790:Y790"/>
    <mergeCell ref="O791:P791"/>
    <mergeCell ref="V791:W791"/>
    <mergeCell ref="X791:Y791"/>
    <mergeCell ref="O792:P792"/>
    <mergeCell ref="V792:W792"/>
    <mergeCell ref="X792:Y792"/>
    <mergeCell ref="B794:J794"/>
    <mergeCell ref="L794:M794"/>
    <mergeCell ref="N794:R794"/>
    <mergeCell ref="S794:T794"/>
    <mergeCell ref="Q798:T798"/>
    <mergeCell ref="C799:D799"/>
    <mergeCell ref="Q799:T799"/>
    <mergeCell ref="C800:D800"/>
    <mergeCell ref="V800:Y800"/>
    <mergeCell ref="C801:D801"/>
    <mergeCell ref="C802:D802"/>
    <mergeCell ref="C803:D803"/>
    <mergeCell ref="C806:O806"/>
    <mergeCell ref="J812:Q812"/>
    <mergeCell ref="D815:E815"/>
    <mergeCell ref="F815:G815"/>
    <mergeCell ref="H815:I815"/>
    <mergeCell ref="R815:S815"/>
    <mergeCell ref="O817:P817"/>
    <mergeCell ref="V817:W817"/>
    <mergeCell ref="X817:Y817"/>
    <mergeCell ref="V796:W798"/>
    <mergeCell ref="X796:Y798"/>
    <mergeCell ref="Q800:T802"/>
    <mergeCell ref="V801:Y802"/>
    <mergeCell ref="Q803:T806"/>
    <mergeCell ref="V803:W806"/>
    <mergeCell ref="X803:Y806"/>
    <mergeCell ref="R812:T813"/>
    <mergeCell ref="V812:W813"/>
    <mergeCell ref="X812:Y813"/>
    <mergeCell ref="V815:W816"/>
    <mergeCell ref="X815:Y816"/>
    <mergeCell ref="E804:O805"/>
    <mergeCell ref="V818:W818"/>
    <mergeCell ref="X818:Y818"/>
    <mergeCell ref="O819:P819"/>
    <mergeCell ref="V819:W819"/>
    <mergeCell ref="X819:Y819"/>
    <mergeCell ref="O820:P820"/>
    <mergeCell ref="V820:W820"/>
    <mergeCell ref="X820:Y820"/>
    <mergeCell ref="O821:P821"/>
    <mergeCell ref="V821:W821"/>
    <mergeCell ref="X821:Y821"/>
    <mergeCell ref="O823:P823"/>
    <mergeCell ref="V823:W823"/>
    <mergeCell ref="X823:Y823"/>
    <mergeCell ref="O824:P824"/>
    <mergeCell ref="V824:W824"/>
    <mergeCell ref="X824:Y824"/>
    <mergeCell ref="V825:W825"/>
    <mergeCell ref="X825:Y825"/>
    <mergeCell ref="O826:P826"/>
    <mergeCell ref="V826:W826"/>
    <mergeCell ref="X826:Y826"/>
    <mergeCell ref="O827:P827"/>
    <mergeCell ref="V827:W827"/>
    <mergeCell ref="X827:Y827"/>
    <mergeCell ref="O828:P828"/>
    <mergeCell ref="V828:W828"/>
    <mergeCell ref="X828:Y828"/>
    <mergeCell ref="O829:P829"/>
    <mergeCell ref="V829:W829"/>
    <mergeCell ref="X829:Y829"/>
    <mergeCell ref="O830:P830"/>
    <mergeCell ref="V830:W830"/>
    <mergeCell ref="X830:Y830"/>
    <mergeCell ref="V831:W831"/>
    <mergeCell ref="X831:Y831"/>
    <mergeCell ref="O832:P832"/>
    <mergeCell ref="V832:W832"/>
    <mergeCell ref="X832:Y832"/>
    <mergeCell ref="O834:P834"/>
    <mergeCell ref="V834:W834"/>
    <mergeCell ref="X834:Y834"/>
    <mergeCell ref="O835:P835"/>
    <mergeCell ref="V835:W835"/>
    <mergeCell ref="X835:Y835"/>
    <mergeCell ref="O836:P836"/>
    <mergeCell ref="V836:W836"/>
    <mergeCell ref="X836:Y836"/>
    <mergeCell ref="O837:P837"/>
    <mergeCell ref="V837:W837"/>
    <mergeCell ref="X837:Y837"/>
    <mergeCell ref="V838:W838"/>
    <mergeCell ref="X838:Y838"/>
    <mergeCell ref="O839:P839"/>
    <mergeCell ref="V839:W839"/>
    <mergeCell ref="X839:Y839"/>
    <mergeCell ref="O840:P840"/>
    <mergeCell ref="V840:W840"/>
    <mergeCell ref="X840:Y840"/>
    <mergeCell ref="O841:P841"/>
    <mergeCell ref="V841:W841"/>
    <mergeCell ref="X841:Y841"/>
    <mergeCell ref="O842:P842"/>
    <mergeCell ref="V842:W842"/>
    <mergeCell ref="X842:Y842"/>
    <mergeCell ref="O843:P843"/>
    <mergeCell ref="V843:W843"/>
    <mergeCell ref="X843:Y843"/>
    <mergeCell ref="V844:W844"/>
    <mergeCell ref="X844:Y844"/>
    <mergeCell ref="O845:P845"/>
    <mergeCell ref="V845:W845"/>
    <mergeCell ref="X845:Y845"/>
    <mergeCell ref="O846:P846"/>
    <mergeCell ref="V846:W846"/>
    <mergeCell ref="X846:Y846"/>
    <mergeCell ref="O848:P848"/>
    <mergeCell ref="V848:W848"/>
    <mergeCell ref="X848:Y848"/>
    <mergeCell ref="O849:P849"/>
    <mergeCell ref="V849:W849"/>
    <mergeCell ref="X849:Y849"/>
    <mergeCell ref="O850:P850"/>
    <mergeCell ref="V850:W850"/>
    <mergeCell ref="X850:Y850"/>
    <mergeCell ref="V851:W851"/>
    <mergeCell ref="X851:Y851"/>
    <mergeCell ref="O852:P852"/>
    <mergeCell ref="V852:W852"/>
    <mergeCell ref="X852:Y852"/>
    <mergeCell ref="O853:P853"/>
    <mergeCell ref="V853:W853"/>
    <mergeCell ref="X853:Y853"/>
    <mergeCell ref="O854:P854"/>
    <mergeCell ref="V854:W854"/>
    <mergeCell ref="X854:Y854"/>
    <mergeCell ref="O855:P855"/>
    <mergeCell ref="V855:W855"/>
    <mergeCell ref="X855:Y855"/>
    <mergeCell ref="O856:P856"/>
    <mergeCell ref="V856:W856"/>
    <mergeCell ref="X856:Y856"/>
    <mergeCell ref="S858:T858"/>
    <mergeCell ref="Q860:T860"/>
    <mergeCell ref="Q861:T861"/>
    <mergeCell ref="Q862:T862"/>
    <mergeCell ref="C863:D863"/>
    <mergeCell ref="Q863:T863"/>
    <mergeCell ref="C864:D864"/>
    <mergeCell ref="V864:Y864"/>
    <mergeCell ref="C865:D865"/>
    <mergeCell ref="C866:D866"/>
    <mergeCell ref="C867:D867"/>
    <mergeCell ref="C870:O870"/>
    <mergeCell ref="J877:Q877"/>
    <mergeCell ref="D880:E880"/>
    <mergeCell ref="F880:G880"/>
    <mergeCell ref="H880:I880"/>
    <mergeCell ref="R880:S880"/>
    <mergeCell ref="V857:W859"/>
    <mergeCell ref="X857:Y859"/>
    <mergeCell ref="V860:W862"/>
    <mergeCell ref="X860:Y862"/>
    <mergeCell ref="Q864:T866"/>
    <mergeCell ref="V865:Y866"/>
    <mergeCell ref="Q867:T870"/>
    <mergeCell ref="V867:W870"/>
    <mergeCell ref="X867:Y870"/>
    <mergeCell ref="R877:T878"/>
    <mergeCell ref="V877:W878"/>
    <mergeCell ref="X877:Y878"/>
    <mergeCell ref="V880:W881"/>
    <mergeCell ref="V894:W894"/>
    <mergeCell ref="X894:Y894"/>
    <mergeCell ref="O882:P882"/>
    <mergeCell ref="V882:W882"/>
    <mergeCell ref="X882:Y882"/>
    <mergeCell ref="H883:I883"/>
    <mergeCell ref="V883:W883"/>
    <mergeCell ref="X883:Y883"/>
    <mergeCell ref="O884:P884"/>
    <mergeCell ref="V884:W884"/>
    <mergeCell ref="X884:Y884"/>
    <mergeCell ref="O885:P885"/>
    <mergeCell ref="V885:W885"/>
    <mergeCell ref="X885:Y885"/>
    <mergeCell ref="O886:P886"/>
    <mergeCell ref="V886:W886"/>
    <mergeCell ref="X886:Y886"/>
    <mergeCell ref="O888:P888"/>
    <mergeCell ref="V888:W888"/>
    <mergeCell ref="X888:Y888"/>
    <mergeCell ref="V895:W895"/>
    <mergeCell ref="X895:Y895"/>
    <mergeCell ref="V896:W896"/>
    <mergeCell ref="X896:Y896"/>
    <mergeCell ref="O897:P897"/>
    <mergeCell ref="V897:W897"/>
    <mergeCell ref="X897:Y897"/>
    <mergeCell ref="O899:P899"/>
    <mergeCell ref="V899:W899"/>
    <mergeCell ref="X899:Y899"/>
    <mergeCell ref="O900:P900"/>
    <mergeCell ref="V900:W900"/>
    <mergeCell ref="X900:Y900"/>
    <mergeCell ref="O901:P901"/>
    <mergeCell ref="V901:W901"/>
    <mergeCell ref="X901:Y901"/>
    <mergeCell ref="O889:P889"/>
    <mergeCell ref="V889:W889"/>
    <mergeCell ref="X889:Y889"/>
    <mergeCell ref="O890:P890"/>
    <mergeCell ref="V890:W890"/>
    <mergeCell ref="X890:Y890"/>
    <mergeCell ref="O891:P891"/>
    <mergeCell ref="V891:W891"/>
    <mergeCell ref="X891:Y891"/>
    <mergeCell ref="O892:P892"/>
    <mergeCell ref="V892:W892"/>
    <mergeCell ref="X892:Y892"/>
    <mergeCell ref="O893:P893"/>
    <mergeCell ref="V893:W893"/>
    <mergeCell ref="X893:Y893"/>
    <mergeCell ref="O894:P894"/>
    <mergeCell ref="X910:Y910"/>
    <mergeCell ref="O912:P912"/>
    <mergeCell ref="V912:W912"/>
    <mergeCell ref="X912:Y912"/>
    <mergeCell ref="O913:P913"/>
    <mergeCell ref="V913:W913"/>
    <mergeCell ref="X913:Y913"/>
    <mergeCell ref="O914:P914"/>
    <mergeCell ref="V914:W914"/>
    <mergeCell ref="X914:Y914"/>
    <mergeCell ref="O902:P902"/>
    <mergeCell ref="V902:W902"/>
    <mergeCell ref="X902:Y902"/>
    <mergeCell ref="O903:P903"/>
    <mergeCell ref="V903:W903"/>
    <mergeCell ref="X903:Y903"/>
    <mergeCell ref="O904:P904"/>
    <mergeCell ref="V904:W904"/>
    <mergeCell ref="X904:Y904"/>
    <mergeCell ref="O905:P905"/>
    <mergeCell ref="V905:W905"/>
    <mergeCell ref="X905:Y905"/>
    <mergeCell ref="O906:P906"/>
    <mergeCell ref="V906:W906"/>
    <mergeCell ref="X906:Y906"/>
    <mergeCell ref="O907:P907"/>
    <mergeCell ref="V907:W907"/>
    <mergeCell ref="X907:Y907"/>
    <mergeCell ref="V939:Y940"/>
    <mergeCell ref="V942:W943"/>
    <mergeCell ref="X942:Y943"/>
    <mergeCell ref="O915:P915"/>
    <mergeCell ref="V915:W915"/>
    <mergeCell ref="X915:Y915"/>
    <mergeCell ref="O916:P916"/>
    <mergeCell ref="V916:W916"/>
    <mergeCell ref="X916:Y916"/>
    <mergeCell ref="O917:P917"/>
    <mergeCell ref="V917:W917"/>
    <mergeCell ref="X917:Y917"/>
    <mergeCell ref="O918:P918"/>
    <mergeCell ref="V918:W918"/>
    <mergeCell ref="X918:Y918"/>
    <mergeCell ref="O919:P919"/>
    <mergeCell ref="V919:W919"/>
    <mergeCell ref="X919:Y919"/>
    <mergeCell ref="N921:R921"/>
    <mergeCell ref="S921:T921"/>
    <mergeCell ref="V944:W944"/>
    <mergeCell ref="X944:Y944"/>
    <mergeCell ref="O945:P945"/>
    <mergeCell ref="V945:W945"/>
    <mergeCell ref="X945:Y945"/>
    <mergeCell ref="H946:I946"/>
    <mergeCell ref="O946:P946"/>
    <mergeCell ref="V946:W946"/>
    <mergeCell ref="X946:Y946"/>
    <mergeCell ref="O947:P947"/>
    <mergeCell ref="V947:W947"/>
    <mergeCell ref="X947:Y947"/>
    <mergeCell ref="O948:P948"/>
    <mergeCell ref="V948:W948"/>
    <mergeCell ref="X948:Y948"/>
    <mergeCell ref="O949:P949"/>
    <mergeCell ref="V949:W949"/>
    <mergeCell ref="X949:Y949"/>
    <mergeCell ref="V963:W963"/>
    <mergeCell ref="X963:Y963"/>
    <mergeCell ref="V950:W950"/>
    <mergeCell ref="X950:Y950"/>
    <mergeCell ref="O951:P951"/>
    <mergeCell ref="V951:W951"/>
    <mergeCell ref="X951:Y951"/>
    <mergeCell ref="O952:P952"/>
    <mergeCell ref="V952:W952"/>
    <mergeCell ref="X952:Y952"/>
    <mergeCell ref="O953:P953"/>
    <mergeCell ref="V953:W953"/>
    <mergeCell ref="X953:Y953"/>
    <mergeCell ref="O954:P954"/>
    <mergeCell ref="O955:P955"/>
    <mergeCell ref="O956:P956"/>
    <mergeCell ref="V956:W956"/>
    <mergeCell ref="X956:Y956"/>
    <mergeCell ref="O957:P957"/>
    <mergeCell ref="V957:W957"/>
    <mergeCell ref="X957:Y957"/>
    <mergeCell ref="V964:W964"/>
    <mergeCell ref="X964:Y964"/>
    <mergeCell ref="O965:P965"/>
    <mergeCell ref="V965:W965"/>
    <mergeCell ref="X965:Y965"/>
    <mergeCell ref="V966:W966"/>
    <mergeCell ref="X966:Y966"/>
    <mergeCell ref="O967:P967"/>
    <mergeCell ref="V967:W967"/>
    <mergeCell ref="X967:Y967"/>
    <mergeCell ref="O968:P968"/>
    <mergeCell ref="V968:W968"/>
    <mergeCell ref="X968:Y968"/>
    <mergeCell ref="O969:P969"/>
    <mergeCell ref="V969:W969"/>
    <mergeCell ref="X969:Y969"/>
    <mergeCell ref="O958:P958"/>
    <mergeCell ref="V958:W958"/>
    <mergeCell ref="X958:Y958"/>
    <mergeCell ref="O959:P959"/>
    <mergeCell ref="V959:W959"/>
    <mergeCell ref="X959:Y959"/>
    <mergeCell ref="O960:P960"/>
    <mergeCell ref="V960:W960"/>
    <mergeCell ref="X960:Y960"/>
    <mergeCell ref="O961:P961"/>
    <mergeCell ref="V961:W961"/>
    <mergeCell ref="X961:Y961"/>
    <mergeCell ref="O962:P962"/>
    <mergeCell ref="V962:W962"/>
    <mergeCell ref="X962:Y962"/>
    <mergeCell ref="O963:P963"/>
    <mergeCell ref="V970:W970"/>
    <mergeCell ref="X970:Y970"/>
    <mergeCell ref="O971:P971"/>
    <mergeCell ref="V971:W971"/>
    <mergeCell ref="X971:Y971"/>
    <mergeCell ref="O972:P972"/>
    <mergeCell ref="V972:W972"/>
    <mergeCell ref="X972:Y972"/>
    <mergeCell ref="O973:P973"/>
    <mergeCell ref="V973:W973"/>
    <mergeCell ref="X973:Y973"/>
    <mergeCell ref="O974:P974"/>
    <mergeCell ref="V974:W974"/>
    <mergeCell ref="X974:Y974"/>
    <mergeCell ref="O975:P975"/>
    <mergeCell ref="O976:P976"/>
    <mergeCell ref="V976:W976"/>
    <mergeCell ref="X976:Y976"/>
    <mergeCell ref="V977:W977"/>
    <mergeCell ref="X977:Y977"/>
    <mergeCell ref="O978:P978"/>
    <mergeCell ref="V978:W978"/>
    <mergeCell ref="X978:Y978"/>
    <mergeCell ref="O979:P979"/>
    <mergeCell ref="V979:W979"/>
    <mergeCell ref="X979:Y979"/>
    <mergeCell ref="O980:P980"/>
    <mergeCell ref="V980:W980"/>
    <mergeCell ref="X980:Y980"/>
    <mergeCell ref="O981:P981"/>
    <mergeCell ref="V981:W981"/>
    <mergeCell ref="X981:Y981"/>
    <mergeCell ref="O982:P982"/>
    <mergeCell ref="V982:W982"/>
    <mergeCell ref="X982:Y982"/>
    <mergeCell ref="V983:W983"/>
    <mergeCell ref="X983:Y983"/>
    <mergeCell ref="O984:P984"/>
    <mergeCell ref="V984:W984"/>
    <mergeCell ref="X984:Y984"/>
    <mergeCell ref="O985:P985"/>
    <mergeCell ref="V985:W985"/>
    <mergeCell ref="X985:Y985"/>
    <mergeCell ref="O987:P987"/>
    <mergeCell ref="M988:T988"/>
    <mergeCell ref="O989:P989"/>
    <mergeCell ref="M990:T990"/>
    <mergeCell ref="O991:P991"/>
    <mergeCell ref="M992:T992"/>
    <mergeCell ref="O993:P993"/>
    <mergeCell ref="M994:T994"/>
    <mergeCell ref="V987:W988"/>
    <mergeCell ref="X987:Y988"/>
    <mergeCell ref="V989:W990"/>
    <mergeCell ref="X989:Y990"/>
    <mergeCell ref="V991:W992"/>
    <mergeCell ref="X991:Y992"/>
    <mergeCell ref="V993:W994"/>
    <mergeCell ref="X993:Y994"/>
    <mergeCell ref="O1004:P1004"/>
    <mergeCell ref="M1005:T1005"/>
    <mergeCell ref="O1006:P1006"/>
    <mergeCell ref="M1007:T1007"/>
    <mergeCell ref="B1009:D1009"/>
    <mergeCell ref="O1009:Q1009"/>
    <mergeCell ref="B1010:J1010"/>
    <mergeCell ref="L1010:M1010"/>
    <mergeCell ref="N1010:R1010"/>
    <mergeCell ref="S1010:T1010"/>
    <mergeCell ref="B995:B996"/>
    <mergeCell ref="B997:B998"/>
    <mergeCell ref="B999:B1000"/>
    <mergeCell ref="B1001:B1002"/>
    <mergeCell ref="B1004:B1005"/>
    <mergeCell ref="B1006:B1007"/>
    <mergeCell ref="G1004:G1005"/>
    <mergeCell ref="G1006:G1007"/>
    <mergeCell ref="H1004:H1005"/>
    <mergeCell ref="H1006:H1007"/>
    <mergeCell ref="I1004:I1005"/>
    <mergeCell ref="I1006:I1007"/>
    <mergeCell ref="E995:E996"/>
    <mergeCell ref="E997:E998"/>
    <mergeCell ref="C1015:D1015"/>
    <mergeCell ref="Q1015:T1015"/>
    <mergeCell ref="C1016:D1016"/>
    <mergeCell ref="V1016:Y1016"/>
    <mergeCell ref="C1017:D1017"/>
    <mergeCell ref="E1017:O1017"/>
    <mergeCell ref="C1018:D1018"/>
    <mergeCell ref="C1019:D1019"/>
    <mergeCell ref="C1022:O1022"/>
    <mergeCell ref="J1031:Q1031"/>
    <mergeCell ref="D1034:E1034"/>
    <mergeCell ref="F1034:G1034"/>
    <mergeCell ref="H1034:I1034"/>
    <mergeCell ref="R1034:S1034"/>
    <mergeCell ref="O1036:P1036"/>
    <mergeCell ref="V1036:W1036"/>
    <mergeCell ref="X1036:Y1036"/>
    <mergeCell ref="E1015:O1016"/>
    <mergeCell ref="Q1016:T1017"/>
    <mergeCell ref="V1017:Y1018"/>
    <mergeCell ref="E1018:O1019"/>
    <mergeCell ref="Q1018:T1020"/>
    <mergeCell ref="V1019:W1022"/>
    <mergeCell ref="X1019:Y1022"/>
    <mergeCell ref="C1020:D1021"/>
    <mergeCell ref="E1020:O1021"/>
    <mergeCell ref="Q1021:T1022"/>
    <mergeCell ref="B1031:I1032"/>
    <mergeCell ref="R1031:T1032"/>
    <mergeCell ref="V1031:W1032"/>
    <mergeCell ref="X1031:Y1032"/>
    <mergeCell ref="J1032:Q1034"/>
    <mergeCell ref="O1037:P1037"/>
    <mergeCell ref="V1037:W1037"/>
    <mergeCell ref="X1037:Y1037"/>
    <mergeCell ref="O1038:P1038"/>
    <mergeCell ref="V1038:W1038"/>
    <mergeCell ref="X1038:Y1038"/>
    <mergeCell ref="O1039:P1039"/>
    <mergeCell ref="V1039:W1039"/>
    <mergeCell ref="X1039:Y1039"/>
    <mergeCell ref="O1040:P1040"/>
    <mergeCell ref="V1040:W1040"/>
    <mergeCell ref="X1040:Y1040"/>
    <mergeCell ref="O1041:P1041"/>
    <mergeCell ref="V1041:W1041"/>
    <mergeCell ref="X1041:Y1041"/>
    <mergeCell ref="O1042:P1042"/>
    <mergeCell ref="V1042:W1042"/>
    <mergeCell ref="X1042:Y1042"/>
    <mergeCell ref="O1043:P1043"/>
    <mergeCell ref="V1043:W1043"/>
    <mergeCell ref="X1043:Y1043"/>
    <mergeCell ref="O1044:P1044"/>
    <mergeCell ref="V1044:W1044"/>
    <mergeCell ref="X1044:Y1044"/>
    <mergeCell ref="O1045:P1045"/>
    <mergeCell ref="V1045:W1045"/>
    <mergeCell ref="X1045:Y1045"/>
    <mergeCell ref="O1047:P1047"/>
    <mergeCell ref="V1047:W1047"/>
    <mergeCell ref="X1047:Y1047"/>
    <mergeCell ref="O1048:P1048"/>
    <mergeCell ref="V1048:W1048"/>
    <mergeCell ref="X1048:Y1048"/>
    <mergeCell ref="O1049:P1049"/>
    <mergeCell ref="V1049:W1049"/>
    <mergeCell ref="X1049:Y1049"/>
    <mergeCell ref="O1050:P1050"/>
    <mergeCell ref="V1050:W1050"/>
    <mergeCell ref="X1050:Y1050"/>
    <mergeCell ref="O1051:P1051"/>
    <mergeCell ref="V1051:W1051"/>
    <mergeCell ref="X1051:Y1051"/>
    <mergeCell ref="O1052:P1052"/>
    <mergeCell ref="V1052:W1052"/>
    <mergeCell ref="X1052:Y1052"/>
    <mergeCell ref="O1054:P1054"/>
    <mergeCell ref="V1054:W1054"/>
    <mergeCell ref="X1054:Y1054"/>
    <mergeCell ref="O1055:P1055"/>
    <mergeCell ref="V1055:W1055"/>
    <mergeCell ref="X1055:Y1055"/>
    <mergeCell ref="O1056:P1056"/>
    <mergeCell ref="V1056:W1056"/>
    <mergeCell ref="X1056:Y1056"/>
    <mergeCell ref="X1074:Y1074"/>
    <mergeCell ref="O1075:P1075"/>
    <mergeCell ref="V1075:W1075"/>
    <mergeCell ref="X1075:Y1075"/>
    <mergeCell ref="O1064:P1064"/>
    <mergeCell ref="V1064:W1064"/>
    <mergeCell ref="X1064:Y1064"/>
    <mergeCell ref="O1065:P1065"/>
    <mergeCell ref="V1065:W1065"/>
    <mergeCell ref="X1065:Y1065"/>
    <mergeCell ref="O1066:P1066"/>
    <mergeCell ref="V1066:W1066"/>
    <mergeCell ref="X1066:Y1066"/>
    <mergeCell ref="O1068:P1068"/>
    <mergeCell ref="V1068:W1068"/>
    <mergeCell ref="X1068:Y1068"/>
    <mergeCell ref="O1057:P1057"/>
    <mergeCell ref="V1057:W1057"/>
    <mergeCell ref="X1057:Y1057"/>
    <mergeCell ref="O1058:P1058"/>
    <mergeCell ref="V1058:W1058"/>
    <mergeCell ref="X1058:Y1058"/>
    <mergeCell ref="O1059:P1059"/>
    <mergeCell ref="V1059:W1059"/>
    <mergeCell ref="X1059:Y1059"/>
    <mergeCell ref="O1060:P1060"/>
    <mergeCell ref="V1060:W1060"/>
    <mergeCell ref="X1060:Y1060"/>
    <mergeCell ref="O1063:P1063"/>
    <mergeCell ref="V1063:W1063"/>
    <mergeCell ref="X1063:Y1063"/>
    <mergeCell ref="O1076:P1076"/>
    <mergeCell ref="V1076:W1076"/>
    <mergeCell ref="X1076:Y1076"/>
    <mergeCell ref="O1061:P1061"/>
    <mergeCell ref="V1061:W1061"/>
    <mergeCell ref="X1061:Y1061"/>
    <mergeCell ref="O1077:P1077"/>
    <mergeCell ref="V1077:W1077"/>
    <mergeCell ref="X1077:Y1077"/>
    <mergeCell ref="O1078:P1078"/>
    <mergeCell ref="V1078:W1078"/>
    <mergeCell ref="X1078:Y1078"/>
    <mergeCell ref="O1080:P1080"/>
    <mergeCell ref="V1080:W1080"/>
    <mergeCell ref="X1080:Y1080"/>
    <mergeCell ref="O1081:P1081"/>
    <mergeCell ref="V1081:W1081"/>
    <mergeCell ref="X1081:Y1081"/>
    <mergeCell ref="O1070:P1070"/>
    <mergeCell ref="V1070:W1070"/>
    <mergeCell ref="X1070:Y1070"/>
    <mergeCell ref="O1071:P1071"/>
    <mergeCell ref="V1071:W1071"/>
    <mergeCell ref="X1071:Y1071"/>
    <mergeCell ref="O1072:P1072"/>
    <mergeCell ref="V1072:W1072"/>
    <mergeCell ref="X1072:Y1072"/>
    <mergeCell ref="O1073:P1073"/>
    <mergeCell ref="V1073:W1073"/>
    <mergeCell ref="X1073:Y1073"/>
    <mergeCell ref="O1074:P1074"/>
    <mergeCell ref="V1074:W1074"/>
    <mergeCell ref="O1082:P1082"/>
    <mergeCell ref="V1082:W1082"/>
    <mergeCell ref="X1082:Y1082"/>
    <mergeCell ref="O1083:P1083"/>
    <mergeCell ref="V1083:W1083"/>
    <mergeCell ref="X1083:Y1083"/>
    <mergeCell ref="O1084:P1084"/>
    <mergeCell ref="V1084:W1084"/>
    <mergeCell ref="X1084:Y1084"/>
    <mergeCell ref="O1086:P1086"/>
    <mergeCell ref="V1086:W1086"/>
    <mergeCell ref="X1086:Y1086"/>
    <mergeCell ref="O1087:P1087"/>
    <mergeCell ref="V1087:W1087"/>
    <mergeCell ref="X1087:Y1087"/>
    <mergeCell ref="O1088:P1088"/>
    <mergeCell ref="V1088:W1088"/>
    <mergeCell ref="X1088:Y1088"/>
    <mergeCell ref="O1089:P1089"/>
    <mergeCell ref="V1089:W1089"/>
    <mergeCell ref="X1089:Y1089"/>
    <mergeCell ref="O1090:P1090"/>
    <mergeCell ref="V1090:W1090"/>
    <mergeCell ref="X1090:Y1090"/>
    <mergeCell ref="O1091:P1091"/>
    <mergeCell ref="V1091:W1091"/>
    <mergeCell ref="X1091:Y1091"/>
    <mergeCell ref="O1092:P1092"/>
    <mergeCell ref="V1092:W1092"/>
    <mergeCell ref="X1092:Y1092"/>
    <mergeCell ref="O1093:P1093"/>
    <mergeCell ref="V1093:W1093"/>
    <mergeCell ref="X1093:Y1093"/>
    <mergeCell ref="O1094:P1094"/>
    <mergeCell ref="V1094:W1094"/>
    <mergeCell ref="X1094:Y1094"/>
    <mergeCell ref="B1096:J1096"/>
    <mergeCell ref="L1096:M1096"/>
    <mergeCell ref="N1096:R1096"/>
    <mergeCell ref="S1096:T1096"/>
    <mergeCell ref="Q1098:T1098"/>
    <mergeCell ref="Q1099:T1099"/>
    <mergeCell ref="Q1100:T1100"/>
    <mergeCell ref="C1101:D1101"/>
    <mergeCell ref="Q1101:T1101"/>
    <mergeCell ref="C1102:D1102"/>
    <mergeCell ref="V1102:Y1102"/>
    <mergeCell ref="C1103:D1103"/>
    <mergeCell ref="C1104:D1104"/>
    <mergeCell ref="C1105:D1105"/>
    <mergeCell ref="C1108:O1108"/>
    <mergeCell ref="B5:B6"/>
    <mergeCell ref="B54:B55"/>
    <mergeCell ref="B61:B62"/>
    <mergeCell ref="B72:B73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46:B147"/>
    <mergeCell ref="B153:B154"/>
    <mergeCell ref="B166:B167"/>
    <mergeCell ref="B232:B233"/>
    <mergeCell ref="B239:B240"/>
    <mergeCell ref="B249:B250"/>
    <mergeCell ref="B301:B302"/>
    <mergeCell ref="B308:B309"/>
    <mergeCell ref="B316:B317"/>
    <mergeCell ref="B363:B364"/>
    <mergeCell ref="B370:B371"/>
    <mergeCell ref="B379:B380"/>
    <mergeCell ref="B425:B426"/>
    <mergeCell ref="B432:B433"/>
    <mergeCell ref="B441:B442"/>
    <mergeCell ref="B488:B489"/>
    <mergeCell ref="B495:B496"/>
    <mergeCell ref="B423:D424"/>
    <mergeCell ref="C370:D371"/>
    <mergeCell ref="C363:D364"/>
    <mergeCell ref="B361:D362"/>
    <mergeCell ref="B313:I314"/>
    <mergeCell ref="E235:O236"/>
    <mergeCell ref="E237:O238"/>
    <mergeCell ref="C239:D240"/>
    <mergeCell ref="E239:O240"/>
    <mergeCell ref="C232:D233"/>
    <mergeCell ref="E232:O234"/>
    <mergeCell ref="O475:P475"/>
    <mergeCell ref="O467:P467"/>
    <mergeCell ref="O446:P446"/>
    <mergeCell ref="C429:D429"/>
    <mergeCell ref="B505:B506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70:B571"/>
    <mergeCell ref="B572:B573"/>
    <mergeCell ref="B574:B575"/>
    <mergeCell ref="B581:B582"/>
    <mergeCell ref="B588:B589"/>
    <mergeCell ref="B598:B599"/>
    <mergeCell ref="B666:B667"/>
    <mergeCell ref="B673:B674"/>
    <mergeCell ref="B683:B684"/>
    <mergeCell ref="B735:B736"/>
    <mergeCell ref="B742:B743"/>
    <mergeCell ref="B753:B754"/>
    <mergeCell ref="B797:B798"/>
    <mergeCell ref="B804:B805"/>
    <mergeCell ref="B815:B816"/>
    <mergeCell ref="B861:B862"/>
    <mergeCell ref="B868:B869"/>
    <mergeCell ref="B880:B881"/>
    <mergeCell ref="B924:B925"/>
    <mergeCell ref="B931:B932"/>
    <mergeCell ref="B942:B943"/>
    <mergeCell ref="B987:B988"/>
    <mergeCell ref="B989:B990"/>
    <mergeCell ref="B991:B992"/>
    <mergeCell ref="B993:B994"/>
    <mergeCell ref="B858:J858"/>
    <mergeCell ref="H818:I818"/>
    <mergeCell ref="B732:J732"/>
    <mergeCell ref="E989:E990"/>
    <mergeCell ref="E991:E992"/>
    <mergeCell ref="E993:E994"/>
    <mergeCell ref="H987:H988"/>
    <mergeCell ref="H989:H990"/>
    <mergeCell ref="H991:H992"/>
    <mergeCell ref="H993:H994"/>
    <mergeCell ref="I987:I988"/>
    <mergeCell ref="I989:I990"/>
    <mergeCell ref="I991:I992"/>
    <mergeCell ref="I993:I994"/>
    <mergeCell ref="J859:J860"/>
    <mergeCell ref="G139:G140"/>
    <mergeCell ref="E486:E487"/>
    <mergeCell ref="E553:E554"/>
    <mergeCell ref="B1013:B1014"/>
    <mergeCell ref="B1020:B1021"/>
    <mergeCell ref="B1034:B1035"/>
    <mergeCell ref="B1099:B1100"/>
    <mergeCell ref="B1106:B1107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7:D138"/>
    <mergeCell ref="D139:D140"/>
    <mergeCell ref="D553:D554"/>
    <mergeCell ref="D555:D556"/>
    <mergeCell ref="D557:D558"/>
    <mergeCell ref="D559:D560"/>
    <mergeCell ref="D561:D562"/>
    <mergeCell ref="D563:D564"/>
    <mergeCell ref="E110:E111"/>
    <mergeCell ref="E112:E113"/>
    <mergeCell ref="E114:E115"/>
    <mergeCell ref="C63:O63"/>
    <mergeCell ref="J69:Q69"/>
    <mergeCell ref="D72:E72"/>
    <mergeCell ref="F72:G72"/>
    <mergeCell ref="H72:I72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E116:E117"/>
    <mergeCell ref="M127:T127"/>
    <mergeCell ref="O128:P128"/>
    <mergeCell ref="M129:T129"/>
    <mergeCell ref="O130:P130"/>
    <mergeCell ref="M131:T131"/>
    <mergeCell ref="O132:P132"/>
    <mergeCell ref="M133:T133"/>
    <mergeCell ref="O110:P110"/>
    <mergeCell ref="M111:T111"/>
    <mergeCell ref="O112:P112"/>
    <mergeCell ref="M113:T113"/>
    <mergeCell ref="O114:P114"/>
    <mergeCell ref="M115:T115"/>
    <mergeCell ref="O116:P116"/>
    <mergeCell ref="D989:D990"/>
    <mergeCell ref="D991:D992"/>
    <mergeCell ref="D993:D994"/>
    <mergeCell ref="D995:D996"/>
    <mergeCell ref="D997:D998"/>
    <mergeCell ref="D565:D566"/>
    <mergeCell ref="D567:D568"/>
    <mergeCell ref="D570:D571"/>
    <mergeCell ref="D572:D573"/>
    <mergeCell ref="D574:D575"/>
    <mergeCell ref="D987:D988"/>
    <mergeCell ref="C926:D926"/>
    <mergeCell ref="C927:D927"/>
    <mergeCell ref="C928:D928"/>
    <mergeCell ref="C929:D929"/>
    <mergeCell ref="C930:D930"/>
    <mergeCell ref="C933:O933"/>
    <mergeCell ref="J939:Q939"/>
    <mergeCell ref="D942:E942"/>
    <mergeCell ref="F942:G942"/>
    <mergeCell ref="O995:P995"/>
    <mergeCell ref="M996:T996"/>
    <mergeCell ref="O997:P997"/>
    <mergeCell ref="M998:T998"/>
    <mergeCell ref="O983:P983"/>
    <mergeCell ref="O977:P977"/>
    <mergeCell ref="O970:P970"/>
    <mergeCell ref="O964:P964"/>
    <mergeCell ref="O944:P944"/>
    <mergeCell ref="H942:I942"/>
    <mergeCell ref="R942:S942"/>
    <mergeCell ref="O943:P943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7:F138"/>
    <mergeCell ref="F139:F140"/>
    <mergeCell ref="F553:F554"/>
    <mergeCell ref="F555:F556"/>
    <mergeCell ref="E495:O496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7:E138"/>
    <mergeCell ref="E139:E140"/>
    <mergeCell ref="E144:E145"/>
    <mergeCell ref="G134:G135"/>
    <mergeCell ref="G137:G138"/>
    <mergeCell ref="J503:Q505"/>
    <mergeCell ref="Q491:T493"/>
    <mergeCell ref="Q494:T497"/>
    <mergeCell ref="R438:T439"/>
    <mergeCell ref="J439:Q441"/>
    <mergeCell ref="Q428:T430"/>
    <mergeCell ref="Q431:T434"/>
    <mergeCell ref="F423:G424"/>
    <mergeCell ref="H423:I424"/>
    <mergeCell ref="B502:I503"/>
    <mergeCell ref="C495:D496"/>
    <mergeCell ref="E999:E1000"/>
    <mergeCell ref="E1001:E1002"/>
    <mergeCell ref="E1004:E1005"/>
    <mergeCell ref="E1006:E1007"/>
    <mergeCell ref="E1011:E1012"/>
    <mergeCell ref="E1097:E1098"/>
    <mergeCell ref="F557:F558"/>
    <mergeCell ref="F559:F560"/>
    <mergeCell ref="F561:F562"/>
    <mergeCell ref="F563:F564"/>
    <mergeCell ref="I567:I568"/>
    <mergeCell ref="I570:I571"/>
    <mergeCell ref="I572:I573"/>
    <mergeCell ref="I574:I575"/>
    <mergeCell ref="E565:E566"/>
    <mergeCell ref="E567:E568"/>
    <mergeCell ref="E570:E571"/>
    <mergeCell ref="E572:E573"/>
    <mergeCell ref="E574:E575"/>
    <mergeCell ref="E579:E580"/>
    <mergeCell ref="E664:E665"/>
    <mergeCell ref="C310:O310"/>
    <mergeCell ref="J313:Q313"/>
    <mergeCell ref="D316:E316"/>
    <mergeCell ref="F316:G316"/>
    <mergeCell ref="H316:I316"/>
    <mergeCell ref="Q307:T310"/>
    <mergeCell ref="O290:P290"/>
    <mergeCell ref="O281:P281"/>
    <mergeCell ref="O282:P282"/>
    <mergeCell ref="O261:P261"/>
    <mergeCell ref="O254:P254"/>
    <mergeCell ref="C236:D236"/>
    <mergeCell ref="C237:D237"/>
    <mergeCell ref="C238:D238"/>
    <mergeCell ref="C241:O241"/>
    <mergeCell ref="E425:O427"/>
    <mergeCell ref="E432:O433"/>
    <mergeCell ref="E428:O429"/>
    <mergeCell ref="E430:O431"/>
    <mergeCell ref="C430:D430"/>
    <mergeCell ref="C431:D431"/>
    <mergeCell ref="O412:P412"/>
    <mergeCell ref="O413:P413"/>
    <mergeCell ref="O404:P404"/>
    <mergeCell ref="O398:P398"/>
    <mergeCell ref="O391:P391"/>
    <mergeCell ref="O384:P384"/>
    <mergeCell ref="C367:D367"/>
    <mergeCell ref="C368:D368"/>
    <mergeCell ref="C369:D369"/>
    <mergeCell ref="C372:O372"/>
    <mergeCell ref="J376:Q376"/>
    <mergeCell ref="G1001:G1002"/>
    <mergeCell ref="F565:F566"/>
    <mergeCell ref="F567:F568"/>
    <mergeCell ref="F570:F571"/>
    <mergeCell ref="F572:F573"/>
    <mergeCell ref="F574:F575"/>
    <mergeCell ref="F987:F988"/>
    <mergeCell ref="F989:F990"/>
    <mergeCell ref="F991:F992"/>
    <mergeCell ref="F993:F994"/>
    <mergeCell ref="F995:F996"/>
    <mergeCell ref="F997:F998"/>
    <mergeCell ref="F999:F1000"/>
    <mergeCell ref="F1001:F1002"/>
    <mergeCell ref="E583:O584"/>
    <mergeCell ref="E586:O587"/>
    <mergeCell ref="L795:N796"/>
    <mergeCell ref="E797:O799"/>
    <mergeCell ref="E800:O801"/>
    <mergeCell ref="E802:O803"/>
    <mergeCell ref="E733:E734"/>
    <mergeCell ref="E795:E796"/>
    <mergeCell ref="E859:E860"/>
    <mergeCell ref="E922:E923"/>
    <mergeCell ref="E987:E988"/>
    <mergeCell ref="O999:P999"/>
    <mergeCell ref="M1000:T1000"/>
    <mergeCell ref="O1001:P1001"/>
    <mergeCell ref="M1002:T1002"/>
    <mergeCell ref="R939:T940"/>
    <mergeCell ref="B921:J921"/>
    <mergeCell ref="L921:M921"/>
    <mergeCell ref="O510:P510"/>
    <mergeCell ref="O509:P509"/>
    <mergeCell ref="H565:H566"/>
    <mergeCell ref="I553:I554"/>
    <mergeCell ref="I555:I556"/>
    <mergeCell ref="G565:G566"/>
    <mergeCell ref="G567:G568"/>
    <mergeCell ref="G570:G571"/>
    <mergeCell ref="G572:G573"/>
    <mergeCell ref="G574:G575"/>
    <mergeCell ref="G987:G988"/>
    <mergeCell ref="G989:G990"/>
    <mergeCell ref="G991:G992"/>
    <mergeCell ref="G993:G994"/>
    <mergeCell ref="G995:G996"/>
    <mergeCell ref="G997:G998"/>
    <mergeCell ref="G999:G1000"/>
    <mergeCell ref="G553:G554"/>
    <mergeCell ref="G555:G556"/>
    <mergeCell ref="J922:J923"/>
    <mergeCell ref="O910:P910"/>
    <mergeCell ref="O895:P895"/>
    <mergeCell ref="L858:M858"/>
    <mergeCell ref="N858:R858"/>
    <mergeCell ref="O851:P851"/>
    <mergeCell ref="O844:P844"/>
    <mergeCell ref="O838:P838"/>
    <mergeCell ref="O831:P831"/>
    <mergeCell ref="O825:P825"/>
    <mergeCell ref="O818:P818"/>
    <mergeCell ref="Q796:T796"/>
    <mergeCell ref="Q797:T797"/>
    <mergeCell ref="H997:H998"/>
    <mergeCell ref="H999:H1000"/>
    <mergeCell ref="H1001:H1002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7:H138"/>
    <mergeCell ref="H139:H140"/>
    <mergeCell ref="H553:H554"/>
    <mergeCell ref="H555:H556"/>
    <mergeCell ref="E308:O309"/>
    <mergeCell ref="E301:O303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G557:G558"/>
    <mergeCell ref="B486:D487"/>
    <mergeCell ref="F486:G487"/>
    <mergeCell ref="H486:I487"/>
    <mergeCell ref="E491:O492"/>
    <mergeCell ref="E493:O494"/>
    <mergeCell ref="L486:N487"/>
    <mergeCell ref="C488:D489"/>
    <mergeCell ref="E488:O490"/>
    <mergeCell ref="B376:I377"/>
    <mergeCell ref="J377:Q379"/>
    <mergeCell ref="B438:I439"/>
    <mergeCell ref="C308:D309"/>
    <mergeCell ref="I557:I558"/>
    <mergeCell ref="I559:I560"/>
    <mergeCell ref="I561:I562"/>
    <mergeCell ref="I563:I564"/>
    <mergeCell ref="I565:I566"/>
    <mergeCell ref="J553:J554"/>
    <mergeCell ref="J555:J556"/>
    <mergeCell ref="G559:G560"/>
    <mergeCell ref="G561:G562"/>
    <mergeCell ref="G563:G564"/>
    <mergeCell ref="E555:E556"/>
    <mergeCell ref="E557:E558"/>
    <mergeCell ref="E559:E560"/>
    <mergeCell ref="E561:E562"/>
    <mergeCell ref="E563:E564"/>
    <mergeCell ref="O551:P551"/>
    <mergeCell ref="O543:P543"/>
    <mergeCell ref="O544:P544"/>
    <mergeCell ref="O529:P529"/>
    <mergeCell ref="O530:P530"/>
    <mergeCell ref="L144:N145"/>
    <mergeCell ref="I995:I996"/>
    <mergeCell ref="I997:I998"/>
    <mergeCell ref="I999:I1000"/>
    <mergeCell ref="I1001:I1002"/>
    <mergeCell ref="B680:I681"/>
    <mergeCell ref="C797:D798"/>
    <mergeCell ref="C804:D805"/>
    <mergeCell ref="E864:O865"/>
    <mergeCell ref="E866:O867"/>
    <mergeCell ref="C868:D869"/>
    <mergeCell ref="E868:O869"/>
    <mergeCell ref="B877:I878"/>
    <mergeCell ref="J878:Q880"/>
    <mergeCell ref="B939:I940"/>
    <mergeCell ref="J940:Q942"/>
    <mergeCell ref="H557:H558"/>
    <mergeCell ref="H559:H560"/>
    <mergeCell ref="H561:H562"/>
    <mergeCell ref="H563:H564"/>
    <mergeCell ref="J557:J558"/>
    <mergeCell ref="J559:J560"/>
    <mergeCell ref="J561:J562"/>
    <mergeCell ref="J563:J564"/>
    <mergeCell ref="J565:J566"/>
    <mergeCell ref="J567:J568"/>
    <mergeCell ref="J570:J571"/>
    <mergeCell ref="J572:J573"/>
    <mergeCell ref="J574:J575"/>
    <mergeCell ref="J579:J580"/>
    <mergeCell ref="J664:J665"/>
    <mergeCell ref="J733:J734"/>
    <mergeCell ref="L1004:L1005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J130:J131"/>
    <mergeCell ref="J132:J133"/>
    <mergeCell ref="J134:J135"/>
    <mergeCell ref="J137:J138"/>
    <mergeCell ref="J139:J140"/>
    <mergeCell ref="J144:J145"/>
    <mergeCell ref="J230:J231"/>
    <mergeCell ref="E151:O152"/>
    <mergeCell ref="E153:O154"/>
    <mergeCell ref="E148:O149"/>
    <mergeCell ref="J164:Q166"/>
    <mergeCell ref="B163:I164"/>
    <mergeCell ref="B230:D231"/>
    <mergeCell ref="F230:G231"/>
    <mergeCell ref="H230:I231"/>
    <mergeCell ref="L230:N231"/>
    <mergeCell ref="Q151:T153"/>
    <mergeCell ref="C153:D154"/>
    <mergeCell ref="Q154:T155"/>
    <mergeCell ref="Q149:T150"/>
    <mergeCell ref="R163:T164"/>
    <mergeCell ref="K570:K571"/>
    <mergeCell ref="B812:I813"/>
    <mergeCell ref="J813:Q815"/>
    <mergeCell ref="B859:D860"/>
    <mergeCell ref="F859:G860"/>
    <mergeCell ref="H859:I860"/>
    <mergeCell ref="L859:N860"/>
    <mergeCell ref="C861:D862"/>
    <mergeCell ref="E861:O863"/>
    <mergeCell ref="J987:J988"/>
    <mergeCell ref="J989:J990"/>
    <mergeCell ref="J991:J992"/>
    <mergeCell ref="J993:J994"/>
    <mergeCell ref="J995:J996"/>
    <mergeCell ref="J997:J998"/>
    <mergeCell ref="J999:J1000"/>
    <mergeCell ref="J1001:J1002"/>
    <mergeCell ref="K987:K988"/>
    <mergeCell ref="K989:K990"/>
    <mergeCell ref="K991:K992"/>
    <mergeCell ref="K993:K994"/>
    <mergeCell ref="K995:K996"/>
    <mergeCell ref="K997:K998"/>
    <mergeCell ref="K999:K1000"/>
    <mergeCell ref="K1001:K1002"/>
    <mergeCell ref="L993:L994"/>
    <mergeCell ref="L995:L996"/>
    <mergeCell ref="L997:L998"/>
    <mergeCell ref="L999:L1000"/>
    <mergeCell ref="L1001:L1002"/>
    <mergeCell ref="J795:J796"/>
    <mergeCell ref="H995:H996"/>
    <mergeCell ref="E588:O589"/>
    <mergeCell ref="J1006:J1007"/>
    <mergeCell ref="J1011:J1012"/>
    <mergeCell ref="J1097:J1098"/>
    <mergeCell ref="K52:K53"/>
    <mergeCell ref="K110:K111"/>
    <mergeCell ref="K112:K113"/>
    <mergeCell ref="K114:K115"/>
    <mergeCell ref="K116:K117"/>
    <mergeCell ref="K118:K119"/>
    <mergeCell ref="K120:K121"/>
    <mergeCell ref="K122:K123"/>
    <mergeCell ref="K124:K125"/>
    <mergeCell ref="K126:K127"/>
    <mergeCell ref="K128:K129"/>
    <mergeCell ref="K130:K131"/>
    <mergeCell ref="K132:K133"/>
    <mergeCell ref="K134:K135"/>
    <mergeCell ref="K137:K138"/>
    <mergeCell ref="K139:K140"/>
    <mergeCell ref="K144:K145"/>
    <mergeCell ref="K230:K231"/>
    <mergeCell ref="K299:K300"/>
    <mergeCell ref="K361:K362"/>
    <mergeCell ref="K553:K554"/>
    <mergeCell ref="K555:K556"/>
    <mergeCell ref="K557:K558"/>
    <mergeCell ref="K559:K560"/>
    <mergeCell ref="K561:K562"/>
    <mergeCell ref="K563:K564"/>
    <mergeCell ref="K565:K566"/>
    <mergeCell ref="K567:K568"/>
    <mergeCell ref="K1097:K1098"/>
    <mergeCell ref="L110:L111"/>
    <mergeCell ref="L112:L113"/>
    <mergeCell ref="L114:L115"/>
    <mergeCell ref="L116:L117"/>
    <mergeCell ref="L118:L119"/>
    <mergeCell ref="L120:L121"/>
    <mergeCell ref="L122:L123"/>
    <mergeCell ref="L124:L125"/>
    <mergeCell ref="L126:L127"/>
    <mergeCell ref="L128:L129"/>
    <mergeCell ref="L130:L131"/>
    <mergeCell ref="L132:L133"/>
    <mergeCell ref="L134:L135"/>
    <mergeCell ref="L137:L138"/>
    <mergeCell ref="L139:L140"/>
    <mergeCell ref="L553:L554"/>
    <mergeCell ref="L555:L556"/>
    <mergeCell ref="L557:L558"/>
    <mergeCell ref="L559:L560"/>
    <mergeCell ref="L561:L562"/>
    <mergeCell ref="L563:L564"/>
    <mergeCell ref="L565:L566"/>
    <mergeCell ref="L567:L568"/>
    <mergeCell ref="L570:L571"/>
    <mergeCell ref="L572:L573"/>
    <mergeCell ref="L574:L575"/>
    <mergeCell ref="L987:L988"/>
    <mergeCell ref="L989:L990"/>
    <mergeCell ref="L991:L992"/>
    <mergeCell ref="K795:K796"/>
    <mergeCell ref="K859:K860"/>
    <mergeCell ref="O52:O53"/>
    <mergeCell ref="O144:O145"/>
    <mergeCell ref="O230:O231"/>
    <mergeCell ref="O299:O300"/>
    <mergeCell ref="O361:O362"/>
    <mergeCell ref="O423:O424"/>
    <mergeCell ref="O486:O487"/>
    <mergeCell ref="O579:O580"/>
    <mergeCell ref="O664:O665"/>
    <mergeCell ref="O733:O734"/>
    <mergeCell ref="O795:O796"/>
    <mergeCell ref="O859:O860"/>
    <mergeCell ref="O922:O923"/>
    <mergeCell ref="J681:Q683"/>
    <mergeCell ref="E146:O147"/>
    <mergeCell ref="Q146:T147"/>
    <mergeCell ref="K1006:K1007"/>
    <mergeCell ref="K922:K923"/>
    <mergeCell ref="E666:O668"/>
    <mergeCell ref="B595:I596"/>
    <mergeCell ref="J596:Q598"/>
    <mergeCell ref="C588:D589"/>
    <mergeCell ref="C673:D674"/>
    <mergeCell ref="B664:D665"/>
    <mergeCell ref="E669:O670"/>
    <mergeCell ref="Q669:T671"/>
    <mergeCell ref="E671:O672"/>
    <mergeCell ref="Q672:T675"/>
    <mergeCell ref="E673:O674"/>
    <mergeCell ref="F664:G665"/>
    <mergeCell ref="H664:I665"/>
    <mergeCell ref="C666:D667"/>
    <mergeCell ref="O1097:O1098"/>
    <mergeCell ref="V731:W733"/>
    <mergeCell ref="X731:Y733"/>
    <mergeCell ref="B733:D734"/>
    <mergeCell ref="C742:D743"/>
    <mergeCell ref="E742:O743"/>
    <mergeCell ref="Q741:T744"/>
    <mergeCell ref="V741:W744"/>
    <mergeCell ref="X741:Y744"/>
    <mergeCell ref="B750:I751"/>
    <mergeCell ref="R750:T751"/>
    <mergeCell ref="V750:W751"/>
    <mergeCell ref="X750:Y751"/>
    <mergeCell ref="J751:Q753"/>
    <mergeCell ref="V753:W754"/>
    <mergeCell ref="X753:Y754"/>
    <mergeCell ref="E738:O739"/>
    <mergeCell ref="Q738:T740"/>
    <mergeCell ref="V739:Y740"/>
    <mergeCell ref="E740:O741"/>
    <mergeCell ref="F733:G734"/>
    <mergeCell ref="H733:I734"/>
    <mergeCell ref="L733:N734"/>
    <mergeCell ref="V734:W736"/>
    <mergeCell ref="X734:Y736"/>
    <mergeCell ref="C735:D736"/>
    <mergeCell ref="E735:O737"/>
    <mergeCell ref="V793:W795"/>
    <mergeCell ref="X793:Y795"/>
    <mergeCell ref="B795:D796"/>
    <mergeCell ref="F795:G796"/>
    <mergeCell ref="H795:I796"/>
    <mergeCell ref="V124:W125"/>
    <mergeCell ref="X124:Y125"/>
    <mergeCell ref="V122:W123"/>
    <mergeCell ref="X122:Y123"/>
    <mergeCell ref="B246:I247"/>
    <mergeCell ref="R246:T247"/>
    <mergeCell ref="V246:W247"/>
    <mergeCell ref="X246:Y247"/>
    <mergeCell ref="J247:Q249"/>
    <mergeCell ref="V249:W250"/>
    <mergeCell ref="X249:Y250"/>
    <mergeCell ref="E304:O305"/>
    <mergeCell ref="Q304:T306"/>
    <mergeCell ref="V297:W299"/>
    <mergeCell ref="X297:Y299"/>
    <mergeCell ref="B299:D300"/>
    <mergeCell ref="F299:G300"/>
    <mergeCell ref="H299:I300"/>
    <mergeCell ref="L299:N300"/>
    <mergeCell ref="V134:W135"/>
    <mergeCell ref="X134:Y135"/>
    <mergeCell ref="V137:W138"/>
    <mergeCell ref="X137:Y138"/>
    <mergeCell ref="V139:W140"/>
    <mergeCell ref="X139:Y140"/>
    <mergeCell ref="V142:W144"/>
    <mergeCell ref="X142:Y144"/>
    <mergeCell ref="B144:D145"/>
    <mergeCell ref="F144:G145"/>
    <mergeCell ref="H144:I145"/>
    <mergeCell ref="V305:Y306"/>
    <mergeCell ref="E306:O307"/>
    <mergeCell ref="V116:W117"/>
    <mergeCell ref="X116:Y117"/>
    <mergeCell ref="V112:W113"/>
    <mergeCell ref="X112:Y113"/>
    <mergeCell ref="V114:W115"/>
    <mergeCell ref="X114:Y115"/>
    <mergeCell ref="V132:W133"/>
    <mergeCell ref="X132:Y133"/>
    <mergeCell ref="V2:W3"/>
    <mergeCell ref="X2:Y3"/>
    <mergeCell ref="V5:W6"/>
    <mergeCell ref="X5:Y6"/>
    <mergeCell ref="V50:W52"/>
    <mergeCell ref="X50:Y52"/>
    <mergeCell ref="V53:W55"/>
    <mergeCell ref="X53:Y55"/>
    <mergeCell ref="V58:Y59"/>
    <mergeCell ref="V60:W63"/>
    <mergeCell ref="X60:Y63"/>
    <mergeCell ref="V69:Y70"/>
    <mergeCell ref="V72:W73"/>
    <mergeCell ref="X72:Y73"/>
    <mergeCell ref="V110:W111"/>
    <mergeCell ref="X110:Y111"/>
    <mergeCell ref="V126:W127"/>
    <mergeCell ref="X126:Y127"/>
    <mergeCell ref="V120:W121"/>
    <mergeCell ref="X120:Y121"/>
    <mergeCell ref="V128:W129"/>
    <mergeCell ref="X128:Y129"/>
    <mergeCell ref="V130:W131"/>
    <mergeCell ref="X130:Y131"/>
    <mergeCell ref="V118:W119"/>
    <mergeCell ref="X118:Y119"/>
    <mergeCell ref="V567:W568"/>
    <mergeCell ref="X567:Y568"/>
    <mergeCell ref="V577:W579"/>
    <mergeCell ref="X577:Y579"/>
    <mergeCell ref="B579:D580"/>
    <mergeCell ref="F579:G580"/>
    <mergeCell ref="H579:I580"/>
    <mergeCell ref="L579:N580"/>
    <mergeCell ref="V580:W582"/>
    <mergeCell ref="X580:Y582"/>
    <mergeCell ref="C581:D582"/>
    <mergeCell ref="E581:O582"/>
    <mergeCell ref="Q581:T582"/>
    <mergeCell ref="V563:W564"/>
    <mergeCell ref="X563:Y564"/>
    <mergeCell ref="V565:W566"/>
    <mergeCell ref="X565:Y566"/>
    <mergeCell ref="V557:W558"/>
    <mergeCell ref="X557:Y558"/>
    <mergeCell ref="V559:W560"/>
    <mergeCell ref="X559:Y560"/>
    <mergeCell ref="V574:W575"/>
    <mergeCell ref="X574:Y575"/>
    <mergeCell ref="V570:W571"/>
    <mergeCell ref="X570:Y571"/>
    <mergeCell ref="V572:W573"/>
    <mergeCell ref="X572:Y573"/>
    <mergeCell ref="V561:W562"/>
    <mergeCell ref="X561:Y562"/>
    <mergeCell ref="V553:W554"/>
    <mergeCell ref="X880:Y881"/>
    <mergeCell ref="V920:W922"/>
    <mergeCell ref="X920:Y922"/>
    <mergeCell ref="B922:D923"/>
    <mergeCell ref="F922:G923"/>
    <mergeCell ref="H922:I923"/>
    <mergeCell ref="L922:N923"/>
    <mergeCell ref="V923:W925"/>
    <mergeCell ref="X923:Y925"/>
    <mergeCell ref="C924:D925"/>
    <mergeCell ref="E924:O926"/>
    <mergeCell ref="E927:O928"/>
    <mergeCell ref="Q927:T929"/>
    <mergeCell ref="V928:Y929"/>
    <mergeCell ref="E929:O930"/>
    <mergeCell ref="Q930:T933"/>
    <mergeCell ref="V930:W933"/>
    <mergeCell ref="X930:Y933"/>
    <mergeCell ref="C931:D932"/>
    <mergeCell ref="E931:O932"/>
    <mergeCell ref="Q923:T923"/>
    <mergeCell ref="Q924:T924"/>
    <mergeCell ref="Q925:T925"/>
    <mergeCell ref="Q926:T926"/>
    <mergeCell ref="V927:Y927"/>
    <mergeCell ref="O908:P908"/>
    <mergeCell ref="V908:W908"/>
    <mergeCell ref="X908:Y908"/>
    <mergeCell ref="O909:P909"/>
    <mergeCell ref="V909:W909"/>
    <mergeCell ref="X909:Y909"/>
    <mergeCell ref="V910:W910"/>
    <mergeCell ref="X997:Y998"/>
    <mergeCell ref="V999:W1000"/>
    <mergeCell ref="X999:Y1000"/>
    <mergeCell ref="V1001:W1002"/>
    <mergeCell ref="X1001:Y1002"/>
    <mergeCell ref="V1004:W1005"/>
    <mergeCell ref="X1004:Y1005"/>
    <mergeCell ref="V1006:W1007"/>
    <mergeCell ref="X1006:Y1007"/>
    <mergeCell ref="V1009:W1011"/>
    <mergeCell ref="X1009:Y1011"/>
    <mergeCell ref="B1011:D1012"/>
    <mergeCell ref="F1011:G1012"/>
    <mergeCell ref="H1011:I1012"/>
    <mergeCell ref="L1011:N1012"/>
    <mergeCell ref="V1012:W1014"/>
    <mergeCell ref="X1012:Y1014"/>
    <mergeCell ref="C1013:D1014"/>
    <mergeCell ref="E1013:O1014"/>
    <mergeCell ref="Q1013:T1014"/>
    <mergeCell ref="F1004:F1005"/>
    <mergeCell ref="F1006:F1007"/>
    <mergeCell ref="D999:D1000"/>
    <mergeCell ref="D1001:D1002"/>
    <mergeCell ref="D1004:D1005"/>
    <mergeCell ref="D1006:D1007"/>
    <mergeCell ref="Q1012:T1012"/>
    <mergeCell ref="O1011:O1012"/>
    <mergeCell ref="L1006:L1007"/>
    <mergeCell ref="K1011:K1012"/>
    <mergeCell ref="J1004:J1005"/>
    <mergeCell ref="K1004:K1005"/>
    <mergeCell ref="H1123:I1123"/>
    <mergeCell ref="V1034:W1035"/>
    <mergeCell ref="X1034:Y1035"/>
    <mergeCell ref="V995:W996"/>
    <mergeCell ref="X995:Y996"/>
    <mergeCell ref="C1099:D1100"/>
    <mergeCell ref="E1099:O1101"/>
    <mergeCell ref="C1106:D1107"/>
    <mergeCell ref="E1106:O1107"/>
    <mergeCell ref="V1095:W1097"/>
    <mergeCell ref="X1095:Y1097"/>
    <mergeCell ref="B1097:D1098"/>
    <mergeCell ref="F1097:G1098"/>
    <mergeCell ref="H1097:I1098"/>
    <mergeCell ref="L1097:N1098"/>
    <mergeCell ref="V1098:W1100"/>
    <mergeCell ref="X1098:Y1100"/>
    <mergeCell ref="E1102:O1103"/>
    <mergeCell ref="Q1102:T1104"/>
    <mergeCell ref="V1103:Y1104"/>
    <mergeCell ref="E1104:O1105"/>
    <mergeCell ref="Q1105:T1108"/>
    <mergeCell ref="V1105:W1108"/>
    <mergeCell ref="X1105:Y1108"/>
    <mergeCell ref="O1069:P1069"/>
    <mergeCell ref="O1062:P1062"/>
    <mergeCell ref="O1079:P1079"/>
    <mergeCell ref="V1079:W1079"/>
    <mergeCell ref="X1079:Y1079"/>
    <mergeCell ref="V1062:W1062"/>
    <mergeCell ref="X1062:Y1062"/>
    <mergeCell ref="V997:W998"/>
  </mergeCells>
  <pageMargins left="0" right="0" top="0" bottom="0" header="0" footer="0"/>
  <pageSetup paperSize="9" scale="2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5" tint="-0.249977111117893"/>
    <pageSetUpPr fitToPage="1"/>
  </sheetPr>
  <dimension ref="A1:Q80"/>
  <sheetViews>
    <sheetView showGridLines="0" workbookViewId="0">
      <selection activeCell="C78" sqref="C78:J78"/>
    </sheetView>
  </sheetViews>
  <sheetFormatPr defaultColWidth="9" defaultRowHeight="15"/>
  <cols>
    <col min="1" max="1" width="1.7109375" style="113" customWidth="1"/>
    <col min="2" max="2" width="9.85546875" style="113" customWidth="1"/>
    <col min="3" max="3" width="12.140625" style="113" customWidth="1"/>
    <col min="4" max="4" width="12.7109375" style="113" customWidth="1"/>
    <col min="5" max="5" width="17.7109375" style="113" customWidth="1"/>
    <col min="6" max="6" width="1" style="113" customWidth="1"/>
    <col min="7" max="7" width="12.5703125" style="113" customWidth="1"/>
    <col min="8" max="8" width="12" style="165" customWidth="1"/>
    <col min="9" max="9" width="75.5703125" style="113" customWidth="1"/>
    <col min="10" max="10" width="13.5703125" style="113" customWidth="1"/>
    <col min="11" max="11" width="1.7109375" style="113" customWidth="1"/>
    <col min="12" max="12" width="4.7109375" style="113" customWidth="1"/>
    <col min="13" max="13" width="14.85546875" style="113" customWidth="1"/>
    <col min="14" max="16" width="8.7109375" style="113" customWidth="1"/>
    <col min="17" max="17" width="12.85546875" style="113" customWidth="1"/>
    <col min="18" max="16384" width="9" style="113"/>
  </cols>
  <sheetData>
    <row r="1" spans="1:17">
      <c r="E1" s="1"/>
      <c r="F1" s="1"/>
      <c r="G1" s="1"/>
      <c r="H1" s="166"/>
      <c r="I1" s="1"/>
      <c r="J1" s="1"/>
    </row>
    <row r="2" spans="1:17" s="163" customFormat="1" ht="40.5" customHeight="1">
      <c r="B2" s="167" t="s">
        <v>33</v>
      </c>
      <c r="C2" s="168" t="s">
        <v>34</v>
      </c>
      <c r="D2" s="168" t="s">
        <v>32</v>
      </c>
      <c r="E2" s="3805" t="s">
        <v>35</v>
      </c>
      <c r="F2" s="3806"/>
      <c r="G2" s="168" t="s">
        <v>36</v>
      </c>
      <c r="H2" s="169" t="s">
        <v>37</v>
      </c>
      <c r="I2" s="168" t="s">
        <v>38</v>
      </c>
      <c r="J2" s="170" t="s">
        <v>320</v>
      </c>
      <c r="K2" s="171"/>
      <c r="L2" s="172"/>
      <c r="M2" s="3756" t="s">
        <v>321</v>
      </c>
      <c r="N2" s="3757"/>
      <c r="O2" s="3757"/>
      <c r="P2" s="3758"/>
    </row>
    <row r="3" spans="1:17" s="163" customFormat="1" ht="36.75" hidden="1" customHeight="1">
      <c r="B3" s="173">
        <v>1</v>
      </c>
      <c r="C3" s="174">
        <v>1016</v>
      </c>
      <c r="D3" s="175">
        <v>8</v>
      </c>
      <c r="E3" s="3807" t="s">
        <v>46</v>
      </c>
      <c r="F3" s="3808"/>
      <c r="G3" s="176">
        <v>2</v>
      </c>
      <c r="H3" s="177">
        <v>0</v>
      </c>
      <c r="I3" s="178" t="s">
        <v>47</v>
      </c>
      <c r="J3" s="179">
        <v>48</v>
      </c>
      <c r="K3" s="171"/>
      <c r="L3" s="172"/>
      <c r="M3" s="3759"/>
      <c r="N3" s="3760"/>
      <c r="O3" s="3760"/>
      <c r="P3" s="3761"/>
    </row>
    <row r="4" spans="1:17" s="164" customFormat="1" ht="34.5" hidden="1" customHeight="1">
      <c r="A4" s="180"/>
      <c r="B4" s="181">
        <v>1</v>
      </c>
      <c r="C4" s="182" t="s">
        <v>7</v>
      </c>
      <c r="D4" s="183">
        <v>12</v>
      </c>
      <c r="E4" s="3771" t="s">
        <v>146</v>
      </c>
      <c r="F4" s="3772"/>
      <c r="G4" s="184">
        <v>1</v>
      </c>
      <c r="H4" s="184">
        <v>0</v>
      </c>
      <c r="I4" s="185" t="s">
        <v>147</v>
      </c>
      <c r="J4" s="186">
        <v>91</v>
      </c>
      <c r="K4" s="3809"/>
      <c r="L4" s="3809"/>
      <c r="M4" s="3762"/>
      <c r="N4" s="3763"/>
      <c r="O4" s="3763"/>
      <c r="P4" s="3764"/>
    </row>
    <row r="5" spans="1:17" s="164" customFormat="1" ht="34.5" hidden="1" customHeight="1">
      <c r="A5" s="180"/>
      <c r="B5" s="188">
        <v>1</v>
      </c>
      <c r="C5" s="182" t="s">
        <v>7</v>
      </c>
      <c r="D5" s="183">
        <v>12</v>
      </c>
      <c r="E5" s="3767" t="s">
        <v>322</v>
      </c>
      <c r="F5" s="3768"/>
      <c r="G5" s="189">
        <v>2</v>
      </c>
      <c r="H5" s="189">
        <v>0</v>
      </c>
      <c r="I5" s="190" t="s">
        <v>323</v>
      </c>
      <c r="J5" s="191">
        <v>171</v>
      </c>
      <c r="K5" s="187"/>
      <c r="L5" s="187"/>
      <c r="M5" s="192"/>
      <c r="N5" s="193"/>
      <c r="O5" s="193"/>
      <c r="P5" s="193"/>
      <c r="Q5" s="193"/>
    </row>
    <row r="6" spans="1:17" s="164" customFormat="1" ht="34.5" hidden="1" customHeight="1">
      <c r="A6" s="180"/>
      <c r="B6" s="181">
        <v>1</v>
      </c>
      <c r="C6" s="182" t="s">
        <v>6</v>
      </c>
      <c r="D6" s="183">
        <v>14</v>
      </c>
      <c r="E6" s="3771" t="s">
        <v>324</v>
      </c>
      <c r="F6" s="3772"/>
      <c r="G6" s="184">
        <v>2</v>
      </c>
      <c r="H6" s="184">
        <v>0</v>
      </c>
      <c r="I6" s="185" t="s">
        <v>325</v>
      </c>
      <c r="J6" s="186">
        <v>294</v>
      </c>
      <c r="K6" s="187"/>
      <c r="L6" s="187"/>
      <c r="M6" s="192"/>
      <c r="N6" s="193"/>
      <c r="O6" s="193"/>
      <c r="P6" s="193"/>
      <c r="Q6" s="193"/>
    </row>
    <row r="7" spans="1:17" s="164" customFormat="1" ht="34.5" hidden="1" customHeight="1">
      <c r="A7" s="180"/>
      <c r="B7" s="181">
        <v>1</v>
      </c>
      <c r="C7" s="182" t="s">
        <v>6</v>
      </c>
      <c r="D7" s="183">
        <v>14</v>
      </c>
      <c r="E7" s="3771" t="s">
        <v>326</v>
      </c>
      <c r="F7" s="3772"/>
      <c r="G7" s="184">
        <v>2</v>
      </c>
      <c r="H7" s="184">
        <v>0</v>
      </c>
      <c r="I7" s="185" t="s">
        <v>325</v>
      </c>
      <c r="J7" s="186">
        <v>294</v>
      </c>
      <c r="K7" s="187"/>
      <c r="L7" s="187"/>
      <c r="M7" s="192"/>
      <c r="N7" s="193"/>
      <c r="O7" s="193"/>
      <c r="P7" s="193"/>
      <c r="Q7" s="193"/>
    </row>
    <row r="8" spans="1:17" s="164" customFormat="1" ht="34.5" hidden="1" customHeight="1">
      <c r="A8" s="180"/>
      <c r="B8" s="181">
        <v>1</v>
      </c>
      <c r="C8" s="182" t="s">
        <v>7</v>
      </c>
      <c r="D8" s="183">
        <v>12</v>
      </c>
      <c r="E8" s="3771" t="s">
        <v>327</v>
      </c>
      <c r="F8" s="3772"/>
      <c r="G8" s="184">
        <v>2</v>
      </c>
      <c r="H8" s="184">
        <v>0</v>
      </c>
      <c r="I8" s="185" t="s">
        <v>328</v>
      </c>
      <c r="J8" s="186">
        <v>294</v>
      </c>
      <c r="K8" s="187"/>
      <c r="L8" s="187"/>
      <c r="M8" s="192"/>
      <c r="N8" s="193"/>
      <c r="O8" s="193"/>
      <c r="P8" s="193"/>
      <c r="Q8" s="193"/>
    </row>
    <row r="9" spans="1:17" s="164" customFormat="1" ht="34.5" hidden="1" customHeight="1">
      <c r="A9" s="180"/>
      <c r="B9" s="181">
        <v>1</v>
      </c>
      <c r="C9" s="182" t="s">
        <v>7</v>
      </c>
      <c r="D9" s="183">
        <v>12</v>
      </c>
      <c r="E9" s="3771" t="s">
        <v>329</v>
      </c>
      <c r="F9" s="3772"/>
      <c r="G9" s="184">
        <v>2</v>
      </c>
      <c r="H9" s="184">
        <v>0</v>
      </c>
      <c r="I9" s="185" t="s">
        <v>330</v>
      </c>
      <c r="J9" s="186">
        <v>294</v>
      </c>
      <c r="K9" s="187"/>
      <c r="L9" s="187"/>
      <c r="M9" s="192"/>
      <c r="N9" s="193"/>
      <c r="O9" s="193"/>
      <c r="P9" s="193"/>
      <c r="Q9" s="193"/>
    </row>
    <row r="10" spans="1:17" s="164" customFormat="1" ht="33.75" hidden="1" customHeight="1">
      <c r="A10" s="180"/>
      <c r="B10" s="181">
        <v>1</v>
      </c>
      <c r="C10" s="194">
        <v>1016</v>
      </c>
      <c r="D10" s="195">
        <v>6</v>
      </c>
      <c r="E10" s="3754" t="s">
        <v>70</v>
      </c>
      <c r="F10" s="3755"/>
      <c r="G10" s="196">
        <v>1</v>
      </c>
      <c r="H10" s="196">
        <v>0</v>
      </c>
      <c r="I10" s="185" t="s">
        <v>71</v>
      </c>
      <c r="J10" s="197">
        <v>333</v>
      </c>
      <c r="K10" s="172"/>
      <c r="L10" s="192"/>
      <c r="M10" s="192"/>
      <c r="N10" s="192"/>
      <c r="O10" s="192"/>
      <c r="P10" s="192"/>
      <c r="Q10" s="192"/>
    </row>
    <row r="11" spans="1:17" s="164" customFormat="1" ht="33.75" hidden="1">
      <c r="A11" s="180"/>
      <c r="B11" s="198">
        <v>1</v>
      </c>
      <c r="C11" s="199" t="s">
        <v>9</v>
      </c>
      <c r="D11" s="200">
        <v>3</v>
      </c>
      <c r="E11" s="201" t="s">
        <v>98</v>
      </c>
      <c r="F11" s="202"/>
      <c r="G11" s="203">
        <v>1</v>
      </c>
      <c r="H11" s="203">
        <v>0</v>
      </c>
      <c r="I11" s="204" t="s">
        <v>99</v>
      </c>
      <c r="J11" s="205">
        <v>496</v>
      </c>
      <c r="K11" s="172"/>
      <c r="L11" s="192"/>
      <c r="M11" s="192"/>
      <c r="N11" s="192"/>
      <c r="O11" s="192"/>
      <c r="P11" s="192"/>
      <c r="Q11" s="192"/>
    </row>
    <row r="12" spans="1:17" s="164" customFormat="1" ht="33.75" hidden="1" customHeight="1">
      <c r="A12" s="180"/>
      <c r="B12" s="206">
        <v>1</v>
      </c>
      <c r="C12" s="207">
        <v>1016</v>
      </c>
      <c r="D12" s="208">
        <v>8</v>
      </c>
      <c r="E12" s="3801" t="s">
        <v>159</v>
      </c>
      <c r="F12" s="3802"/>
      <c r="G12" s="209">
        <v>1</v>
      </c>
      <c r="H12" s="209">
        <v>0</v>
      </c>
      <c r="I12" s="210" t="s">
        <v>160</v>
      </c>
      <c r="J12" s="211">
        <v>456</v>
      </c>
      <c r="K12" s="172"/>
      <c r="L12" s="192"/>
      <c r="M12" s="192"/>
      <c r="N12" s="192"/>
      <c r="O12" s="192"/>
      <c r="P12" s="192"/>
      <c r="Q12" s="192"/>
    </row>
    <row r="13" spans="1:17" s="164" customFormat="1" ht="33.75" hidden="1" customHeight="1">
      <c r="A13" s="180"/>
      <c r="B13" s="206">
        <v>1</v>
      </c>
      <c r="C13" s="207" t="s">
        <v>8</v>
      </c>
      <c r="D13" s="208">
        <v>4</v>
      </c>
      <c r="E13" s="3801" t="s">
        <v>96</v>
      </c>
      <c r="F13" s="3802"/>
      <c r="G13" s="209">
        <v>2</v>
      </c>
      <c r="H13" s="209">
        <v>0</v>
      </c>
      <c r="I13" s="210" t="s">
        <v>97</v>
      </c>
      <c r="J13" s="211">
        <v>456</v>
      </c>
      <c r="K13" s="172"/>
      <c r="L13" s="192"/>
      <c r="M13" s="192"/>
      <c r="N13" s="192"/>
      <c r="O13" s="192"/>
      <c r="P13" s="192"/>
      <c r="Q13" s="192"/>
    </row>
    <row r="14" spans="1:17" s="164" customFormat="1" ht="33.75" hidden="1" customHeight="1">
      <c r="A14" s="180"/>
      <c r="B14" s="212">
        <v>1</v>
      </c>
      <c r="C14" s="213" t="s">
        <v>9</v>
      </c>
      <c r="D14" s="214">
        <v>3</v>
      </c>
      <c r="E14" s="3793" t="s">
        <v>331</v>
      </c>
      <c r="F14" s="3794"/>
      <c r="G14" s="215">
        <v>2</v>
      </c>
      <c r="H14" s="215">
        <v>0</v>
      </c>
      <c r="I14" s="216" t="s">
        <v>332</v>
      </c>
      <c r="J14" s="217">
        <v>184621</v>
      </c>
      <c r="K14" s="172"/>
      <c r="L14" s="192"/>
      <c r="M14" s="192"/>
      <c r="N14" s="192"/>
      <c r="O14" s="192"/>
      <c r="P14" s="192"/>
      <c r="Q14" s="192"/>
    </row>
    <row r="15" spans="1:17" s="164" customFormat="1" ht="33.75" hidden="1" customHeight="1">
      <c r="A15" s="180"/>
      <c r="B15" s="218">
        <v>1</v>
      </c>
      <c r="C15" s="213" t="s">
        <v>9</v>
      </c>
      <c r="D15" s="214">
        <v>3</v>
      </c>
      <c r="E15" s="3795" t="s">
        <v>333</v>
      </c>
      <c r="F15" s="3796"/>
      <c r="G15" s="219">
        <v>2</v>
      </c>
      <c r="H15" s="219">
        <v>0</v>
      </c>
      <c r="I15" s="220" t="s">
        <v>334</v>
      </c>
      <c r="J15" s="221">
        <v>816</v>
      </c>
      <c r="K15" s="172"/>
      <c r="L15" s="222"/>
      <c r="M15" s="222"/>
      <c r="N15" s="192"/>
      <c r="O15" s="192"/>
      <c r="P15" s="192"/>
      <c r="Q15" s="192"/>
    </row>
    <row r="16" spans="1:17" s="164" customFormat="1" ht="33.75" hidden="1" customHeight="1">
      <c r="A16" s="180"/>
      <c r="B16" s="212">
        <v>1</v>
      </c>
      <c r="C16" s="213" t="s">
        <v>9</v>
      </c>
      <c r="D16" s="214">
        <v>3</v>
      </c>
      <c r="E16" s="3803" t="s">
        <v>335</v>
      </c>
      <c r="F16" s="3804"/>
      <c r="G16" s="215">
        <v>2</v>
      </c>
      <c r="H16" s="215">
        <v>0</v>
      </c>
      <c r="I16" s="223" t="s">
        <v>336</v>
      </c>
      <c r="J16" s="224">
        <v>830</v>
      </c>
      <c r="K16" s="172"/>
      <c r="L16" s="222"/>
      <c r="M16" s="222"/>
      <c r="N16" s="192"/>
      <c r="O16" s="192"/>
      <c r="P16" s="192"/>
      <c r="Q16" s="192"/>
    </row>
    <row r="17" spans="1:17" s="164" customFormat="1" ht="33.75" customHeight="1">
      <c r="A17" s="180"/>
      <c r="B17" s="218">
        <v>1</v>
      </c>
      <c r="C17" s="213" t="s">
        <v>9</v>
      </c>
      <c r="D17" s="214">
        <v>3</v>
      </c>
      <c r="E17" s="3795" t="s">
        <v>337</v>
      </c>
      <c r="F17" s="3796"/>
      <c r="G17" s="219">
        <v>2</v>
      </c>
      <c r="H17" s="219">
        <v>0</v>
      </c>
      <c r="I17" s="220" t="s">
        <v>338</v>
      </c>
      <c r="J17" s="221">
        <v>184458</v>
      </c>
      <c r="K17" s="172"/>
      <c r="L17" s="222"/>
      <c r="M17" s="222"/>
      <c r="N17" s="192"/>
      <c r="O17" s="192"/>
      <c r="P17" s="192"/>
      <c r="Q17" s="192"/>
    </row>
    <row r="18" spans="1:17" s="164" customFormat="1" ht="33.75" hidden="1" customHeight="1">
      <c r="A18" s="180"/>
      <c r="B18" s="225">
        <v>1</v>
      </c>
      <c r="C18" s="207" t="s">
        <v>9</v>
      </c>
      <c r="D18" s="208">
        <v>4</v>
      </c>
      <c r="E18" s="3797" t="s">
        <v>339</v>
      </c>
      <c r="F18" s="3798"/>
      <c r="G18" s="226">
        <v>2</v>
      </c>
      <c r="H18" s="226">
        <v>0</v>
      </c>
      <c r="I18" s="227" t="s">
        <v>340</v>
      </c>
      <c r="J18" s="228">
        <v>489</v>
      </c>
      <c r="K18" s="172"/>
      <c r="L18" s="192"/>
      <c r="M18" s="192"/>
      <c r="N18" s="192"/>
      <c r="O18" s="192"/>
      <c r="P18" s="192"/>
      <c r="Q18" s="192"/>
    </row>
    <row r="19" spans="1:17" s="164" customFormat="1" ht="33.75" hidden="1" customHeight="1">
      <c r="A19" s="180"/>
      <c r="B19" s="212">
        <v>1</v>
      </c>
      <c r="C19" s="182" t="s">
        <v>9</v>
      </c>
      <c r="D19" s="183">
        <v>3</v>
      </c>
      <c r="E19" s="3793" t="s">
        <v>341</v>
      </c>
      <c r="F19" s="3794"/>
      <c r="G19" s="215">
        <v>2</v>
      </c>
      <c r="H19" s="215">
        <v>0</v>
      </c>
      <c r="I19" s="216" t="s">
        <v>342</v>
      </c>
      <c r="J19" s="217">
        <v>570</v>
      </c>
      <c r="K19" s="172"/>
      <c r="L19" s="192"/>
      <c r="M19" s="192"/>
      <c r="N19" s="192"/>
      <c r="O19" s="192"/>
      <c r="P19" s="192"/>
      <c r="Q19" s="192"/>
    </row>
    <row r="20" spans="1:17" s="164" customFormat="1" ht="33.75" hidden="1" customHeight="1">
      <c r="A20" s="180"/>
      <c r="B20" s="212">
        <v>1</v>
      </c>
      <c r="C20" s="229" t="s">
        <v>9</v>
      </c>
      <c r="D20" s="195">
        <v>3</v>
      </c>
      <c r="E20" s="3799" t="s">
        <v>343</v>
      </c>
      <c r="F20" s="3800"/>
      <c r="G20" s="230">
        <v>1</v>
      </c>
      <c r="H20" s="231">
        <v>0</v>
      </c>
      <c r="I20" s="232" t="s">
        <v>344</v>
      </c>
      <c r="J20" s="233">
        <v>576</v>
      </c>
      <c r="K20" s="172"/>
      <c r="L20" s="222"/>
      <c r="M20" s="222"/>
      <c r="N20" s="222"/>
      <c r="O20" s="222"/>
      <c r="P20" s="222"/>
      <c r="Q20" s="222"/>
    </row>
    <row r="21" spans="1:17" s="164" customFormat="1" ht="34.5" hidden="1" customHeight="1">
      <c r="A21" s="180"/>
      <c r="B21" s="234">
        <v>1</v>
      </c>
      <c r="C21" s="229" t="s">
        <v>9</v>
      </c>
      <c r="D21" s="235">
        <v>3</v>
      </c>
      <c r="E21" s="3771" t="s">
        <v>189</v>
      </c>
      <c r="F21" s="3772"/>
      <c r="G21" s="184">
        <v>1</v>
      </c>
      <c r="H21" s="184">
        <v>0</v>
      </c>
      <c r="I21" s="236" t="s">
        <v>190</v>
      </c>
      <c r="J21" s="197">
        <v>738</v>
      </c>
      <c r="K21" s="172"/>
      <c r="L21" s="172"/>
      <c r="M21" s="192"/>
      <c r="N21" s="192"/>
      <c r="O21" s="192"/>
      <c r="P21" s="192"/>
      <c r="Q21" s="192"/>
    </row>
    <row r="22" spans="1:17" s="164" customFormat="1" ht="33.75" hidden="1" customHeight="1">
      <c r="A22" s="180"/>
      <c r="B22" s="181">
        <v>1</v>
      </c>
      <c r="C22" s="182" t="s">
        <v>7</v>
      </c>
      <c r="D22" s="183">
        <v>11</v>
      </c>
      <c r="E22" s="3771" t="s">
        <v>42</v>
      </c>
      <c r="F22" s="3772"/>
      <c r="G22" s="184">
        <v>3</v>
      </c>
      <c r="H22" s="184">
        <v>0</v>
      </c>
      <c r="I22" s="185" t="s">
        <v>43</v>
      </c>
      <c r="J22" s="186">
        <v>479</v>
      </c>
      <c r="K22" s="172"/>
      <c r="L22" s="192"/>
      <c r="M22" s="192"/>
      <c r="N22" s="192"/>
      <c r="O22" s="192"/>
      <c r="P22" s="192"/>
      <c r="Q22" s="192"/>
    </row>
    <row r="23" spans="1:17" s="164" customFormat="1" ht="33.75" hidden="1" customHeight="1">
      <c r="A23" s="180"/>
      <c r="B23" s="181">
        <v>1</v>
      </c>
      <c r="C23" s="182">
        <v>1016</v>
      </c>
      <c r="D23" s="183">
        <v>8</v>
      </c>
      <c r="E23" s="3771" t="s">
        <v>92</v>
      </c>
      <c r="F23" s="3772"/>
      <c r="G23" s="184">
        <v>2</v>
      </c>
      <c r="H23" s="184">
        <v>0</v>
      </c>
      <c r="I23" s="236" t="s">
        <v>93</v>
      </c>
      <c r="J23" s="237">
        <v>576</v>
      </c>
      <c r="K23" s="172"/>
      <c r="L23" s="222"/>
      <c r="M23" s="222"/>
      <c r="N23" s="222"/>
      <c r="O23" s="222"/>
      <c r="P23" s="222"/>
      <c r="Q23" s="222"/>
    </row>
    <row r="24" spans="1:17" s="164" customFormat="1" ht="33.75" hidden="1" customHeight="1">
      <c r="A24" s="180"/>
      <c r="B24" s="238">
        <v>1</v>
      </c>
      <c r="C24" s="239" t="s">
        <v>6</v>
      </c>
      <c r="D24" s="240">
        <v>14</v>
      </c>
      <c r="E24" s="3791" t="s">
        <v>54</v>
      </c>
      <c r="F24" s="3792"/>
      <c r="G24" s="243">
        <v>1</v>
      </c>
      <c r="H24" s="243">
        <v>0</v>
      </c>
      <c r="I24" s="244" t="s">
        <v>55</v>
      </c>
      <c r="J24" s="245">
        <v>590</v>
      </c>
      <c r="K24" s="172"/>
      <c r="L24" s="222"/>
      <c r="M24" s="222"/>
      <c r="N24" s="246"/>
      <c r="O24" s="192"/>
      <c r="P24" s="192"/>
      <c r="Q24" s="192"/>
    </row>
    <row r="25" spans="1:17" s="164" customFormat="1" ht="33.75" hidden="1" customHeight="1">
      <c r="A25" s="180"/>
      <c r="B25" s="181">
        <v>1</v>
      </c>
      <c r="C25" s="182" t="s">
        <v>6</v>
      </c>
      <c r="D25" s="183">
        <v>14</v>
      </c>
      <c r="E25" s="3793" t="s">
        <v>64</v>
      </c>
      <c r="F25" s="3794"/>
      <c r="G25" s="215">
        <v>1</v>
      </c>
      <c r="H25" s="247">
        <v>0</v>
      </c>
      <c r="I25" s="216" t="s">
        <v>65</v>
      </c>
      <c r="J25" s="248">
        <v>598</v>
      </c>
      <c r="K25" s="172"/>
      <c r="L25" s="192"/>
      <c r="M25" s="192"/>
      <c r="N25" s="249"/>
      <c r="O25" s="249"/>
      <c r="P25" s="249"/>
      <c r="Q25" s="249"/>
    </row>
    <row r="26" spans="1:17" s="164" customFormat="1" ht="38.25" hidden="1" customHeight="1">
      <c r="A26" s="180"/>
      <c r="B26" s="250">
        <v>1</v>
      </c>
      <c r="C26" s="229">
        <v>1016</v>
      </c>
      <c r="D26" s="235">
        <v>7</v>
      </c>
      <c r="E26" s="3771" t="s">
        <v>141</v>
      </c>
      <c r="F26" s="3772"/>
      <c r="G26" s="184">
        <v>2</v>
      </c>
      <c r="H26" s="196">
        <v>0</v>
      </c>
      <c r="I26" s="185" t="s">
        <v>142</v>
      </c>
      <c r="J26" s="197">
        <v>605</v>
      </c>
      <c r="K26" s="172"/>
      <c r="L26" s="192"/>
      <c r="M26" s="192"/>
      <c r="N26" s="249"/>
      <c r="O26" s="249"/>
      <c r="P26" s="249"/>
      <c r="Q26" s="249"/>
    </row>
    <row r="27" spans="1:17" s="164" customFormat="1" ht="32.25" hidden="1" customHeight="1">
      <c r="A27" s="180"/>
      <c r="B27" s="181">
        <v>1</v>
      </c>
      <c r="C27" s="194">
        <v>1016</v>
      </c>
      <c r="D27" s="195">
        <v>8</v>
      </c>
      <c r="E27" s="3754" t="s">
        <v>106</v>
      </c>
      <c r="F27" s="3755"/>
      <c r="G27" s="184">
        <v>2</v>
      </c>
      <c r="H27" s="196">
        <v>0</v>
      </c>
      <c r="I27" s="185" t="s">
        <v>107</v>
      </c>
      <c r="J27" s="197">
        <v>606</v>
      </c>
      <c r="K27" s="172"/>
      <c r="L27" s="3790"/>
      <c r="M27" s="3790"/>
      <c r="N27" s="3790"/>
      <c r="O27" s="3790"/>
      <c r="P27" s="3790"/>
      <c r="Q27" s="3790"/>
    </row>
    <row r="28" spans="1:17" s="164" customFormat="1" ht="33.75" hidden="1" customHeight="1">
      <c r="A28" s="180"/>
      <c r="B28" s="181">
        <v>1</v>
      </c>
      <c r="C28" s="194">
        <v>1016</v>
      </c>
      <c r="D28" s="195">
        <v>10</v>
      </c>
      <c r="E28" s="3754" t="s">
        <v>81</v>
      </c>
      <c r="F28" s="3755"/>
      <c r="G28" s="196">
        <v>2</v>
      </c>
      <c r="H28" s="196">
        <v>0</v>
      </c>
      <c r="I28" s="185" t="s">
        <v>82</v>
      </c>
      <c r="J28" s="197">
        <v>606</v>
      </c>
      <c r="K28" s="172"/>
      <c r="L28" s="3790"/>
      <c r="M28" s="3790"/>
      <c r="N28" s="3790"/>
      <c r="O28" s="3790"/>
      <c r="P28" s="3790"/>
      <c r="Q28" s="3790"/>
    </row>
    <row r="29" spans="1:17" s="164" customFormat="1" ht="33.75" hidden="1" customHeight="1">
      <c r="A29" s="180"/>
      <c r="B29" s="181">
        <v>1</v>
      </c>
      <c r="C29" s="182" t="s">
        <v>7</v>
      </c>
      <c r="D29" s="183">
        <v>12</v>
      </c>
      <c r="E29" s="3771" t="s">
        <v>50</v>
      </c>
      <c r="F29" s="3772"/>
      <c r="G29" s="184">
        <v>2</v>
      </c>
      <c r="H29" s="184">
        <v>0</v>
      </c>
      <c r="I29" s="236" t="s">
        <v>51</v>
      </c>
      <c r="J29" s="237">
        <v>612</v>
      </c>
      <c r="K29" s="172"/>
      <c r="L29" s="192"/>
      <c r="M29" s="192"/>
      <c r="N29" s="192"/>
      <c r="O29" s="192"/>
      <c r="P29" s="192"/>
      <c r="Q29" s="192"/>
    </row>
    <row r="30" spans="1:17" s="164" customFormat="1" ht="33.75" hidden="1" customHeight="1">
      <c r="A30" s="180"/>
      <c r="B30" s="188">
        <v>1</v>
      </c>
      <c r="C30" s="182" t="s">
        <v>7</v>
      </c>
      <c r="D30" s="183">
        <v>10</v>
      </c>
      <c r="E30" s="3788" t="s">
        <v>253</v>
      </c>
      <c r="F30" s="3789"/>
      <c r="G30" s="251">
        <v>1</v>
      </c>
      <c r="H30" s="189">
        <v>0</v>
      </c>
      <c r="I30" s="252" t="s">
        <v>254</v>
      </c>
      <c r="J30" s="253">
        <v>612</v>
      </c>
      <c r="K30" s="172"/>
      <c r="L30" s="192"/>
      <c r="M30" s="192"/>
      <c r="N30" s="192"/>
      <c r="O30" s="192"/>
      <c r="P30" s="192"/>
      <c r="Q30" s="192"/>
    </row>
    <row r="31" spans="1:17" s="164" customFormat="1" ht="33.75" hidden="1" customHeight="1">
      <c r="A31" s="180"/>
      <c r="B31" s="181">
        <v>1</v>
      </c>
      <c r="C31" s="182" t="s">
        <v>7</v>
      </c>
      <c r="D31" s="183">
        <v>11</v>
      </c>
      <c r="E31" s="3771" t="s">
        <v>52</v>
      </c>
      <c r="F31" s="3772"/>
      <c r="G31" s="184">
        <v>1</v>
      </c>
      <c r="H31" s="184">
        <v>0</v>
      </c>
      <c r="I31" s="236" t="s">
        <v>53</v>
      </c>
      <c r="J31" s="237">
        <v>633</v>
      </c>
      <c r="K31" s="172"/>
      <c r="L31" s="192"/>
      <c r="M31" s="192"/>
      <c r="N31" s="192"/>
      <c r="O31" s="192"/>
      <c r="P31" s="192"/>
      <c r="Q31" s="192"/>
    </row>
    <row r="32" spans="1:17" s="164" customFormat="1" ht="33.75" hidden="1" customHeight="1">
      <c r="A32" s="180"/>
      <c r="B32" s="181">
        <v>1</v>
      </c>
      <c r="C32" s="182">
        <v>1016</v>
      </c>
      <c r="D32" s="183">
        <v>9</v>
      </c>
      <c r="E32" s="3771" t="s">
        <v>79</v>
      </c>
      <c r="F32" s="3772"/>
      <c r="G32" s="184">
        <v>1</v>
      </c>
      <c r="H32" s="184">
        <v>0</v>
      </c>
      <c r="I32" s="236" t="s">
        <v>80</v>
      </c>
      <c r="J32" s="237">
        <v>184725</v>
      </c>
      <c r="K32" s="172"/>
      <c r="L32" s="192"/>
      <c r="M32" s="192"/>
      <c r="N32" s="192"/>
      <c r="O32" s="192"/>
      <c r="P32" s="192"/>
      <c r="Q32" s="192"/>
    </row>
    <row r="33" spans="1:17" s="164" customFormat="1" ht="33.75" hidden="1" customHeight="1">
      <c r="A33" s="180"/>
      <c r="B33" s="181">
        <v>1</v>
      </c>
      <c r="C33" s="194">
        <v>1016</v>
      </c>
      <c r="D33" s="195">
        <v>8</v>
      </c>
      <c r="E33" s="3754" t="s">
        <v>157</v>
      </c>
      <c r="F33" s="3755"/>
      <c r="G33" s="184">
        <v>1</v>
      </c>
      <c r="H33" s="196">
        <v>0</v>
      </c>
      <c r="I33" s="185" t="s">
        <v>158</v>
      </c>
      <c r="J33" s="197">
        <v>642</v>
      </c>
      <c r="K33" s="172"/>
      <c r="L33" s="192"/>
      <c r="M33" s="192"/>
      <c r="N33" s="192"/>
      <c r="O33" s="192"/>
      <c r="P33" s="192"/>
      <c r="Q33" s="192"/>
    </row>
    <row r="34" spans="1:17" s="164" customFormat="1" ht="33.75" hidden="1" customHeight="1">
      <c r="A34" s="180"/>
      <c r="B34" s="181">
        <v>1</v>
      </c>
      <c r="C34" s="194">
        <v>1016</v>
      </c>
      <c r="D34" s="195">
        <v>8</v>
      </c>
      <c r="E34" s="3754" t="s">
        <v>150</v>
      </c>
      <c r="F34" s="3755"/>
      <c r="G34" s="184">
        <v>1</v>
      </c>
      <c r="H34" s="196">
        <v>0</v>
      </c>
      <c r="I34" s="185" t="s">
        <v>151</v>
      </c>
      <c r="J34" s="197">
        <v>642</v>
      </c>
      <c r="K34" s="172"/>
      <c r="L34" s="192"/>
      <c r="M34" s="192"/>
      <c r="N34" s="192"/>
      <c r="O34" s="192"/>
      <c r="P34" s="192"/>
      <c r="Q34" s="192"/>
    </row>
    <row r="35" spans="1:17" s="164" customFormat="1" ht="33.75" hidden="1" customHeight="1">
      <c r="A35" s="180"/>
      <c r="B35" s="181">
        <v>1</v>
      </c>
      <c r="C35" s="194">
        <v>1016</v>
      </c>
      <c r="D35" s="195">
        <v>6</v>
      </c>
      <c r="E35" s="3771" t="s">
        <v>83</v>
      </c>
      <c r="F35" s="3772"/>
      <c r="G35" s="184">
        <v>2</v>
      </c>
      <c r="H35" s="184">
        <v>0</v>
      </c>
      <c r="I35" s="236" t="s">
        <v>84</v>
      </c>
      <c r="J35" s="237">
        <v>655</v>
      </c>
      <c r="K35" s="172"/>
      <c r="L35" s="254"/>
      <c r="M35" s="222"/>
      <c r="N35" s="172"/>
      <c r="O35" s="192"/>
      <c r="P35" s="192"/>
      <c r="Q35" s="192"/>
    </row>
    <row r="36" spans="1:17" s="164" customFormat="1" ht="33.75" hidden="1" customHeight="1">
      <c r="A36" s="180"/>
      <c r="B36" s="181">
        <v>1</v>
      </c>
      <c r="C36" s="194">
        <v>1016</v>
      </c>
      <c r="D36" s="195">
        <v>7</v>
      </c>
      <c r="E36" s="3754" t="s">
        <v>56</v>
      </c>
      <c r="F36" s="3755"/>
      <c r="G36" s="184">
        <v>1</v>
      </c>
      <c r="H36" s="196">
        <v>0</v>
      </c>
      <c r="I36" s="185" t="s">
        <v>57</v>
      </c>
      <c r="J36" s="197">
        <v>663</v>
      </c>
      <c r="K36" s="172"/>
      <c r="L36" s="192"/>
      <c r="M36" s="192"/>
      <c r="N36" s="192"/>
      <c r="O36" s="192"/>
      <c r="P36" s="192"/>
      <c r="Q36" s="192"/>
    </row>
    <row r="37" spans="1:17" s="164" customFormat="1" ht="33.75" hidden="1">
      <c r="A37" s="180"/>
      <c r="B37" s="181">
        <v>1</v>
      </c>
      <c r="C37" s="182" t="s">
        <v>7</v>
      </c>
      <c r="D37" s="183">
        <v>12</v>
      </c>
      <c r="E37" s="3754" t="s">
        <v>153</v>
      </c>
      <c r="F37" s="3755"/>
      <c r="G37" s="184">
        <v>1</v>
      </c>
      <c r="H37" s="184">
        <v>0</v>
      </c>
      <c r="I37" s="236" t="s">
        <v>154</v>
      </c>
      <c r="J37" s="237">
        <v>664</v>
      </c>
      <c r="K37" s="172"/>
      <c r="L37" s="3787"/>
      <c r="M37" s="3787"/>
      <c r="N37" s="192"/>
      <c r="O37" s="192"/>
      <c r="P37" s="192"/>
      <c r="Q37" s="192"/>
    </row>
    <row r="38" spans="1:17" s="164" customFormat="1" ht="33.75" hidden="1" customHeight="1">
      <c r="A38" s="180"/>
      <c r="B38" s="181">
        <v>1</v>
      </c>
      <c r="C38" s="194">
        <v>1016</v>
      </c>
      <c r="D38" s="195">
        <v>8</v>
      </c>
      <c r="E38" s="3754" t="s">
        <v>90</v>
      </c>
      <c r="F38" s="3755"/>
      <c r="G38" s="184">
        <v>2</v>
      </c>
      <c r="H38" s="196">
        <v>0</v>
      </c>
      <c r="I38" s="185" t="s">
        <v>91</v>
      </c>
      <c r="J38" s="197">
        <v>674</v>
      </c>
      <c r="K38" s="172"/>
      <c r="L38" s="192"/>
      <c r="M38" s="192"/>
      <c r="N38" s="192"/>
      <c r="O38" s="192"/>
      <c r="P38" s="192"/>
      <c r="Q38" s="192"/>
    </row>
    <row r="39" spans="1:17" s="164" customFormat="1" ht="33.75" hidden="1" customHeight="1">
      <c r="A39" s="180"/>
      <c r="B39" s="181">
        <v>1</v>
      </c>
      <c r="C39" s="194">
        <v>1016</v>
      </c>
      <c r="D39" s="195">
        <v>8</v>
      </c>
      <c r="E39" s="3754" t="s">
        <v>44</v>
      </c>
      <c r="F39" s="3755"/>
      <c r="G39" s="184">
        <v>2</v>
      </c>
      <c r="H39" s="196">
        <v>0</v>
      </c>
      <c r="I39" s="185" t="s">
        <v>197</v>
      </c>
      <c r="J39" s="197">
        <v>674</v>
      </c>
      <c r="K39" s="172"/>
      <c r="L39" s="192"/>
      <c r="M39" s="192"/>
      <c r="N39" s="192"/>
      <c r="O39" s="192"/>
      <c r="P39" s="192"/>
      <c r="Q39" s="192"/>
    </row>
    <row r="40" spans="1:17" s="164" customFormat="1" ht="33.75" hidden="1" customHeight="1">
      <c r="A40" s="180"/>
      <c r="B40" s="181">
        <v>1</v>
      </c>
      <c r="C40" s="182" t="s">
        <v>7</v>
      </c>
      <c r="D40" s="183">
        <v>12</v>
      </c>
      <c r="E40" s="3771" t="s">
        <v>58</v>
      </c>
      <c r="F40" s="3772"/>
      <c r="G40" s="184">
        <v>2</v>
      </c>
      <c r="H40" s="255">
        <v>0</v>
      </c>
      <c r="I40" s="236" t="s">
        <v>59</v>
      </c>
      <c r="J40" s="197">
        <v>674</v>
      </c>
      <c r="K40" s="172"/>
      <c r="L40" s="192"/>
      <c r="M40" s="192"/>
      <c r="N40" s="192"/>
      <c r="O40" s="192"/>
      <c r="P40" s="192"/>
      <c r="Q40" s="192"/>
    </row>
    <row r="41" spans="1:17" s="164" customFormat="1" ht="33.75" customHeight="1">
      <c r="A41" s="180"/>
      <c r="B41" s="256">
        <v>1</v>
      </c>
      <c r="C41" s="194" t="s">
        <v>7</v>
      </c>
      <c r="D41" s="195">
        <v>11</v>
      </c>
      <c r="E41" s="3785" t="s">
        <v>285</v>
      </c>
      <c r="F41" s="3786"/>
      <c r="G41" s="257">
        <v>3</v>
      </c>
      <c r="H41" s="257">
        <v>0</v>
      </c>
      <c r="I41" s="258" t="s">
        <v>286</v>
      </c>
      <c r="J41" s="259">
        <v>184422</v>
      </c>
      <c r="K41" s="172"/>
      <c r="L41" s="187"/>
      <c r="M41" s="172"/>
      <c r="N41" s="172"/>
      <c r="O41" s="172"/>
      <c r="P41" s="172"/>
      <c r="Q41" s="172"/>
    </row>
    <row r="42" spans="1:17" s="164" customFormat="1" ht="33.75" hidden="1" customHeight="1">
      <c r="A42" s="180"/>
      <c r="B42" s="181">
        <v>1</v>
      </c>
      <c r="C42" s="182">
        <v>1016</v>
      </c>
      <c r="D42" s="183">
        <v>8</v>
      </c>
      <c r="E42" s="3771" t="s">
        <v>85</v>
      </c>
      <c r="F42" s="3772"/>
      <c r="G42" s="184">
        <v>2</v>
      </c>
      <c r="H42" s="184">
        <v>0</v>
      </c>
      <c r="I42" s="236" t="s">
        <v>86</v>
      </c>
      <c r="J42" s="237">
        <v>714</v>
      </c>
      <c r="K42" s="172"/>
      <c r="L42" s="172"/>
      <c r="M42" s="172"/>
      <c r="N42" s="172"/>
      <c r="O42" s="172"/>
      <c r="P42" s="172"/>
      <c r="Q42" s="172"/>
    </row>
    <row r="43" spans="1:17" s="164" customFormat="1" ht="33.75" hidden="1">
      <c r="A43" s="180"/>
      <c r="B43" s="181">
        <v>1</v>
      </c>
      <c r="C43" s="182" t="s">
        <v>7</v>
      </c>
      <c r="D43" s="183">
        <v>12</v>
      </c>
      <c r="E43" s="3777" t="s">
        <v>62</v>
      </c>
      <c r="F43" s="3778"/>
      <c r="G43" s="184">
        <v>2</v>
      </c>
      <c r="H43" s="184">
        <v>0</v>
      </c>
      <c r="I43" s="236" t="s">
        <v>63</v>
      </c>
      <c r="J43" s="237">
        <v>740</v>
      </c>
      <c r="K43" s="172"/>
      <c r="L43" s="192"/>
      <c r="M43" s="192"/>
      <c r="N43" s="192"/>
      <c r="O43" s="192"/>
      <c r="P43" s="192"/>
      <c r="Q43" s="192"/>
    </row>
    <row r="44" spans="1:17" s="164" customFormat="1" ht="33.75" hidden="1" customHeight="1">
      <c r="A44" s="180"/>
      <c r="B44" s="181">
        <v>1</v>
      </c>
      <c r="C44" s="229" t="s">
        <v>7</v>
      </c>
      <c r="D44" s="235">
        <v>12</v>
      </c>
      <c r="E44" s="3754" t="s">
        <v>224</v>
      </c>
      <c r="F44" s="3755"/>
      <c r="G44" s="196">
        <v>1</v>
      </c>
      <c r="H44" s="196">
        <v>0</v>
      </c>
      <c r="I44" s="185" t="s">
        <v>225</v>
      </c>
      <c r="J44" s="197">
        <v>782</v>
      </c>
      <c r="K44" s="172"/>
      <c r="L44" s="192"/>
      <c r="M44" s="192"/>
      <c r="N44" s="192"/>
      <c r="O44" s="192"/>
      <c r="P44" s="192"/>
      <c r="Q44" s="192"/>
    </row>
    <row r="45" spans="1:17" s="164" customFormat="1" ht="39" hidden="1" customHeight="1">
      <c r="A45" s="180"/>
      <c r="B45" s="181">
        <v>1</v>
      </c>
      <c r="C45" s="194">
        <v>1016</v>
      </c>
      <c r="D45" s="195">
        <v>8</v>
      </c>
      <c r="E45" s="3771" t="s">
        <v>88</v>
      </c>
      <c r="F45" s="3772"/>
      <c r="G45" s="184">
        <v>1</v>
      </c>
      <c r="H45" s="184">
        <v>0</v>
      </c>
      <c r="I45" s="236" t="s">
        <v>89</v>
      </c>
      <c r="J45" s="197">
        <v>799</v>
      </c>
      <c r="K45" s="172"/>
      <c r="L45" s="192"/>
      <c r="M45" s="192"/>
      <c r="N45" s="192"/>
      <c r="O45" s="192"/>
      <c r="P45" s="192"/>
      <c r="Q45" s="192"/>
    </row>
    <row r="46" spans="1:17" s="164" customFormat="1" ht="36" hidden="1" customHeight="1">
      <c r="A46" s="180"/>
      <c r="B46" s="260">
        <v>1</v>
      </c>
      <c r="C46" s="194" t="s">
        <v>7</v>
      </c>
      <c r="D46" s="195">
        <v>12</v>
      </c>
      <c r="E46" s="3781" t="s">
        <v>199</v>
      </c>
      <c r="F46" s="3782"/>
      <c r="G46" s="261">
        <v>2</v>
      </c>
      <c r="H46" s="261">
        <v>0</v>
      </c>
      <c r="I46" s="262" t="s">
        <v>200</v>
      </c>
      <c r="J46" s="263">
        <v>804</v>
      </c>
      <c r="K46" s="172"/>
      <c r="L46" s="172"/>
      <c r="M46" s="192"/>
      <c r="N46" s="192"/>
      <c r="O46" s="192"/>
      <c r="P46" s="192"/>
      <c r="Q46" s="192"/>
    </row>
    <row r="47" spans="1:17" s="164" customFormat="1" ht="39" hidden="1" customHeight="1">
      <c r="A47" s="180"/>
      <c r="B47" s="238">
        <v>1</v>
      </c>
      <c r="C47" s="264" t="s">
        <v>7</v>
      </c>
      <c r="D47" s="265">
        <v>12</v>
      </c>
      <c r="E47" s="3783" t="s">
        <v>68</v>
      </c>
      <c r="F47" s="3784"/>
      <c r="G47" s="266">
        <v>1</v>
      </c>
      <c r="H47" s="267">
        <v>0</v>
      </c>
      <c r="I47" s="268" t="s">
        <v>69</v>
      </c>
      <c r="J47" s="269">
        <v>808</v>
      </c>
      <c r="K47" s="172"/>
      <c r="L47" s="192"/>
      <c r="M47" s="192"/>
      <c r="N47" s="192"/>
      <c r="O47" s="192"/>
      <c r="P47" s="192"/>
      <c r="Q47" s="192"/>
    </row>
    <row r="48" spans="1:17" s="164" customFormat="1" ht="36" hidden="1" customHeight="1">
      <c r="A48" s="180"/>
      <c r="B48" s="181">
        <v>1</v>
      </c>
      <c r="C48" s="229">
        <v>1016</v>
      </c>
      <c r="D48" s="235">
        <v>6</v>
      </c>
      <c r="E48" s="3754" t="s">
        <v>139</v>
      </c>
      <c r="F48" s="3755"/>
      <c r="G48" s="196">
        <v>1</v>
      </c>
      <c r="H48" s="196">
        <v>0</v>
      </c>
      <c r="I48" s="185" t="s">
        <v>140</v>
      </c>
      <c r="J48" s="197">
        <v>809</v>
      </c>
      <c r="K48" s="172"/>
      <c r="L48" s="172"/>
      <c r="M48" s="192"/>
      <c r="N48" s="192"/>
      <c r="O48" s="192"/>
      <c r="P48" s="192"/>
      <c r="Q48" s="192"/>
    </row>
    <row r="49" spans="1:17" s="164" customFormat="1" ht="36" hidden="1" customHeight="1">
      <c r="A49" s="180"/>
      <c r="B49" s="270">
        <v>1</v>
      </c>
      <c r="C49" s="271" t="s">
        <v>7</v>
      </c>
      <c r="D49" s="272">
        <v>12</v>
      </c>
      <c r="E49" s="3767" t="s">
        <v>305</v>
      </c>
      <c r="F49" s="3768"/>
      <c r="G49" s="273">
        <v>1</v>
      </c>
      <c r="H49" s="273">
        <v>0</v>
      </c>
      <c r="I49" s="227" t="s">
        <v>193</v>
      </c>
      <c r="J49" s="274">
        <v>184212</v>
      </c>
      <c r="K49" s="172"/>
      <c r="L49" s="172"/>
      <c r="M49" s="192"/>
      <c r="N49" s="192"/>
      <c r="O49" s="192"/>
      <c r="P49" s="192"/>
      <c r="Q49" s="192"/>
    </row>
    <row r="50" spans="1:17" ht="38.25" hidden="1" customHeight="1">
      <c r="B50" s="198">
        <v>1</v>
      </c>
      <c r="C50" s="271" t="s">
        <v>7</v>
      </c>
      <c r="D50" s="272">
        <v>12</v>
      </c>
      <c r="E50" s="3775" t="s">
        <v>74</v>
      </c>
      <c r="F50" s="3776"/>
      <c r="G50" s="275">
        <v>1</v>
      </c>
      <c r="H50" s="275">
        <v>0</v>
      </c>
      <c r="I50" s="276" t="s">
        <v>75</v>
      </c>
      <c r="J50" s="277">
        <v>184328</v>
      </c>
      <c r="K50" s="192"/>
      <c r="L50" s="192"/>
      <c r="M50" s="192"/>
      <c r="N50" s="192"/>
      <c r="O50" s="192"/>
      <c r="P50" s="192"/>
      <c r="Q50" s="192"/>
    </row>
    <row r="51" spans="1:17" s="164" customFormat="1" ht="33.75" customHeight="1">
      <c r="A51" s="180"/>
      <c r="B51" s="198">
        <v>1</v>
      </c>
      <c r="C51" s="194" t="s">
        <v>7</v>
      </c>
      <c r="D51" s="195">
        <v>12</v>
      </c>
      <c r="E51" s="3754" t="s">
        <v>155</v>
      </c>
      <c r="F51" s="3755"/>
      <c r="G51" s="196">
        <v>2</v>
      </c>
      <c r="H51" s="196">
        <v>2</v>
      </c>
      <c r="I51" s="185" t="s">
        <v>156</v>
      </c>
      <c r="J51" s="197">
        <v>184446</v>
      </c>
      <c r="K51" s="172"/>
      <c r="L51" s="192"/>
      <c r="M51" s="192"/>
      <c r="N51" s="192"/>
      <c r="O51" s="192"/>
      <c r="P51" s="192"/>
      <c r="Q51" s="192"/>
    </row>
    <row r="52" spans="1:17" ht="32.25" customHeight="1">
      <c r="A52" s="1"/>
      <c r="B52" s="181">
        <v>1</v>
      </c>
      <c r="C52" s="194" t="s">
        <v>7</v>
      </c>
      <c r="D52" s="194">
        <v>12</v>
      </c>
      <c r="E52" s="3777" t="s">
        <v>66</v>
      </c>
      <c r="F52" s="3778"/>
      <c r="G52" s="278">
        <v>2</v>
      </c>
      <c r="H52" s="196">
        <v>0</v>
      </c>
      <c r="I52" s="279" t="s">
        <v>67</v>
      </c>
      <c r="J52" s="280">
        <v>184461</v>
      </c>
      <c r="K52" s="172"/>
      <c r="L52" s="192"/>
      <c r="M52" s="192"/>
      <c r="N52" s="192"/>
      <c r="O52" s="192"/>
      <c r="P52" s="192"/>
      <c r="Q52" s="192"/>
    </row>
    <row r="53" spans="1:17" ht="32.25" hidden="1" customHeight="1">
      <c r="A53" s="1"/>
      <c r="B53" s="238">
        <v>1</v>
      </c>
      <c r="C53" s="281">
        <v>1016</v>
      </c>
      <c r="D53" s="281">
        <v>10</v>
      </c>
      <c r="E53" s="3779" t="s">
        <v>72</v>
      </c>
      <c r="F53" s="3780"/>
      <c r="G53" s="282">
        <v>2</v>
      </c>
      <c r="H53" s="283">
        <v>0</v>
      </c>
      <c r="I53" s="284" t="s">
        <v>73</v>
      </c>
      <c r="J53" s="285">
        <v>184090</v>
      </c>
      <c r="K53" s="172"/>
      <c r="L53" s="192"/>
      <c r="M53" s="192"/>
      <c r="N53" s="192"/>
      <c r="O53" s="192"/>
      <c r="P53" s="192"/>
      <c r="Q53" s="192"/>
    </row>
    <row r="54" spans="1:17" s="164" customFormat="1" ht="34.5" hidden="1" customHeight="1">
      <c r="A54" s="180"/>
      <c r="B54" s="181">
        <v>1</v>
      </c>
      <c r="C54" s="182">
        <v>1016</v>
      </c>
      <c r="D54" s="183">
        <v>8</v>
      </c>
      <c r="E54" s="3771" t="s">
        <v>345</v>
      </c>
      <c r="F54" s="3772"/>
      <c r="G54" s="184">
        <v>2</v>
      </c>
      <c r="H54" s="184">
        <v>0</v>
      </c>
      <c r="I54" s="185" t="s">
        <v>325</v>
      </c>
      <c r="J54" s="186">
        <v>294</v>
      </c>
      <c r="K54" s="187"/>
      <c r="L54" s="187"/>
      <c r="M54" s="192"/>
      <c r="N54" s="193"/>
      <c r="O54" s="193"/>
      <c r="P54" s="193"/>
      <c r="Q54" s="193"/>
    </row>
    <row r="55" spans="1:17" s="164" customFormat="1" ht="34.5" hidden="1" customHeight="1">
      <c r="A55" s="180"/>
      <c r="B55" s="238">
        <v>1</v>
      </c>
      <c r="C55" s="239" t="s">
        <v>9</v>
      </c>
      <c r="D55" s="240">
        <v>3</v>
      </c>
      <c r="E55" s="241" t="s">
        <v>346</v>
      </c>
      <c r="F55" s="242"/>
      <c r="G55" s="243">
        <v>2</v>
      </c>
      <c r="H55" s="243">
        <v>0</v>
      </c>
      <c r="I55" s="286" t="s">
        <v>347</v>
      </c>
      <c r="J55" s="287">
        <v>801</v>
      </c>
      <c r="K55" s="187"/>
      <c r="L55" s="187"/>
      <c r="M55" s="192"/>
      <c r="N55" s="193"/>
      <c r="O55" s="193"/>
      <c r="P55" s="193"/>
      <c r="Q55" s="193"/>
    </row>
    <row r="56" spans="1:17" ht="39" hidden="1" customHeight="1">
      <c r="B56" s="238">
        <v>1</v>
      </c>
      <c r="C56" s="264">
        <v>1016</v>
      </c>
      <c r="D56" s="265">
        <v>10</v>
      </c>
      <c r="E56" s="3773" t="s">
        <v>348</v>
      </c>
      <c r="F56" s="3774"/>
      <c r="G56" s="288">
        <v>1</v>
      </c>
      <c r="H56" s="289">
        <v>0</v>
      </c>
      <c r="I56" s="290" t="s">
        <v>349</v>
      </c>
      <c r="J56" s="291">
        <v>444</v>
      </c>
    </row>
    <row r="57" spans="1:17" s="164" customFormat="1" ht="38.25" hidden="1" customHeight="1">
      <c r="A57" s="180"/>
      <c r="B57" s="250">
        <v>1</v>
      </c>
      <c r="C57" s="229">
        <v>1016</v>
      </c>
      <c r="D57" s="235">
        <v>8</v>
      </c>
      <c r="E57" s="3771" t="s">
        <v>350</v>
      </c>
      <c r="F57" s="3772"/>
      <c r="G57" s="184">
        <v>2</v>
      </c>
      <c r="H57" s="196">
        <v>0</v>
      </c>
      <c r="I57" s="185" t="s">
        <v>142</v>
      </c>
      <c r="J57" s="197">
        <v>605</v>
      </c>
      <c r="K57" s="172"/>
      <c r="L57" s="192"/>
      <c r="M57" s="192"/>
      <c r="N57" s="249"/>
      <c r="O57" s="249"/>
      <c r="P57" s="249"/>
      <c r="Q57" s="249"/>
    </row>
    <row r="58" spans="1:17" ht="31.5" hidden="1" customHeight="1">
      <c r="B58" s="181">
        <v>1</v>
      </c>
      <c r="C58" s="194" t="s">
        <v>7</v>
      </c>
      <c r="D58" s="195">
        <v>12</v>
      </c>
      <c r="E58" s="3754" t="s">
        <v>300</v>
      </c>
      <c r="F58" s="3755"/>
      <c r="G58" s="196">
        <v>2</v>
      </c>
      <c r="H58" s="196">
        <v>0</v>
      </c>
      <c r="I58" s="185" t="s">
        <v>351</v>
      </c>
      <c r="J58" s="197">
        <v>606</v>
      </c>
    </row>
    <row r="59" spans="1:17" ht="31.5" hidden="1" customHeight="1">
      <c r="B59" s="181">
        <v>1</v>
      </c>
      <c r="C59" s="194" t="s">
        <v>6</v>
      </c>
      <c r="D59" s="195">
        <v>16</v>
      </c>
      <c r="E59" s="3754" t="s">
        <v>303</v>
      </c>
      <c r="F59" s="3755"/>
      <c r="G59" s="196">
        <v>2</v>
      </c>
      <c r="H59" s="196">
        <v>0</v>
      </c>
      <c r="I59" s="185" t="s">
        <v>82</v>
      </c>
      <c r="J59" s="197">
        <v>606</v>
      </c>
    </row>
    <row r="60" spans="1:17" ht="32.25" hidden="1" customHeight="1">
      <c r="B60" s="181">
        <v>1</v>
      </c>
      <c r="C60" s="194">
        <v>1016</v>
      </c>
      <c r="D60" s="195">
        <v>8</v>
      </c>
      <c r="E60" s="3754" t="s">
        <v>278</v>
      </c>
      <c r="F60" s="3755"/>
      <c r="G60" s="196">
        <v>2</v>
      </c>
      <c r="H60" s="196">
        <v>0</v>
      </c>
      <c r="I60" s="185" t="s">
        <v>302</v>
      </c>
      <c r="J60" s="197">
        <v>606</v>
      </c>
    </row>
    <row r="61" spans="1:17" ht="31.5" hidden="1" customHeight="1">
      <c r="B61" s="181">
        <v>1</v>
      </c>
      <c r="C61" s="194" t="s">
        <v>7</v>
      </c>
      <c r="D61" s="195">
        <v>12</v>
      </c>
      <c r="E61" s="3754" t="s">
        <v>76</v>
      </c>
      <c r="F61" s="3755"/>
      <c r="G61" s="196">
        <v>1</v>
      </c>
      <c r="H61" s="196">
        <v>1</v>
      </c>
      <c r="I61" s="185" t="s">
        <v>77</v>
      </c>
      <c r="J61" s="197">
        <v>184708</v>
      </c>
    </row>
    <row r="62" spans="1:17" ht="31.5" customHeight="1">
      <c r="B62" s="181">
        <v>1</v>
      </c>
      <c r="C62" s="194" t="s">
        <v>6</v>
      </c>
      <c r="D62" s="195">
        <v>14</v>
      </c>
      <c r="E62" s="3754" t="s">
        <v>143</v>
      </c>
      <c r="F62" s="3755"/>
      <c r="G62" s="196">
        <v>1</v>
      </c>
      <c r="H62" s="196">
        <v>1</v>
      </c>
      <c r="I62" s="185" t="s">
        <v>69</v>
      </c>
      <c r="J62" s="197">
        <v>184422</v>
      </c>
    </row>
    <row r="63" spans="1:17" ht="31.5" hidden="1" customHeight="1">
      <c r="B63" s="188">
        <v>1</v>
      </c>
      <c r="C63" s="194" t="s">
        <v>7</v>
      </c>
      <c r="D63" s="195">
        <v>12</v>
      </c>
      <c r="E63" s="3769" t="s">
        <v>352</v>
      </c>
      <c r="F63" s="3770"/>
      <c r="G63" s="261">
        <v>1</v>
      </c>
      <c r="H63" s="261">
        <v>1</v>
      </c>
      <c r="I63" s="190" t="s">
        <v>353</v>
      </c>
      <c r="J63" s="292">
        <v>516</v>
      </c>
    </row>
    <row r="64" spans="1:17" ht="31.5" hidden="1" customHeight="1">
      <c r="B64" s="293">
        <v>1</v>
      </c>
      <c r="C64" s="294" t="s">
        <v>7</v>
      </c>
      <c r="D64" s="295">
        <v>10</v>
      </c>
      <c r="E64" s="3765" t="s">
        <v>241</v>
      </c>
      <c r="F64" s="3766"/>
      <c r="G64" s="296">
        <v>1</v>
      </c>
      <c r="H64" s="296">
        <v>1</v>
      </c>
      <c r="I64" s="297" t="s">
        <v>354</v>
      </c>
      <c r="J64" s="298">
        <v>353</v>
      </c>
    </row>
    <row r="65" spans="1:17" ht="31.5" hidden="1" customHeight="1">
      <c r="B65" s="293">
        <v>1</v>
      </c>
      <c r="C65" s="294" t="s">
        <v>7</v>
      </c>
      <c r="D65" s="295">
        <v>10</v>
      </c>
      <c r="E65" s="3765" t="s">
        <v>40</v>
      </c>
      <c r="F65" s="3766"/>
      <c r="G65" s="296">
        <v>1</v>
      </c>
      <c r="H65" s="296">
        <v>1</v>
      </c>
      <c r="I65" s="297" t="s">
        <v>355</v>
      </c>
      <c r="J65" s="298">
        <v>353</v>
      </c>
    </row>
    <row r="66" spans="1:17" ht="31.5" hidden="1" customHeight="1">
      <c r="B66" s="293">
        <v>1</v>
      </c>
      <c r="C66" s="294" t="s">
        <v>7</v>
      </c>
      <c r="D66" s="295">
        <v>10</v>
      </c>
      <c r="E66" s="3765" t="s">
        <v>216</v>
      </c>
      <c r="F66" s="3766"/>
      <c r="G66" s="296">
        <v>1</v>
      </c>
      <c r="H66" s="296">
        <v>1</v>
      </c>
      <c r="I66" s="297" t="s">
        <v>356</v>
      </c>
      <c r="J66" s="298">
        <v>353</v>
      </c>
    </row>
    <row r="67" spans="1:17" ht="31.5" hidden="1" customHeight="1">
      <c r="B67" s="293">
        <v>1</v>
      </c>
      <c r="C67" s="294" t="s">
        <v>7</v>
      </c>
      <c r="D67" s="295">
        <v>10</v>
      </c>
      <c r="E67" s="3765" t="s">
        <v>357</v>
      </c>
      <c r="F67" s="3766"/>
      <c r="G67" s="296">
        <v>1</v>
      </c>
      <c r="H67" s="296">
        <v>1</v>
      </c>
      <c r="I67" s="297" t="s">
        <v>358</v>
      </c>
      <c r="J67" s="298">
        <v>353</v>
      </c>
    </row>
    <row r="68" spans="1:17" ht="31.5" hidden="1" customHeight="1">
      <c r="B68" s="293">
        <v>1</v>
      </c>
      <c r="C68" s="294" t="s">
        <v>7</v>
      </c>
      <c r="D68" s="295">
        <v>10</v>
      </c>
      <c r="E68" s="3765" t="s">
        <v>359</v>
      </c>
      <c r="F68" s="3766"/>
      <c r="G68" s="296">
        <v>1</v>
      </c>
      <c r="H68" s="296">
        <v>1</v>
      </c>
      <c r="I68" s="297" t="s">
        <v>360</v>
      </c>
      <c r="J68" s="298">
        <v>353</v>
      </c>
    </row>
    <row r="69" spans="1:17" ht="31.5" hidden="1" customHeight="1">
      <c r="B69" s="293">
        <v>1</v>
      </c>
      <c r="C69" s="294" t="s">
        <v>7</v>
      </c>
      <c r="D69" s="295">
        <v>10</v>
      </c>
      <c r="E69" s="3765" t="s">
        <v>361</v>
      </c>
      <c r="F69" s="3766"/>
      <c r="G69" s="296">
        <v>1</v>
      </c>
      <c r="H69" s="296">
        <v>1</v>
      </c>
      <c r="I69" s="297" t="s">
        <v>362</v>
      </c>
      <c r="J69" s="298">
        <v>353</v>
      </c>
    </row>
    <row r="70" spans="1:17" ht="31.5" hidden="1" customHeight="1">
      <c r="B70" s="293">
        <v>1</v>
      </c>
      <c r="C70" s="294" t="s">
        <v>7</v>
      </c>
      <c r="D70" s="295">
        <v>10</v>
      </c>
      <c r="E70" s="3765" t="s">
        <v>148</v>
      </c>
      <c r="F70" s="3766"/>
      <c r="G70" s="296">
        <v>1</v>
      </c>
      <c r="H70" s="296">
        <v>1</v>
      </c>
      <c r="I70" s="297" t="s">
        <v>363</v>
      </c>
      <c r="J70" s="298">
        <v>353</v>
      </c>
    </row>
    <row r="71" spans="1:17" ht="31.5" hidden="1" customHeight="1">
      <c r="B71" s="293">
        <v>1</v>
      </c>
      <c r="C71" s="294" t="s">
        <v>7</v>
      </c>
      <c r="D71" s="295">
        <v>10</v>
      </c>
      <c r="E71" s="3765" t="s">
        <v>364</v>
      </c>
      <c r="F71" s="3766"/>
      <c r="G71" s="296">
        <v>1</v>
      </c>
      <c r="H71" s="296">
        <v>1</v>
      </c>
      <c r="I71" s="297" t="s">
        <v>365</v>
      </c>
      <c r="J71" s="298">
        <v>353</v>
      </c>
    </row>
    <row r="72" spans="1:17" ht="31.5" hidden="1" customHeight="1">
      <c r="B72" s="293">
        <v>1</v>
      </c>
      <c r="C72" s="294" t="s">
        <v>7</v>
      </c>
      <c r="D72" s="295">
        <v>10</v>
      </c>
      <c r="E72" s="3765" t="s">
        <v>144</v>
      </c>
      <c r="F72" s="3766"/>
      <c r="G72" s="296">
        <v>1</v>
      </c>
      <c r="H72" s="296">
        <v>1</v>
      </c>
      <c r="I72" s="297" t="s">
        <v>366</v>
      </c>
      <c r="J72" s="298">
        <v>353</v>
      </c>
    </row>
    <row r="73" spans="1:17" ht="31.5" hidden="1" customHeight="1">
      <c r="B73" s="293">
        <v>1</v>
      </c>
      <c r="C73" s="294" t="s">
        <v>7</v>
      </c>
      <c r="D73" s="295">
        <v>10</v>
      </c>
      <c r="E73" s="3765" t="s">
        <v>287</v>
      </c>
      <c r="F73" s="3766"/>
      <c r="G73" s="296">
        <v>1</v>
      </c>
      <c r="H73" s="296">
        <v>1</v>
      </c>
      <c r="I73" s="297" t="s">
        <v>367</v>
      </c>
      <c r="J73" s="298">
        <v>353</v>
      </c>
    </row>
    <row r="74" spans="1:17" ht="31.5" hidden="1" customHeight="1">
      <c r="B74" s="293">
        <v>1</v>
      </c>
      <c r="C74" s="294" t="s">
        <v>7</v>
      </c>
      <c r="D74" s="295">
        <v>10</v>
      </c>
      <c r="E74" s="3765" t="s">
        <v>368</v>
      </c>
      <c r="F74" s="3766"/>
      <c r="G74" s="296"/>
      <c r="H74" s="296"/>
      <c r="I74" s="297"/>
      <c r="J74" s="298">
        <v>353</v>
      </c>
    </row>
    <row r="75" spans="1:17" ht="31.5" hidden="1" customHeight="1">
      <c r="B75" s="293">
        <v>1</v>
      </c>
      <c r="C75" s="294" t="s">
        <v>7</v>
      </c>
      <c r="D75" s="295">
        <v>10</v>
      </c>
      <c r="E75" s="3765" t="s">
        <v>369</v>
      </c>
      <c r="F75" s="3766"/>
      <c r="G75" s="296"/>
      <c r="H75" s="296"/>
      <c r="I75" s="297"/>
      <c r="J75" s="298">
        <v>353</v>
      </c>
    </row>
    <row r="76" spans="1:17" ht="31.5" hidden="1" customHeight="1">
      <c r="B76" s="293">
        <v>1</v>
      </c>
      <c r="C76" s="294" t="s">
        <v>7</v>
      </c>
      <c r="D76" s="295">
        <v>10</v>
      </c>
      <c r="E76" s="3765" t="s">
        <v>370</v>
      </c>
      <c r="F76" s="3766"/>
      <c r="G76" s="296"/>
      <c r="H76" s="296"/>
      <c r="I76" s="297"/>
      <c r="J76" s="298">
        <v>353</v>
      </c>
    </row>
    <row r="77" spans="1:17" s="164" customFormat="1" ht="36" hidden="1" customHeight="1">
      <c r="A77" s="180"/>
      <c r="B77" s="270">
        <v>1</v>
      </c>
      <c r="C77" s="271" t="s">
        <v>6</v>
      </c>
      <c r="D77" s="272">
        <v>14</v>
      </c>
      <c r="E77" s="3767" t="s">
        <v>192</v>
      </c>
      <c r="F77" s="3768"/>
      <c r="G77" s="273">
        <v>1</v>
      </c>
      <c r="H77" s="273">
        <v>0</v>
      </c>
      <c r="I77" s="227" t="s">
        <v>193</v>
      </c>
      <c r="J77" s="274">
        <v>808</v>
      </c>
      <c r="K77" s="172"/>
      <c r="L77" s="172"/>
      <c r="M77" s="192"/>
      <c r="N77" s="192"/>
      <c r="O77" s="192"/>
      <c r="P77" s="192"/>
      <c r="Q77" s="192"/>
    </row>
    <row r="78" spans="1:17" s="164" customFormat="1" ht="36" customHeight="1">
      <c r="A78" s="180"/>
      <c r="B78" s="270">
        <v>1</v>
      </c>
      <c r="C78" s="271" t="s">
        <v>6</v>
      </c>
      <c r="D78" s="272">
        <v>14</v>
      </c>
      <c r="E78" s="3767" t="s">
        <v>220</v>
      </c>
      <c r="F78" s="3768"/>
      <c r="G78" s="273">
        <v>1</v>
      </c>
      <c r="H78" s="273">
        <v>0</v>
      </c>
      <c r="I78" s="227" t="s">
        <v>221</v>
      </c>
      <c r="J78" s="274">
        <v>184422</v>
      </c>
      <c r="K78" s="172"/>
      <c r="L78" s="172"/>
      <c r="M78" s="192"/>
      <c r="N78" s="192"/>
      <c r="O78" s="192"/>
      <c r="P78" s="192"/>
      <c r="Q78" s="192"/>
    </row>
    <row r="79" spans="1:17" s="164" customFormat="1" ht="33.75" hidden="1" customHeight="1">
      <c r="A79" s="180"/>
      <c r="B79" s="198">
        <v>1</v>
      </c>
      <c r="C79" s="194">
        <v>1016</v>
      </c>
      <c r="D79" s="195">
        <v>6</v>
      </c>
      <c r="E79" s="3754" t="s">
        <v>203</v>
      </c>
      <c r="F79" s="3755"/>
      <c r="G79" s="196">
        <v>1</v>
      </c>
      <c r="H79" s="196">
        <v>0</v>
      </c>
      <c r="I79" s="185" t="s">
        <v>204</v>
      </c>
      <c r="J79" s="197">
        <v>807</v>
      </c>
      <c r="K79" s="172"/>
      <c r="L79" s="192"/>
      <c r="M79" s="192"/>
      <c r="N79" s="192"/>
      <c r="O79" s="192"/>
      <c r="P79" s="192"/>
      <c r="Q79" s="192"/>
    </row>
    <row r="80" spans="1:17" s="164" customFormat="1" ht="33.75">
      <c r="A80" s="180"/>
      <c r="B80" s="181">
        <v>1</v>
      </c>
      <c r="C80" s="194" t="s">
        <v>7</v>
      </c>
      <c r="D80" s="195">
        <v>12</v>
      </c>
      <c r="E80" s="3754" t="s">
        <v>94</v>
      </c>
      <c r="F80" s="3755"/>
      <c r="G80" s="196">
        <v>1</v>
      </c>
      <c r="H80" s="196">
        <v>1</v>
      </c>
      <c r="I80" s="185" t="s">
        <v>95</v>
      </c>
      <c r="J80" s="197">
        <v>184422</v>
      </c>
      <c r="K80" s="172"/>
      <c r="L80" s="192"/>
      <c r="M80" s="192"/>
      <c r="N80" s="192"/>
      <c r="O80" s="192"/>
      <c r="P80" s="192"/>
      <c r="Q80" s="192"/>
    </row>
  </sheetData>
  <autoFilter ref="B2:J80" xr:uid="{00000000-0009-0000-0000-000002000000}">
    <filterColumn colId="8">
      <filters>
        <filter val="184422"/>
        <filter val="184446"/>
        <filter val="184458"/>
        <filter val="184461"/>
      </filters>
    </filterColumn>
  </autoFilter>
  <mergeCells count="82">
    <mergeCell ref="E2:F2"/>
    <mergeCell ref="E3:F3"/>
    <mergeCell ref="E4:F4"/>
    <mergeCell ref="K4:L4"/>
    <mergeCell ref="E5:F5"/>
    <mergeCell ref="E6:F6"/>
    <mergeCell ref="E7:F7"/>
    <mergeCell ref="E8:F8"/>
    <mergeCell ref="E9:F9"/>
    <mergeCell ref="E10:F10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L27:Q27"/>
    <mergeCell ref="E28:F28"/>
    <mergeCell ref="L28:Q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L37:M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6:F56"/>
    <mergeCell ref="E57:F57"/>
    <mergeCell ref="E58:F58"/>
    <mergeCell ref="E59:F59"/>
    <mergeCell ref="E69:F69"/>
    <mergeCell ref="E60:F60"/>
    <mergeCell ref="E61:F61"/>
    <mergeCell ref="E62:F62"/>
    <mergeCell ref="E63:F63"/>
    <mergeCell ref="E64:F64"/>
    <mergeCell ref="E80:F80"/>
    <mergeCell ref="M2:P4"/>
    <mergeCell ref="E75:F75"/>
    <mergeCell ref="E76:F76"/>
    <mergeCell ref="E77:F77"/>
    <mergeCell ref="E78:F78"/>
    <mergeCell ref="E79:F79"/>
    <mergeCell ref="E70:F70"/>
    <mergeCell ref="E71:F71"/>
    <mergeCell ref="E72:F72"/>
    <mergeCell ref="E73:F73"/>
    <mergeCell ref="E74:F74"/>
    <mergeCell ref="E65:F65"/>
    <mergeCell ref="E66:F66"/>
    <mergeCell ref="E67:F67"/>
    <mergeCell ref="E68:F68"/>
  </mergeCells>
  <pageMargins left="0.511811024" right="0.511811024" top="0.78740157499999996" bottom="0.78740157499999996" header="0.31496062000000002" footer="0.31496062000000002"/>
  <pageSetup paperSize="9" scale="47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B1:K251"/>
  <sheetViews>
    <sheetView topLeftCell="A5" zoomScale="80" zoomScaleNormal="80" workbookViewId="0">
      <selection activeCell="B4" sqref="B4:C4"/>
    </sheetView>
  </sheetViews>
  <sheetFormatPr defaultColWidth="9.140625" defaultRowHeight="15"/>
  <cols>
    <col min="1" max="1" width="0.7109375" style="1" customWidth="1"/>
    <col min="2" max="2" width="15.7109375" style="1" customWidth="1"/>
    <col min="3" max="3" width="73" style="1" customWidth="1"/>
    <col min="4" max="4" width="1.85546875" style="1" customWidth="1"/>
    <col min="5" max="5" width="15.7109375" style="1" customWidth="1"/>
    <col min="6" max="6" width="70.7109375" style="1" customWidth="1"/>
    <col min="7" max="8" width="9.140625" style="1"/>
    <col min="9" max="9" width="19.140625" style="1" customWidth="1"/>
    <col min="10" max="10" width="11.85546875" style="1" customWidth="1"/>
    <col min="11" max="11" width="16.85546875" style="1" customWidth="1"/>
    <col min="12" max="16384" width="9.140625" style="1"/>
  </cols>
  <sheetData>
    <row r="1" spans="2:11" ht="6.75" customHeight="1"/>
    <row r="2" spans="2:11" ht="26.25">
      <c r="B2" s="3811" t="s">
        <v>371</v>
      </c>
      <c r="C2" s="3812"/>
      <c r="E2" s="3811" t="s">
        <v>371</v>
      </c>
      <c r="F2" s="3812"/>
    </row>
    <row r="3" spans="2:11" ht="3.75" customHeight="1">
      <c r="B3" s="3813"/>
      <c r="C3" s="3814"/>
      <c r="E3" s="3814"/>
      <c r="F3" s="3814"/>
    </row>
    <row r="4" spans="2:11" ht="31.5">
      <c r="B4" s="146" t="s">
        <v>372</v>
      </c>
      <c r="C4" s="146" t="s">
        <v>373</v>
      </c>
      <c r="D4" s="147"/>
      <c r="E4" s="148" t="s">
        <v>374</v>
      </c>
      <c r="F4" s="148" t="s">
        <v>375</v>
      </c>
      <c r="G4" s="147"/>
      <c r="H4" s="147"/>
      <c r="I4" s="147"/>
      <c r="J4" s="147"/>
      <c r="K4" s="147"/>
    </row>
    <row r="5" spans="2:11" ht="31.5">
      <c r="B5" s="148" t="s">
        <v>376</v>
      </c>
      <c r="C5" s="148" t="s">
        <v>377</v>
      </c>
      <c r="E5" s="149" t="s">
        <v>378</v>
      </c>
      <c r="F5" s="149" t="s">
        <v>379</v>
      </c>
    </row>
    <row r="6" spans="2:11" ht="31.5">
      <c r="B6" s="149" t="s">
        <v>380</v>
      </c>
      <c r="C6" s="149" t="s">
        <v>381</v>
      </c>
      <c r="E6" s="148" t="s">
        <v>382</v>
      </c>
      <c r="F6" s="148" t="s">
        <v>383</v>
      </c>
    </row>
    <row r="7" spans="2:11" ht="31.5">
      <c r="B7" s="148" t="s">
        <v>384</v>
      </c>
      <c r="C7" s="148" t="s">
        <v>385</v>
      </c>
      <c r="E7" s="149" t="s">
        <v>386</v>
      </c>
      <c r="F7" s="149" t="s">
        <v>387</v>
      </c>
    </row>
    <row r="8" spans="2:11" ht="31.5">
      <c r="B8" s="149" t="s">
        <v>388</v>
      </c>
      <c r="C8" s="149" t="s">
        <v>389</v>
      </c>
      <c r="E8" s="148" t="s">
        <v>390</v>
      </c>
      <c r="F8" s="148" t="s">
        <v>391</v>
      </c>
    </row>
    <row r="9" spans="2:11" ht="31.5">
      <c r="B9" s="148" t="s">
        <v>392</v>
      </c>
      <c r="C9" s="148" t="s">
        <v>393</v>
      </c>
      <c r="E9" s="149" t="s">
        <v>394</v>
      </c>
      <c r="F9" s="149" t="s">
        <v>395</v>
      </c>
    </row>
    <row r="10" spans="2:11" ht="31.5">
      <c r="B10" s="149" t="s">
        <v>396</v>
      </c>
      <c r="C10" s="149" t="s">
        <v>397</v>
      </c>
      <c r="E10" s="148" t="s">
        <v>398</v>
      </c>
      <c r="F10" s="148" t="s">
        <v>399</v>
      </c>
    </row>
    <row r="11" spans="2:11" ht="31.5">
      <c r="B11" s="148" t="s">
        <v>400</v>
      </c>
      <c r="C11" s="148" t="s">
        <v>401</v>
      </c>
      <c r="E11" s="149" t="s">
        <v>402</v>
      </c>
      <c r="F11" s="149" t="s">
        <v>403</v>
      </c>
    </row>
    <row r="12" spans="2:11" ht="31.5">
      <c r="B12" s="149" t="s">
        <v>404</v>
      </c>
      <c r="C12" s="149" t="s">
        <v>405</v>
      </c>
      <c r="E12" s="148" t="s">
        <v>406</v>
      </c>
      <c r="F12" s="148" t="s">
        <v>407</v>
      </c>
    </row>
    <row r="13" spans="2:11" ht="31.5">
      <c r="B13" s="148" t="s">
        <v>408</v>
      </c>
      <c r="C13" s="148" t="s">
        <v>409</v>
      </c>
      <c r="E13" s="149" t="s">
        <v>410</v>
      </c>
      <c r="F13" s="149" t="s">
        <v>411</v>
      </c>
    </row>
    <row r="14" spans="2:11" ht="31.5">
      <c r="B14" s="149" t="s">
        <v>412</v>
      </c>
      <c r="C14" s="149" t="s">
        <v>413</v>
      </c>
      <c r="E14" s="148" t="s">
        <v>414</v>
      </c>
      <c r="F14" s="148" t="s">
        <v>415</v>
      </c>
    </row>
    <row r="15" spans="2:11" ht="31.5">
      <c r="B15" s="148" t="s">
        <v>416</v>
      </c>
      <c r="C15" s="148" t="s">
        <v>417</v>
      </c>
      <c r="E15" s="149" t="s">
        <v>418</v>
      </c>
      <c r="F15" s="149" t="s">
        <v>419</v>
      </c>
    </row>
    <row r="16" spans="2:11" ht="31.5">
      <c r="B16" s="149" t="s">
        <v>420</v>
      </c>
      <c r="C16" s="149" t="s">
        <v>421</v>
      </c>
      <c r="E16" s="148" t="s">
        <v>422</v>
      </c>
      <c r="F16" s="148" t="s">
        <v>423</v>
      </c>
    </row>
    <row r="17" spans="2:6" ht="31.5">
      <c r="B17" s="148" t="s">
        <v>424</v>
      </c>
      <c r="C17" s="148" t="s">
        <v>425</v>
      </c>
      <c r="E17" s="149" t="s">
        <v>426</v>
      </c>
      <c r="F17" s="149" t="s">
        <v>427</v>
      </c>
    </row>
    <row r="18" spans="2:6" ht="31.5">
      <c r="B18" s="149" t="s">
        <v>428</v>
      </c>
      <c r="C18" s="149" t="s">
        <v>429</v>
      </c>
      <c r="E18" s="148" t="s">
        <v>430</v>
      </c>
      <c r="F18" s="148" t="s">
        <v>431</v>
      </c>
    </row>
    <row r="19" spans="2:6" ht="31.5">
      <c r="B19" s="148" t="s">
        <v>432</v>
      </c>
      <c r="C19" s="148" t="s">
        <v>433</v>
      </c>
      <c r="E19" s="149" t="s">
        <v>434</v>
      </c>
      <c r="F19" s="149" t="s">
        <v>435</v>
      </c>
    </row>
    <row r="20" spans="2:6" ht="44.25" customHeight="1">
      <c r="B20" s="149" t="s">
        <v>436</v>
      </c>
      <c r="C20" s="149" t="s">
        <v>437</v>
      </c>
      <c r="E20" s="150" t="s">
        <v>438</v>
      </c>
      <c r="F20" s="148" t="s">
        <v>439</v>
      </c>
    </row>
    <row r="21" spans="2:6" ht="47.25">
      <c r="B21" s="148" t="s">
        <v>440</v>
      </c>
      <c r="C21" s="148" t="s">
        <v>441</v>
      </c>
      <c r="E21" s="151" t="s">
        <v>442</v>
      </c>
      <c r="F21" s="152" t="s">
        <v>443</v>
      </c>
    </row>
    <row r="22" spans="2:6" ht="31.5">
      <c r="B22" s="149" t="s">
        <v>444</v>
      </c>
      <c r="C22" s="149" t="s">
        <v>445</v>
      </c>
      <c r="E22" s="153" t="s">
        <v>446</v>
      </c>
      <c r="F22" s="154" t="s">
        <v>447</v>
      </c>
    </row>
    <row r="23" spans="2:6" ht="31.5" customHeight="1">
      <c r="B23" s="148" t="s">
        <v>448</v>
      </c>
      <c r="C23" s="148" t="s">
        <v>449</v>
      </c>
      <c r="E23" s="151" t="s">
        <v>450</v>
      </c>
      <c r="F23" s="152" t="s">
        <v>451</v>
      </c>
    </row>
    <row r="24" spans="2:6" ht="35.25" customHeight="1">
      <c r="B24" s="152" t="s">
        <v>452</v>
      </c>
      <c r="C24" s="152" t="s">
        <v>453</v>
      </c>
      <c r="E24" s="148" t="s">
        <v>454</v>
      </c>
      <c r="F24" s="152" t="s">
        <v>455</v>
      </c>
    </row>
    <row r="25" spans="2:6" ht="31.5">
      <c r="B25" s="148" t="s">
        <v>456</v>
      </c>
      <c r="C25" s="148" t="s">
        <v>457</v>
      </c>
      <c r="E25" s="148" t="s">
        <v>458</v>
      </c>
      <c r="F25" s="148" t="s">
        <v>459</v>
      </c>
    </row>
    <row r="26" spans="2:6" ht="38.25" customHeight="1">
      <c r="B26" s="152" t="s">
        <v>460</v>
      </c>
      <c r="C26" s="152" t="s">
        <v>461</v>
      </c>
      <c r="E26" s="148" t="s">
        <v>462</v>
      </c>
      <c r="F26" s="148" t="s">
        <v>463</v>
      </c>
    </row>
    <row r="27" spans="2:6" ht="31.5">
      <c r="B27" s="148" t="s">
        <v>464</v>
      </c>
      <c r="C27" s="148" t="s">
        <v>465</v>
      </c>
      <c r="E27" s="152" t="s">
        <v>466</v>
      </c>
      <c r="F27" s="152" t="s">
        <v>467</v>
      </c>
    </row>
    <row r="28" spans="2:6" ht="31.5">
      <c r="B28" s="155" t="s">
        <v>468</v>
      </c>
      <c r="C28" s="149" t="s">
        <v>469</v>
      </c>
      <c r="E28" s="3815" t="s">
        <v>470</v>
      </c>
      <c r="F28" s="148" t="s">
        <v>471</v>
      </c>
    </row>
    <row r="29" spans="2:6" ht="31.5">
      <c r="B29" s="156" t="s">
        <v>472</v>
      </c>
      <c r="C29" s="156" t="s">
        <v>473</v>
      </c>
      <c r="E29" s="3816"/>
      <c r="F29" s="148" t="s">
        <v>474</v>
      </c>
    </row>
    <row r="30" spans="2:6" ht="41.25" customHeight="1">
      <c r="B30" s="157" t="s">
        <v>475</v>
      </c>
      <c r="C30" s="157" t="s">
        <v>476</v>
      </c>
      <c r="E30" s="158" t="s">
        <v>477</v>
      </c>
      <c r="F30" s="158" t="s">
        <v>478</v>
      </c>
    </row>
    <row r="31" spans="2:6" ht="15.75">
      <c r="B31" s="159"/>
      <c r="C31" s="159"/>
      <c r="E31" s="159"/>
      <c r="F31" s="159"/>
    </row>
    <row r="32" spans="2:6" ht="15.75">
      <c r="B32" s="159"/>
      <c r="C32" s="159"/>
      <c r="E32" s="159"/>
      <c r="F32" s="159"/>
    </row>
    <row r="33" spans="2:6" ht="31.5" customHeight="1">
      <c r="B33" s="159"/>
      <c r="C33" s="159"/>
      <c r="E33" s="159"/>
      <c r="F33" s="159"/>
    </row>
    <row r="34" spans="2:6" ht="15.75">
      <c r="B34" s="159"/>
      <c r="C34" s="159"/>
      <c r="E34" s="159"/>
      <c r="F34" s="159"/>
    </row>
    <row r="35" spans="2:6" ht="15.75">
      <c r="B35" s="159"/>
      <c r="C35" s="159"/>
      <c r="E35" s="159"/>
      <c r="F35" s="159"/>
    </row>
    <row r="36" spans="2:6" ht="15.75">
      <c r="B36" s="159"/>
      <c r="C36" s="159"/>
      <c r="E36" s="159"/>
      <c r="F36" s="159"/>
    </row>
    <row r="37" spans="2:6" ht="15.75">
      <c r="B37" s="159"/>
      <c r="C37" s="159"/>
      <c r="E37" s="159"/>
      <c r="F37" s="159"/>
    </row>
    <row r="38" spans="2:6" ht="15.75">
      <c r="B38" s="159"/>
      <c r="C38" s="159"/>
      <c r="E38" s="159"/>
      <c r="F38" s="159"/>
    </row>
    <row r="39" spans="2:6" ht="15.75">
      <c r="B39" s="159"/>
      <c r="C39" s="159"/>
      <c r="E39" s="159"/>
      <c r="F39" s="159"/>
    </row>
    <row r="40" spans="2:6" ht="15.75">
      <c r="B40" s="159"/>
      <c r="C40" s="159"/>
      <c r="E40" s="159"/>
      <c r="F40" s="159"/>
    </row>
    <row r="41" spans="2:6" ht="31.5" customHeight="1">
      <c r="B41" s="159"/>
      <c r="C41" s="159"/>
      <c r="E41" s="159"/>
      <c r="F41" s="159"/>
    </row>
    <row r="42" spans="2:6" ht="15.75">
      <c r="B42" s="159"/>
      <c r="C42" s="159"/>
      <c r="E42" s="159"/>
      <c r="F42" s="159"/>
    </row>
    <row r="43" spans="2:6" ht="31.5" customHeight="1">
      <c r="B43" s="159"/>
      <c r="C43" s="159"/>
      <c r="E43" s="159"/>
      <c r="F43" s="159"/>
    </row>
    <row r="44" spans="2:6" ht="31.5" customHeight="1">
      <c r="B44" s="3810"/>
      <c r="C44" s="159"/>
      <c r="E44" s="159"/>
      <c r="F44" s="159"/>
    </row>
    <row r="45" spans="2:6" ht="31.5" customHeight="1">
      <c r="B45" s="3810"/>
      <c r="C45" s="159"/>
      <c r="E45" s="159"/>
      <c r="F45" s="159"/>
    </row>
    <row r="46" spans="2:6" ht="15.75">
      <c r="B46" s="160"/>
      <c r="C46" s="160"/>
      <c r="E46" s="159"/>
      <c r="F46" s="159"/>
    </row>
    <row r="47" spans="2:6" ht="15.75">
      <c r="B47" s="160"/>
      <c r="C47" s="160"/>
      <c r="E47" s="159"/>
      <c r="F47" s="159"/>
    </row>
    <row r="48" spans="2:6" ht="15.75">
      <c r="B48" s="160"/>
      <c r="C48" s="160"/>
      <c r="E48" s="3810"/>
      <c r="F48" s="159"/>
    </row>
    <row r="49" spans="2:6" ht="15.75">
      <c r="B49" s="160"/>
      <c r="C49" s="160"/>
      <c r="E49" s="3810"/>
      <c r="F49" s="159"/>
    </row>
    <row r="50" spans="2:6" ht="15.75">
      <c r="B50" s="160"/>
      <c r="C50" s="160"/>
      <c r="E50" s="160"/>
      <c r="F50" s="160"/>
    </row>
    <row r="51" spans="2:6" ht="15.75">
      <c r="B51" s="160"/>
      <c r="C51" s="160"/>
      <c r="E51" s="160"/>
      <c r="F51" s="160"/>
    </row>
    <row r="52" spans="2:6" ht="15.75">
      <c r="B52" s="160"/>
      <c r="C52" s="160"/>
      <c r="E52" s="160"/>
      <c r="F52" s="160"/>
    </row>
    <row r="53" spans="2:6" ht="15.75">
      <c r="B53" s="160"/>
      <c r="C53" s="160"/>
      <c r="E53" s="160"/>
      <c r="F53" s="160"/>
    </row>
    <row r="54" spans="2:6" ht="15.75">
      <c r="B54" s="160"/>
      <c r="C54" s="160"/>
      <c r="E54" s="160"/>
      <c r="F54" s="160"/>
    </row>
    <row r="55" spans="2:6" ht="15.75">
      <c r="B55" s="160"/>
      <c r="C55" s="160"/>
      <c r="E55" s="160"/>
      <c r="F55" s="160"/>
    </row>
    <row r="56" spans="2:6" ht="15.75">
      <c r="B56" s="160"/>
      <c r="C56" s="160"/>
      <c r="E56" s="160"/>
      <c r="F56" s="160"/>
    </row>
    <row r="57" spans="2:6" ht="15.75">
      <c r="B57" s="160"/>
      <c r="C57" s="160"/>
      <c r="E57" s="160"/>
      <c r="F57" s="160"/>
    </row>
    <row r="58" spans="2:6" ht="15.75">
      <c r="B58" s="160"/>
      <c r="C58" s="160"/>
      <c r="E58" s="160"/>
      <c r="F58" s="160"/>
    </row>
    <row r="59" spans="2:6" ht="15.75">
      <c r="B59" s="160"/>
      <c r="C59" s="160"/>
      <c r="E59" s="160"/>
      <c r="F59" s="160"/>
    </row>
    <row r="60" spans="2:6" ht="15.75">
      <c r="B60" s="160"/>
      <c r="C60" s="160"/>
      <c r="E60" s="160"/>
      <c r="F60" s="160"/>
    </row>
    <row r="61" spans="2:6" ht="15.75">
      <c r="B61" s="160"/>
      <c r="C61" s="160"/>
      <c r="E61" s="160"/>
      <c r="F61" s="160"/>
    </row>
    <row r="62" spans="2:6" ht="15.75">
      <c r="B62" s="160"/>
      <c r="C62" s="160"/>
      <c r="E62" s="160"/>
      <c r="F62" s="160"/>
    </row>
    <row r="63" spans="2:6" ht="15.75">
      <c r="B63" s="160"/>
      <c r="C63" s="160"/>
      <c r="E63" s="160"/>
      <c r="F63" s="160"/>
    </row>
    <row r="64" spans="2:6" ht="15.75">
      <c r="B64" s="160"/>
      <c r="C64" s="160"/>
      <c r="E64" s="160"/>
      <c r="F64" s="160"/>
    </row>
    <row r="65" spans="2:6" ht="15.75">
      <c r="B65" s="160"/>
      <c r="C65" s="160"/>
      <c r="E65" s="160"/>
      <c r="F65" s="160"/>
    </row>
    <row r="66" spans="2:6" ht="15.75">
      <c r="B66" s="160"/>
      <c r="C66" s="160"/>
      <c r="E66" s="160"/>
      <c r="F66" s="160"/>
    </row>
    <row r="67" spans="2:6" ht="15.75">
      <c r="B67" s="160"/>
      <c r="C67" s="160"/>
      <c r="E67" s="160"/>
      <c r="F67" s="160"/>
    </row>
    <row r="68" spans="2:6" ht="15.75">
      <c r="B68" s="160"/>
      <c r="C68" s="160"/>
      <c r="E68" s="160"/>
      <c r="F68" s="160"/>
    </row>
    <row r="69" spans="2:6" ht="15.75">
      <c r="B69" s="160"/>
      <c r="C69" s="160"/>
      <c r="E69" s="160"/>
      <c r="F69" s="160"/>
    </row>
    <row r="70" spans="2:6" ht="15.75">
      <c r="B70" s="160"/>
      <c r="C70" s="160"/>
      <c r="E70" s="160"/>
      <c r="F70" s="160"/>
    </row>
    <row r="71" spans="2:6" ht="15.75">
      <c r="B71" s="160"/>
      <c r="C71" s="160"/>
      <c r="E71" s="160"/>
      <c r="F71" s="160"/>
    </row>
    <row r="72" spans="2:6" ht="15.75">
      <c r="B72" s="160"/>
      <c r="C72" s="160"/>
      <c r="E72" s="160"/>
      <c r="F72" s="160"/>
    </row>
    <row r="73" spans="2:6" ht="15.75">
      <c r="B73" s="160"/>
      <c r="C73" s="160"/>
      <c r="E73" s="160"/>
      <c r="F73" s="160"/>
    </row>
    <row r="74" spans="2:6" ht="15.75">
      <c r="B74" s="160"/>
      <c r="C74" s="160"/>
      <c r="E74" s="160"/>
      <c r="F74" s="160"/>
    </row>
    <row r="75" spans="2:6" ht="15.75">
      <c r="B75" s="160"/>
      <c r="C75" s="160"/>
      <c r="E75" s="160"/>
      <c r="F75" s="160"/>
    </row>
    <row r="76" spans="2:6" ht="15.75">
      <c r="B76" s="160"/>
      <c r="C76" s="160"/>
      <c r="E76" s="160"/>
      <c r="F76" s="160"/>
    </row>
    <row r="77" spans="2:6" ht="15.75">
      <c r="B77" s="160"/>
      <c r="C77" s="160"/>
      <c r="E77" s="160"/>
      <c r="F77" s="160"/>
    </row>
    <row r="78" spans="2:6" ht="15.75">
      <c r="B78" s="160"/>
      <c r="C78" s="160"/>
      <c r="E78" s="160"/>
      <c r="F78" s="160"/>
    </row>
    <row r="79" spans="2:6" ht="15.75">
      <c r="B79" s="160"/>
      <c r="C79" s="160"/>
      <c r="E79" s="160"/>
      <c r="F79" s="160"/>
    </row>
    <row r="80" spans="2:6" ht="15.75">
      <c r="B80" s="160"/>
      <c r="C80" s="160"/>
      <c r="E80" s="160"/>
      <c r="F80" s="160"/>
    </row>
    <row r="81" spans="2:6" ht="15.75">
      <c r="B81" s="160"/>
      <c r="C81" s="160"/>
      <c r="E81" s="160"/>
      <c r="F81" s="160"/>
    </row>
    <row r="82" spans="2:6" ht="15.75">
      <c r="B82" s="160"/>
      <c r="C82" s="160"/>
      <c r="E82" s="160"/>
      <c r="F82" s="160"/>
    </row>
    <row r="83" spans="2:6" ht="15.75">
      <c r="B83" s="160"/>
      <c r="C83" s="160"/>
      <c r="E83" s="160"/>
      <c r="F83" s="160"/>
    </row>
    <row r="84" spans="2:6" ht="15.75">
      <c r="B84" s="161"/>
      <c r="C84" s="160"/>
      <c r="E84" s="160"/>
      <c r="F84" s="160"/>
    </row>
    <row r="85" spans="2:6" ht="15.75">
      <c r="B85" s="161"/>
      <c r="C85" s="160"/>
      <c r="E85" s="160"/>
      <c r="F85" s="160"/>
    </row>
    <row r="86" spans="2:6" ht="15.75">
      <c r="B86" s="161"/>
      <c r="C86" s="160"/>
      <c r="E86" s="160"/>
      <c r="F86" s="160"/>
    </row>
    <row r="87" spans="2:6" ht="15.75">
      <c r="B87" s="161"/>
      <c r="C87" s="160"/>
      <c r="E87" s="160"/>
      <c r="F87" s="160"/>
    </row>
    <row r="88" spans="2:6" ht="15.75">
      <c r="B88" s="161"/>
      <c r="C88" s="160"/>
      <c r="E88" s="161"/>
      <c r="F88" s="160"/>
    </row>
    <row r="89" spans="2:6" ht="15.75">
      <c r="B89" s="161"/>
      <c r="C89" s="160"/>
      <c r="E89" s="161"/>
      <c r="F89" s="160"/>
    </row>
    <row r="90" spans="2:6" ht="15.75">
      <c r="B90" s="161"/>
      <c r="C90" s="160"/>
      <c r="E90" s="161"/>
      <c r="F90" s="160"/>
    </row>
    <row r="91" spans="2:6" ht="15.75">
      <c r="B91" s="161"/>
      <c r="C91" s="160"/>
      <c r="E91" s="161"/>
      <c r="F91" s="160"/>
    </row>
    <row r="92" spans="2:6" ht="15.75">
      <c r="B92" s="161"/>
      <c r="C92" s="160"/>
      <c r="E92" s="161"/>
      <c r="F92" s="160"/>
    </row>
    <row r="93" spans="2:6" ht="15.75">
      <c r="B93" s="161"/>
      <c r="C93" s="160"/>
      <c r="E93" s="161"/>
      <c r="F93" s="160"/>
    </row>
    <row r="94" spans="2:6" ht="15.75">
      <c r="B94" s="161"/>
      <c r="C94" s="160"/>
      <c r="E94" s="161"/>
      <c r="F94" s="160"/>
    </row>
    <row r="95" spans="2:6" ht="15.75">
      <c r="B95" s="161"/>
      <c r="C95" s="160"/>
      <c r="E95" s="161"/>
      <c r="F95" s="160"/>
    </row>
    <row r="96" spans="2:6" ht="15.75">
      <c r="B96" s="161"/>
      <c r="C96" s="160"/>
      <c r="E96" s="161"/>
      <c r="F96" s="160"/>
    </row>
    <row r="97" spans="2:6" ht="15.75">
      <c r="B97" s="161"/>
      <c r="C97" s="160"/>
      <c r="E97" s="161"/>
      <c r="F97" s="160"/>
    </row>
    <row r="98" spans="2:6" ht="15.75">
      <c r="B98" s="161"/>
      <c r="C98" s="160"/>
      <c r="E98" s="161"/>
      <c r="F98" s="160"/>
    </row>
    <row r="99" spans="2:6" ht="15.75">
      <c r="B99" s="161"/>
      <c r="C99" s="160"/>
      <c r="E99" s="161"/>
      <c r="F99" s="160"/>
    </row>
    <row r="100" spans="2:6" ht="15.75">
      <c r="B100" s="161"/>
      <c r="C100" s="160"/>
      <c r="E100" s="161"/>
      <c r="F100" s="160"/>
    </row>
    <row r="101" spans="2:6" ht="15.75">
      <c r="B101" s="161"/>
      <c r="C101" s="160"/>
      <c r="E101" s="161"/>
      <c r="F101" s="160"/>
    </row>
    <row r="102" spans="2:6" ht="15.75">
      <c r="B102" s="161"/>
      <c r="C102" s="160"/>
      <c r="E102" s="161"/>
      <c r="F102" s="160"/>
    </row>
    <row r="103" spans="2:6" ht="15.75">
      <c r="B103" s="161"/>
      <c r="C103" s="160"/>
      <c r="E103" s="161"/>
      <c r="F103" s="160"/>
    </row>
    <row r="104" spans="2:6" ht="15.75">
      <c r="B104" s="161"/>
      <c r="C104" s="160"/>
      <c r="E104" s="161"/>
      <c r="F104" s="160"/>
    </row>
    <row r="105" spans="2:6" ht="15.75">
      <c r="B105" s="161"/>
      <c r="C105" s="160"/>
      <c r="E105" s="161"/>
      <c r="F105" s="160"/>
    </row>
    <row r="106" spans="2:6" ht="15.75">
      <c r="B106" s="161"/>
      <c r="C106" s="160"/>
      <c r="E106" s="161"/>
      <c r="F106" s="160"/>
    </row>
    <row r="107" spans="2:6" ht="15.75">
      <c r="B107" s="161"/>
      <c r="C107" s="160"/>
      <c r="E107" s="161"/>
      <c r="F107" s="160"/>
    </row>
    <row r="108" spans="2:6" ht="15.75">
      <c r="B108" s="161"/>
      <c r="C108" s="160"/>
      <c r="E108" s="161"/>
      <c r="F108" s="160"/>
    </row>
    <row r="109" spans="2:6" ht="15.75">
      <c r="B109" s="161"/>
      <c r="C109" s="160"/>
      <c r="E109" s="161"/>
      <c r="F109" s="160"/>
    </row>
    <row r="110" spans="2:6" ht="15.75">
      <c r="B110" s="161"/>
      <c r="C110" s="160"/>
      <c r="E110" s="161"/>
      <c r="F110" s="160"/>
    </row>
    <row r="111" spans="2:6" ht="15.75">
      <c r="B111" s="161"/>
      <c r="C111" s="160"/>
      <c r="E111" s="161"/>
      <c r="F111" s="160"/>
    </row>
    <row r="112" spans="2:6" ht="15.75">
      <c r="B112" s="161"/>
      <c r="C112" s="160"/>
      <c r="E112" s="161"/>
      <c r="F112" s="160"/>
    </row>
    <row r="113" spans="2:6" ht="15.75">
      <c r="B113" s="161"/>
      <c r="C113" s="160"/>
      <c r="E113" s="161"/>
      <c r="F113" s="160"/>
    </row>
    <row r="114" spans="2:6" ht="15.75">
      <c r="B114" s="161"/>
      <c r="C114" s="160"/>
      <c r="E114" s="161"/>
      <c r="F114" s="160"/>
    </row>
    <row r="115" spans="2:6" ht="15.75">
      <c r="B115" s="161"/>
      <c r="C115" s="160"/>
      <c r="E115" s="161"/>
      <c r="F115" s="160"/>
    </row>
    <row r="116" spans="2:6" ht="15.75">
      <c r="B116" s="161"/>
      <c r="C116" s="160"/>
      <c r="E116" s="161"/>
      <c r="F116" s="160"/>
    </row>
    <row r="117" spans="2:6" ht="15.75">
      <c r="B117" s="161"/>
      <c r="C117" s="160"/>
      <c r="E117" s="161"/>
      <c r="F117" s="160"/>
    </row>
    <row r="118" spans="2:6" ht="15.75">
      <c r="B118" s="161"/>
      <c r="C118" s="160"/>
      <c r="E118" s="161"/>
      <c r="F118" s="160"/>
    </row>
    <row r="119" spans="2:6" ht="15.75">
      <c r="B119" s="161"/>
      <c r="C119" s="160"/>
      <c r="E119" s="161"/>
      <c r="F119" s="160"/>
    </row>
    <row r="120" spans="2:6" ht="15.75">
      <c r="B120" s="161"/>
      <c r="C120" s="160"/>
      <c r="E120" s="161"/>
      <c r="F120" s="160"/>
    </row>
    <row r="121" spans="2:6" ht="15.75">
      <c r="B121" s="161"/>
      <c r="C121" s="160"/>
      <c r="E121" s="161"/>
      <c r="F121" s="160"/>
    </row>
    <row r="122" spans="2:6" ht="15.75">
      <c r="B122" s="161"/>
      <c r="C122" s="160"/>
      <c r="E122" s="161"/>
      <c r="F122" s="160"/>
    </row>
    <row r="123" spans="2:6" ht="15.75">
      <c r="B123" s="161"/>
      <c r="C123" s="160"/>
      <c r="E123" s="161"/>
      <c r="F123" s="160"/>
    </row>
    <row r="124" spans="2:6" ht="15.75">
      <c r="B124" s="161"/>
      <c r="C124" s="160"/>
      <c r="E124" s="161"/>
      <c r="F124" s="160"/>
    </row>
    <row r="125" spans="2:6" ht="15.75">
      <c r="B125" s="161"/>
      <c r="C125" s="160"/>
      <c r="E125" s="161"/>
      <c r="F125" s="160"/>
    </row>
    <row r="126" spans="2:6" ht="15.75">
      <c r="B126" s="161"/>
      <c r="C126" s="160"/>
      <c r="E126" s="161"/>
      <c r="F126" s="160"/>
    </row>
    <row r="127" spans="2:6" ht="15.75">
      <c r="B127" s="161"/>
      <c r="C127" s="160"/>
      <c r="E127" s="161"/>
      <c r="F127" s="160"/>
    </row>
    <row r="128" spans="2:6" ht="15.75">
      <c r="B128" s="161"/>
      <c r="C128" s="160"/>
      <c r="E128" s="161"/>
      <c r="F128" s="160"/>
    </row>
    <row r="129" spans="2:6" ht="15.75">
      <c r="B129" s="161"/>
      <c r="C129" s="160"/>
      <c r="E129" s="161"/>
      <c r="F129" s="160"/>
    </row>
    <row r="130" spans="2:6" ht="15.75">
      <c r="B130" s="161"/>
      <c r="C130" s="160"/>
      <c r="E130" s="161"/>
      <c r="F130" s="160"/>
    </row>
    <row r="131" spans="2:6" ht="15.75">
      <c r="B131" s="161"/>
      <c r="C131" s="160"/>
      <c r="E131" s="161"/>
      <c r="F131" s="160"/>
    </row>
    <row r="132" spans="2:6" ht="15.75">
      <c r="B132" s="161"/>
      <c r="C132" s="160"/>
      <c r="E132" s="161"/>
      <c r="F132" s="160"/>
    </row>
    <row r="133" spans="2:6" ht="15.75">
      <c r="B133" s="161"/>
      <c r="C133" s="160"/>
      <c r="E133" s="161"/>
      <c r="F133" s="160"/>
    </row>
    <row r="134" spans="2:6" ht="15.75">
      <c r="B134" s="161"/>
      <c r="C134" s="160"/>
      <c r="E134" s="161"/>
      <c r="F134" s="160"/>
    </row>
    <row r="135" spans="2:6" ht="15.75">
      <c r="B135" s="161"/>
      <c r="C135" s="160"/>
      <c r="E135" s="161"/>
      <c r="F135" s="160"/>
    </row>
    <row r="136" spans="2:6" ht="15.75">
      <c r="B136" s="161"/>
      <c r="C136" s="160"/>
      <c r="E136" s="161"/>
      <c r="F136" s="160"/>
    </row>
    <row r="137" spans="2:6" ht="15.75">
      <c r="B137" s="161"/>
      <c r="C137" s="160"/>
      <c r="E137" s="161"/>
      <c r="F137" s="160"/>
    </row>
    <row r="138" spans="2:6" ht="15.75">
      <c r="B138" s="161"/>
      <c r="C138" s="160"/>
      <c r="E138" s="161"/>
      <c r="F138" s="160"/>
    </row>
    <row r="139" spans="2:6" ht="15.75">
      <c r="B139" s="161"/>
      <c r="C139" s="160"/>
      <c r="E139" s="161"/>
      <c r="F139" s="160"/>
    </row>
    <row r="140" spans="2:6" ht="15.75">
      <c r="B140" s="161"/>
      <c r="C140" s="160"/>
      <c r="E140" s="161"/>
      <c r="F140" s="160"/>
    </row>
    <row r="141" spans="2:6" ht="15.75">
      <c r="B141" s="161"/>
      <c r="C141" s="160"/>
      <c r="E141" s="161"/>
      <c r="F141" s="160"/>
    </row>
    <row r="142" spans="2:6" ht="15.75">
      <c r="B142" s="161"/>
      <c r="C142" s="160"/>
      <c r="E142" s="161"/>
      <c r="F142" s="160"/>
    </row>
    <row r="143" spans="2:6" ht="15.75">
      <c r="B143" s="161"/>
      <c r="C143" s="160"/>
      <c r="E143" s="161"/>
      <c r="F143" s="160"/>
    </row>
    <row r="144" spans="2:6" ht="15.75">
      <c r="B144" s="161"/>
      <c r="C144" s="160"/>
      <c r="E144" s="161"/>
      <c r="F144" s="160"/>
    </row>
    <row r="145" spans="2:6" ht="15.75">
      <c r="B145" s="161"/>
      <c r="C145" s="160"/>
      <c r="E145" s="161"/>
      <c r="F145" s="160"/>
    </row>
    <row r="146" spans="2:6" ht="15.75">
      <c r="B146" s="161"/>
      <c r="C146" s="160"/>
      <c r="E146" s="161"/>
      <c r="F146" s="160"/>
    </row>
    <row r="147" spans="2:6" ht="15.75">
      <c r="B147" s="161"/>
      <c r="C147" s="160"/>
      <c r="E147" s="161"/>
      <c r="F147" s="160"/>
    </row>
    <row r="148" spans="2:6" ht="15.75">
      <c r="B148" s="161"/>
      <c r="C148" s="160"/>
      <c r="E148" s="161"/>
      <c r="F148" s="160"/>
    </row>
    <row r="149" spans="2:6" ht="15.75">
      <c r="B149" s="161"/>
      <c r="C149" s="160"/>
      <c r="E149" s="161"/>
      <c r="F149" s="160"/>
    </row>
    <row r="150" spans="2:6" ht="15.75">
      <c r="B150" s="161"/>
      <c r="C150" s="160"/>
      <c r="E150" s="161"/>
      <c r="F150" s="160"/>
    </row>
    <row r="151" spans="2:6" ht="15.75">
      <c r="B151" s="161"/>
      <c r="C151" s="160"/>
      <c r="E151" s="161"/>
      <c r="F151" s="160"/>
    </row>
    <row r="152" spans="2:6" ht="15.75">
      <c r="B152" s="161"/>
      <c r="C152" s="160"/>
      <c r="E152" s="161"/>
      <c r="F152" s="160"/>
    </row>
    <row r="153" spans="2:6" ht="15.75">
      <c r="B153" s="161"/>
      <c r="C153" s="160"/>
      <c r="E153" s="161"/>
      <c r="F153" s="160"/>
    </row>
    <row r="154" spans="2:6" ht="15.75">
      <c r="B154" s="161"/>
      <c r="C154" s="160"/>
      <c r="E154" s="161"/>
      <c r="F154" s="160"/>
    </row>
    <row r="155" spans="2:6" ht="15.75">
      <c r="B155" s="161"/>
      <c r="C155" s="160"/>
      <c r="E155" s="161"/>
      <c r="F155" s="160"/>
    </row>
    <row r="156" spans="2:6" ht="15.75">
      <c r="B156" s="161"/>
      <c r="C156" s="160"/>
      <c r="E156" s="161"/>
      <c r="F156" s="160"/>
    </row>
    <row r="157" spans="2:6" ht="15.75">
      <c r="B157" s="161"/>
      <c r="C157" s="160"/>
      <c r="E157" s="161"/>
      <c r="F157" s="160"/>
    </row>
    <row r="158" spans="2:6" ht="15.75">
      <c r="B158" s="161"/>
      <c r="C158" s="160"/>
      <c r="E158" s="161"/>
      <c r="F158" s="160"/>
    </row>
    <row r="159" spans="2:6" ht="15.75">
      <c r="B159" s="161"/>
      <c r="C159" s="160"/>
      <c r="E159" s="161"/>
      <c r="F159" s="160"/>
    </row>
    <row r="160" spans="2:6" ht="15.75">
      <c r="B160" s="161"/>
      <c r="C160" s="160"/>
      <c r="E160" s="161"/>
      <c r="F160" s="160"/>
    </row>
    <row r="161" spans="2:6" ht="15.75">
      <c r="B161" s="161"/>
      <c r="C161" s="160"/>
      <c r="E161" s="161"/>
      <c r="F161" s="160"/>
    </row>
    <row r="162" spans="2:6" ht="15.75">
      <c r="B162" s="161"/>
      <c r="C162" s="160"/>
      <c r="E162" s="161"/>
      <c r="F162" s="160"/>
    </row>
    <row r="163" spans="2:6" ht="15.75">
      <c r="B163" s="161"/>
      <c r="C163" s="160"/>
      <c r="E163" s="161"/>
      <c r="F163" s="160"/>
    </row>
    <row r="164" spans="2:6" ht="15.75">
      <c r="B164" s="161"/>
      <c r="C164" s="160"/>
      <c r="E164" s="161"/>
      <c r="F164" s="160"/>
    </row>
    <row r="165" spans="2:6" ht="15.75">
      <c r="B165" s="161"/>
      <c r="C165" s="160"/>
      <c r="E165" s="161"/>
      <c r="F165" s="160"/>
    </row>
    <row r="166" spans="2:6" ht="15.75">
      <c r="B166" s="161"/>
      <c r="C166" s="160"/>
      <c r="E166" s="161"/>
      <c r="F166" s="160"/>
    </row>
    <row r="167" spans="2:6" ht="15.75">
      <c r="B167" s="161"/>
      <c r="C167" s="160"/>
      <c r="E167" s="161"/>
      <c r="F167" s="160"/>
    </row>
    <row r="168" spans="2:6" ht="15.75">
      <c r="B168" s="161"/>
      <c r="C168" s="160"/>
      <c r="E168" s="161"/>
      <c r="F168" s="160"/>
    </row>
    <row r="169" spans="2:6" ht="15.75">
      <c r="B169" s="161"/>
      <c r="C169" s="160"/>
      <c r="E169" s="161"/>
      <c r="F169" s="160"/>
    </row>
    <row r="170" spans="2:6" ht="15.75">
      <c r="B170" s="161"/>
      <c r="C170" s="160"/>
      <c r="E170" s="161"/>
      <c r="F170" s="160"/>
    </row>
    <row r="171" spans="2:6" ht="15.75">
      <c r="B171" s="161"/>
      <c r="C171" s="160"/>
      <c r="E171" s="161"/>
      <c r="F171" s="160"/>
    </row>
    <row r="172" spans="2:6" ht="15.75">
      <c r="B172" s="161"/>
      <c r="C172" s="160"/>
      <c r="E172" s="161"/>
      <c r="F172" s="160"/>
    </row>
    <row r="173" spans="2:6" ht="15.75">
      <c r="B173" s="161"/>
      <c r="C173" s="160"/>
      <c r="E173" s="161"/>
      <c r="F173" s="160"/>
    </row>
    <row r="174" spans="2:6" ht="15.75">
      <c r="B174" s="161"/>
      <c r="C174" s="160"/>
      <c r="E174" s="161"/>
      <c r="F174" s="160"/>
    </row>
    <row r="175" spans="2:6" ht="15.75">
      <c r="B175" s="161"/>
      <c r="C175" s="160"/>
      <c r="E175" s="161"/>
      <c r="F175" s="160"/>
    </row>
    <row r="176" spans="2:6" ht="15.75">
      <c r="B176" s="161"/>
      <c r="C176" s="160"/>
      <c r="E176" s="161"/>
      <c r="F176" s="160"/>
    </row>
    <row r="177" spans="2:6" ht="15.75">
      <c r="B177" s="161"/>
      <c r="C177" s="160"/>
      <c r="E177" s="161"/>
      <c r="F177" s="160"/>
    </row>
    <row r="178" spans="2:6" ht="15.75">
      <c r="B178" s="161"/>
      <c r="C178" s="160"/>
      <c r="E178" s="161"/>
      <c r="F178" s="160"/>
    </row>
    <row r="179" spans="2:6" ht="15.75">
      <c r="B179" s="161"/>
      <c r="C179" s="160"/>
      <c r="E179" s="161"/>
      <c r="F179" s="160"/>
    </row>
    <row r="180" spans="2:6" ht="15.75">
      <c r="B180" s="161"/>
      <c r="C180" s="160"/>
      <c r="E180" s="161"/>
      <c r="F180" s="160"/>
    </row>
    <row r="181" spans="2:6" ht="15.75">
      <c r="B181" s="161"/>
      <c r="C181" s="160"/>
      <c r="E181" s="161"/>
      <c r="F181" s="160"/>
    </row>
    <row r="182" spans="2:6" ht="15.75">
      <c r="B182" s="161"/>
      <c r="C182" s="160"/>
      <c r="E182" s="161"/>
      <c r="F182" s="160"/>
    </row>
    <row r="183" spans="2:6" ht="15.75">
      <c r="B183" s="161"/>
      <c r="C183" s="160"/>
      <c r="E183" s="161"/>
      <c r="F183" s="160"/>
    </row>
    <row r="184" spans="2:6" ht="15.75">
      <c r="B184" s="161"/>
      <c r="C184" s="160"/>
      <c r="E184" s="161"/>
      <c r="F184" s="160"/>
    </row>
    <row r="185" spans="2:6" ht="15.75">
      <c r="B185" s="161"/>
      <c r="C185" s="160"/>
      <c r="E185" s="161"/>
      <c r="F185" s="160"/>
    </row>
    <row r="186" spans="2:6" ht="15.75">
      <c r="B186" s="161"/>
      <c r="C186" s="160"/>
      <c r="E186" s="161"/>
      <c r="F186" s="160"/>
    </row>
    <row r="187" spans="2:6" ht="15.75">
      <c r="B187" s="161"/>
      <c r="C187" s="160"/>
      <c r="E187" s="161"/>
      <c r="F187" s="160"/>
    </row>
    <row r="188" spans="2:6" ht="15.75">
      <c r="B188" s="161"/>
      <c r="C188" s="160"/>
      <c r="E188" s="161"/>
      <c r="F188" s="160"/>
    </row>
    <row r="189" spans="2:6" ht="15.75">
      <c r="B189" s="161"/>
      <c r="C189" s="160"/>
      <c r="E189" s="161"/>
      <c r="F189" s="160"/>
    </row>
    <row r="190" spans="2:6" ht="15.75">
      <c r="B190" s="161"/>
      <c r="C190" s="160"/>
      <c r="E190" s="161"/>
      <c r="F190" s="160"/>
    </row>
    <row r="191" spans="2:6" ht="15.75">
      <c r="B191" s="161"/>
      <c r="C191" s="160"/>
      <c r="E191" s="161"/>
      <c r="F191" s="160"/>
    </row>
    <row r="192" spans="2:6" ht="15.75">
      <c r="B192" s="161"/>
      <c r="C192" s="160"/>
      <c r="E192" s="161"/>
      <c r="F192" s="160"/>
    </row>
    <row r="193" spans="2:6" ht="15.75">
      <c r="B193" s="161"/>
      <c r="C193" s="160"/>
      <c r="E193" s="161"/>
      <c r="F193" s="160"/>
    </row>
    <row r="194" spans="2:6" ht="15.75">
      <c r="B194" s="161"/>
      <c r="C194" s="160"/>
      <c r="E194" s="161"/>
      <c r="F194" s="160"/>
    </row>
    <row r="195" spans="2:6" ht="15.75">
      <c r="B195" s="161"/>
      <c r="C195" s="160"/>
      <c r="E195" s="161"/>
      <c r="F195" s="160"/>
    </row>
    <row r="196" spans="2:6" ht="15.75">
      <c r="B196" s="161"/>
      <c r="C196" s="160"/>
      <c r="E196" s="161"/>
      <c r="F196" s="160"/>
    </row>
    <row r="197" spans="2:6" ht="15.75">
      <c r="B197" s="161"/>
      <c r="C197" s="160"/>
      <c r="E197" s="161"/>
      <c r="F197" s="160"/>
    </row>
    <row r="198" spans="2:6" ht="15.75">
      <c r="B198" s="161"/>
      <c r="C198" s="160"/>
      <c r="E198" s="161"/>
      <c r="F198" s="160"/>
    </row>
    <row r="199" spans="2:6" ht="15.75">
      <c r="B199" s="161"/>
      <c r="C199" s="160"/>
      <c r="E199" s="161"/>
      <c r="F199" s="160"/>
    </row>
    <row r="200" spans="2:6" ht="15.75">
      <c r="B200" s="161"/>
      <c r="C200" s="160"/>
      <c r="E200" s="161"/>
      <c r="F200" s="160"/>
    </row>
    <row r="201" spans="2:6" ht="15.75">
      <c r="B201" s="161"/>
      <c r="C201" s="160"/>
      <c r="E201" s="161"/>
      <c r="F201" s="160"/>
    </row>
    <row r="202" spans="2:6" ht="15.75">
      <c r="B202" s="161"/>
      <c r="C202" s="160"/>
      <c r="E202" s="161"/>
      <c r="F202" s="160"/>
    </row>
    <row r="203" spans="2:6" ht="15.75">
      <c r="B203" s="161"/>
      <c r="C203" s="160"/>
      <c r="E203" s="161"/>
      <c r="F203" s="160"/>
    </row>
    <row r="204" spans="2:6" ht="15.75">
      <c r="B204" s="161"/>
      <c r="C204" s="160"/>
      <c r="E204" s="161"/>
      <c r="F204" s="160"/>
    </row>
    <row r="205" spans="2:6" ht="15.75">
      <c r="B205" s="161"/>
      <c r="C205" s="160"/>
      <c r="E205" s="161"/>
      <c r="F205" s="160"/>
    </row>
    <row r="206" spans="2:6" ht="15.75">
      <c r="B206" s="161"/>
      <c r="C206" s="160"/>
      <c r="E206" s="161"/>
      <c r="F206" s="160"/>
    </row>
    <row r="207" spans="2:6" ht="15.75">
      <c r="B207" s="161"/>
      <c r="C207" s="160"/>
      <c r="E207" s="161"/>
      <c r="F207" s="160"/>
    </row>
    <row r="208" spans="2:6" ht="15.75">
      <c r="B208" s="161"/>
      <c r="C208" s="160"/>
      <c r="E208" s="161"/>
      <c r="F208" s="160"/>
    </row>
    <row r="209" spans="2:6" ht="15.75">
      <c r="B209" s="161"/>
      <c r="C209" s="160"/>
      <c r="E209" s="161"/>
      <c r="F209" s="160"/>
    </row>
    <row r="210" spans="2:6" ht="15.75">
      <c r="B210" s="161"/>
      <c r="C210" s="160"/>
      <c r="E210" s="161"/>
      <c r="F210" s="160"/>
    </row>
    <row r="211" spans="2:6" ht="15.75">
      <c r="B211" s="161"/>
      <c r="C211" s="160"/>
      <c r="E211" s="161"/>
      <c r="F211" s="160"/>
    </row>
    <row r="212" spans="2:6" ht="15.75">
      <c r="B212" s="161"/>
      <c r="C212" s="160"/>
      <c r="E212" s="161"/>
      <c r="F212" s="160"/>
    </row>
    <row r="213" spans="2:6" ht="15.75">
      <c r="B213" s="161"/>
      <c r="C213" s="160"/>
      <c r="E213" s="161"/>
      <c r="F213" s="160"/>
    </row>
    <row r="214" spans="2:6" ht="15.75">
      <c r="B214" s="161"/>
      <c r="C214" s="160"/>
      <c r="E214" s="161"/>
      <c r="F214" s="160"/>
    </row>
    <row r="215" spans="2:6" ht="15.75">
      <c r="B215" s="161"/>
      <c r="C215" s="160"/>
      <c r="E215" s="161"/>
      <c r="F215" s="160"/>
    </row>
    <row r="216" spans="2:6" ht="15.75">
      <c r="B216" s="161"/>
      <c r="C216" s="160"/>
      <c r="E216" s="161"/>
      <c r="F216" s="160"/>
    </row>
    <row r="217" spans="2:6" ht="15.75">
      <c r="B217" s="161"/>
      <c r="C217" s="160"/>
      <c r="E217" s="161"/>
      <c r="F217" s="160"/>
    </row>
    <row r="218" spans="2:6" ht="15.75">
      <c r="B218" s="161"/>
      <c r="C218" s="160"/>
      <c r="E218" s="161"/>
      <c r="F218" s="160"/>
    </row>
    <row r="219" spans="2:6" ht="15.75">
      <c r="B219" s="161"/>
      <c r="C219" s="160"/>
      <c r="E219" s="161"/>
      <c r="F219" s="160"/>
    </row>
    <row r="220" spans="2:6" ht="15.75">
      <c r="B220" s="161"/>
      <c r="C220" s="160"/>
      <c r="E220" s="161"/>
      <c r="F220" s="160"/>
    </row>
    <row r="221" spans="2:6" ht="15.75">
      <c r="B221" s="161"/>
      <c r="C221" s="160"/>
      <c r="E221" s="161"/>
      <c r="F221" s="160"/>
    </row>
    <row r="222" spans="2:6" ht="15.75">
      <c r="B222" s="161"/>
      <c r="C222" s="160"/>
      <c r="E222" s="161"/>
      <c r="F222" s="160"/>
    </row>
    <row r="223" spans="2:6" ht="15.75">
      <c r="B223" s="161"/>
      <c r="C223" s="160"/>
      <c r="E223" s="161"/>
      <c r="F223" s="160"/>
    </row>
    <row r="224" spans="2:6" ht="15.75">
      <c r="B224" s="161"/>
      <c r="C224" s="160"/>
      <c r="E224" s="161"/>
      <c r="F224" s="160"/>
    </row>
    <row r="225" spans="2:6" ht="15.75">
      <c r="B225" s="161"/>
      <c r="C225" s="160"/>
      <c r="E225" s="161"/>
      <c r="F225" s="160"/>
    </row>
    <row r="226" spans="2:6" ht="15.75">
      <c r="B226" s="161"/>
      <c r="C226" s="160"/>
      <c r="E226" s="161"/>
      <c r="F226" s="160"/>
    </row>
    <row r="227" spans="2:6" ht="15.75">
      <c r="B227" s="161"/>
      <c r="C227" s="160"/>
      <c r="E227" s="161"/>
      <c r="F227" s="160"/>
    </row>
    <row r="228" spans="2:6" ht="15.75">
      <c r="B228" s="161"/>
      <c r="C228" s="160"/>
      <c r="E228" s="161"/>
      <c r="F228" s="160"/>
    </row>
    <row r="229" spans="2:6" ht="15.75">
      <c r="B229" s="161"/>
      <c r="C229" s="160"/>
      <c r="E229" s="161"/>
      <c r="F229" s="160"/>
    </row>
    <row r="230" spans="2:6" ht="15.75">
      <c r="B230" s="161"/>
      <c r="C230" s="160"/>
      <c r="E230" s="161"/>
      <c r="F230" s="160"/>
    </row>
    <row r="231" spans="2:6" ht="15.75">
      <c r="B231" s="161"/>
      <c r="C231" s="160"/>
      <c r="E231" s="161"/>
      <c r="F231" s="160"/>
    </row>
    <row r="232" spans="2:6" ht="15.75">
      <c r="B232" s="161"/>
      <c r="C232" s="160"/>
      <c r="E232" s="161"/>
      <c r="F232" s="160"/>
    </row>
    <row r="233" spans="2:6" ht="15.75">
      <c r="B233" s="161"/>
      <c r="C233" s="160"/>
      <c r="E233" s="161"/>
      <c r="F233" s="160"/>
    </row>
    <row r="234" spans="2:6" ht="15.75">
      <c r="B234" s="161"/>
      <c r="C234" s="160"/>
      <c r="E234" s="161"/>
      <c r="F234" s="160"/>
    </row>
    <row r="235" spans="2:6" ht="15.75">
      <c r="B235" s="161"/>
      <c r="C235" s="160"/>
      <c r="E235" s="161"/>
      <c r="F235" s="160"/>
    </row>
    <row r="236" spans="2:6" ht="15.75">
      <c r="B236" s="161"/>
      <c r="C236" s="160"/>
      <c r="E236" s="161"/>
      <c r="F236" s="160"/>
    </row>
    <row r="237" spans="2:6" ht="15.75">
      <c r="B237" s="161"/>
      <c r="C237" s="160"/>
      <c r="E237" s="161"/>
      <c r="F237" s="160"/>
    </row>
    <row r="238" spans="2:6" ht="15.75">
      <c r="B238" s="161"/>
      <c r="C238" s="160"/>
      <c r="E238" s="161"/>
      <c r="F238" s="160"/>
    </row>
    <row r="239" spans="2:6" ht="15.75">
      <c r="B239" s="161"/>
      <c r="C239" s="160"/>
      <c r="E239" s="161"/>
      <c r="F239" s="160"/>
    </row>
    <row r="240" spans="2:6" ht="15.75">
      <c r="B240" s="161"/>
      <c r="C240" s="160"/>
      <c r="E240" s="161"/>
      <c r="F240" s="160"/>
    </row>
    <row r="241" spans="2:6" ht="15.75">
      <c r="B241" s="161"/>
      <c r="C241" s="160"/>
      <c r="E241" s="161"/>
      <c r="F241" s="160"/>
    </row>
    <row r="242" spans="2:6" ht="15.75">
      <c r="C242" s="162"/>
      <c r="E242" s="161"/>
      <c r="F242" s="160"/>
    </row>
    <row r="243" spans="2:6" ht="15.75">
      <c r="C243" s="162"/>
      <c r="E243" s="161"/>
      <c r="F243" s="160"/>
    </row>
    <row r="244" spans="2:6" ht="15.75">
      <c r="C244" s="162"/>
      <c r="E244" s="161"/>
      <c r="F244" s="160"/>
    </row>
    <row r="245" spans="2:6" ht="15.75">
      <c r="C245" s="162"/>
      <c r="E245" s="161"/>
      <c r="F245" s="160"/>
    </row>
    <row r="246" spans="2:6">
      <c r="C246" s="162"/>
      <c r="F246" s="162"/>
    </row>
    <row r="247" spans="2:6">
      <c r="C247" s="162"/>
      <c r="F247" s="162"/>
    </row>
    <row r="248" spans="2:6">
      <c r="F248" s="162"/>
    </row>
    <row r="249" spans="2:6">
      <c r="F249" s="162"/>
    </row>
    <row r="250" spans="2:6">
      <c r="F250" s="162"/>
    </row>
    <row r="251" spans="2:6">
      <c r="F251" s="162"/>
    </row>
  </sheetData>
  <mergeCells count="7">
    <mergeCell ref="E48:E49"/>
    <mergeCell ref="B2:C2"/>
    <mergeCell ref="E2:F2"/>
    <mergeCell ref="B3:C3"/>
    <mergeCell ref="E3:F3"/>
    <mergeCell ref="B44:B45"/>
    <mergeCell ref="E28:E29"/>
  </mergeCells>
  <printOptions horizontalCentered="1" verticalCentered="1"/>
  <pageMargins left="0" right="0" top="0" bottom="0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2:G46"/>
  <sheetViews>
    <sheetView workbookViewId="0">
      <selection activeCell="D27" sqref="D27"/>
    </sheetView>
  </sheetViews>
  <sheetFormatPr defaultColWidth="9" defaultRowHeight="15"/>
  <cols>
    <col min="1" max="1" width="9" style="131"/>
    <col min="2" max="3" width="9.140625" style="132"/>
    <col min="4" max="4" width="28.5703125" style="132" customWidth="1"/>
    <col min="5" max="5" width="14.140625" style="132" customWidth="1"/>
    <col min="6" max="6" width="23.7109375" style="132" customWidth="1"/>
    <col min="7" max="7" width="18.85546875" style="131" customWidth="1"/>
    <col min="8" max="16384" width="9" style="131"/>
  </cols>
  <sheetData>
    <row r="2" spans="2:7" ht="30.75" customHeight="1">
      <c r="B2" s="3821" t="s">
        <v>35</v>
      </c>
      <c r="C2" s="3822"/>
      <c r="D2" s="133" t="s">
        <v>479</v>
      </c>
      <c r="E2" s="133" t="s">
        <v>480</v>
      </c>
      <c r="F2" s="134" t="s">
        <v>481</v>
      </c>
      <c r="G2" s="135"/>
    </row>
    <row r="3" spans="2:7" ht="25.5" customHeight="1">
      <c r="B3" s="3823" t="s">
        <v>46</v>
      </c>
      <c r="C3" s="3824"/>
      <c r="D3" s="136" t="s">
        <v>174</v>
      </c>
      <c r="E3" s="137">
        <v>48</v>
      </c>
      <c r="F3" s="137" t="s">
        <v>482</v>
      </c>
      <c r="G3" s="138"/>
    </row>
    <row r="4" spans="2:7" ht="25.5" customHeight="1">
      <c r="B4" s="3825" t="s">
        <v>46</v>
      </c>
      <c r="C4" s="3826"/>
      <c r="D4" s="139" t="s">
        <v>483</v>
      </c>
      <c r="E4" s="140">
        <v>48</v>
      </c>
      <c r="F4" s="140" t="s">
        <v>484</v>
      </c>
      <c r="G4" s="138"/>
    </row>
    <row r="5" spans="2:7" ht="25.5" customHeight="1">
      <c r="B5" s="3817" t="s">
        <v>146</v>
      </c>
      <c r="C5" s="3818"/>
      <c r="D5" s="141" t="s">
        <v>147</v>
      </c>
      <c r="E5" s="142">
        <v>91</v>
      </c>
      <c r="F5" s="142" t="s">
        <v>485</v>
      </c>
      <c r="G5" s="138"/>
    </row>
    <row r="6" spans="2:7" ht="25.5" customHeight="1">
      <c r="B6" s="3817" t="s">
        <v>70</v>
      </c>
      <c r="C6" s="3818"/>
      <c r="D6" s="141" t="s">
        <v>71</v>
      </c>
      <c r="E6" s="142">
        <v>333</v>
      </c>
      <c r="F6" s="142" t="s">
        <v>486</v>
      </c>
      <c r="G6" s="138"/>
    </row>
    <row r="7" spans="2:7" ht="25.5" customHeight="1">
      <c r="B7" s="3817" t="s">
        <v>98</v>
      </c>
      <c r="C7" s="3818"/>
      <c r="D7" s="141" t="s">
        <v>99</v>
      </c>
      <c r="E7" s="142">
        <v>496</v>
      </c>
      <c r="F7" s="142" t="s">
        <v>487</v>
      </c>
      <c r="G7" s="138"/>
    </row>
    <row r="8" spans="2:7" ht="25.5" customHeight="1">
      <c r="B8" s="3817" t="s">
        <v>159</v>
      </c>
      <c r="C8" s="3818"/>
      <c r="D8" s="141" t="s">
        <v>160</v>
      </c>
      <c r="E8" s="142">
        <v>456</v>
      </c>
      <c r="F8" s="142" t="s">
        <v>488</v>
      </c>
      <c r="G8" s="138"/>
    </row>
    <row r="9" spans="2:7" ht="25.5" customHeight="1">
      <c r="B9" s="3817" t="s">
        <v>96</v>
      </c>
      <c r="C9" s="3818"/>
      <c r="D9" s="141" t="s">
        <v>97</v>
      </c>
      <c r="E9" s="142">
        <v>456</v>
      </c>
      <c r="F9" s="142" t="s">
        <v>489</v>
      </c>
      <c r="G9" s="138"/>
    </row>
    <row r="10" spans="2:7" ht="25.5" customHeight="1">
      <c r="B10" s="3817" t="s">
        <v>343</v>
      </c>
      <c r="C10" s="3818"/>
      <c r="D10" s="141" t="s">
        <v>344</v>
      </c>
      <c r="E10" s="142">
        <v>576</v>
      </c>
      <c r="F10" s="142" t="s">
        <v>490</v>
      </c>
      <c r="G10" s="138"/>
    </row>
    <row r="11" spans="2:7" ht="25.5" customHeight="1">
      <c r="B11" s="3817" t="s">
        <v>92</v>
      </c>
      <c r="C11" s="3818"/>
      <c r="D11" s="141" t="s">
        <v>93</v>
      </c>
      <c r="E11" s="142">
        <v>576</v>
      </c>
      <c r="F11" s="142" t="s">
        <v>491</v>
      </c>
      <c r="G11" s="138"/>
    </row>
    <row r="12" spans="2:7" ht="25.5" customHeight="1">
      <c r="B12" s="3817" t="s">
        <v>189</v>
      </c>
      <c r="C12" s="3818"/>
      <c r="D12" s="141" t="s">
        <v>190</v>
      </c>
      <c r="E12" s="142">
        <v>738</v>
      </c>
      <c r="F12" s="142" t="s">
        <v>492</v>
      </c>
      <c r="G12" s="138"/>
    </row>
    <row r="13" spans="2:7" ht="25.5" customHeight="1">
      <c r="B13" s="3817" t="s">
        <v>42</v>
      </c>
      <c r="C13" s="3818"/>
      <c r="D13" s="141" t="s">
        <v>493</v>
      </c>
      <c r="E13" s="142">
        <v>479</v>
      </c>
      <c r="F13" s="142" t="s">
        <v>494</v>
      </c>
      <c r="G13" s="138"/>
    </row>
    <row r="14" spans="2:7" ht="25.5" customHeight="1">
      <c r="B14" s="3817" t="s">
        <v>42</v>
      </c>
      <c r="C14" s="3818"/>
      <c r="D14" s="141" t="s">
        <v>495</v>
      </c>
      <c r="E14" s="142">
        <v>479</v>
      </c>
      <c r="F14" s="142" t="s">
        <v>496</v>
      </c>
      <c r="G14" s="138"/>
    </row>
    <row r="15" spans="2:7" ht="25.5" customHeight="1">
      <c r="B15" s="3817" t="s">
        <v>54</v>
      </c>
      <c r="C15" s="3818"/>
      <c r="D15" s="141" t="s">
        <v>55</v>
      </c>
      <c r="E15" s="142">
        <v>590</v>
      </c>
      <c r="F15" s="142" t="s">
        <v>497</v>
      </c>
      <c r="G15" s="138"/>
    </row>
    <row r="16" spans="2:7" ht="25.5" customHeight="1">
      <c r="B16" s="3817" t="s">
        <v>64</v>
      </c>
      <c r="C16" s="3818"/>
      <c r="D16" s="141" t="s">
        <v>65</v>
      </c>
      <c r="E16" s="142">
        <v>598</v>
      </c>
      <c r="F16" s="142" t="s">
        <v>498</v>
      </c>
      <c r="G16" s="138"/>
    </row>
    <row r="17" spans="2:7" ht="25.5" customHeight="1">
      <c r="B17" s="3817" t="s">
        <v>141</v>
      </c>
      <c r="C17" s="3818"/>
      <c r="D17" s="141" t="s">
        <v>499</v>
      </c>
      <c r="E17" s="142">
        <v>605</v>
      </c>
      <c r="F17" s="142" t="s">
        <v>500</v>
      </c>
      <c r="G17" s="138"/>
    </row>
    <row r="18" spans="2:7" ht="25.5" customHeight="1">
      <c r="B18" s="3817" t="s">
        <v>106</v>
      </c>
      <c r="C18" s="3818"/>
      <c r="D18" s="141" t="s">
        <v>501</v>
      </c>
      <c r="E18" s="142">
        <v>606</v>
      </c>
      <c r="F18" s="142" t="s">
        <v>502</v>
      </c>
      <c r="G18" s="138"/>
    </row>
    <row r="19" spans="2:7" ht="25.5" customHeight="1">
      <c r="B19" s="3817" t="s">
        <v>81</v>
      </c>
      <c r="C19" s="3818"/>
      <c r="D19" s="141" t="s">
        <v>503</v>
      </c>
      <c r="E19" s="142">
        <v>606</v>
      </c>
      <c r="F19" s="142" t="s">
        <v>504</v>
      </c>
      <c r="G19" s="138"/>
    </row>
    <row r="20" spans="2:7" ht="25.5" customHeight="1">
      <c r="B20" s="3817" t="s">
        <v>50</v>
      </c>
      <c r="C20" s="3818"/>
      <c r="D20" s="141" t="s">
        <v>505</v>
      </c>
      <c r="E20" s="142">
        <v>612</v>
      </c>
      <c r="F20" s="142" t="s">
        <v>506</v>
      </c>
      <c r="G20" s="138"/>
    </row>
    <row r="21" spans="2:7" ht="25.5" customHeight="1">
      <c r="B21" s="3817" t="s">
        <v>50</v>
      </c>
      <c r="C21" s="3818"/>
      <c r="D21" s="141" t="s">
        <v>507</v>
      </c>
      <c r="E21" s="142">
        <v>612</v>
      </c>
      <c r="F21" s="142" t="s">
        <v>508</v>
      </c>
      <c r="G21" s="142" t="s">
        <v>509</v>
      </c>
    </row>
    <row r="22" spans="2:7" ht="25.5" customHeight="1">
      <c r="B22" s="3817" t="s">
        <v>253</v>
      </c>
      <c r="C22" s="3818"/>
      <c r="D22" s="141" t="s">
        <v>510</v>
      </c>
      <c r="E22" s="142">
        <v>612</v>
      </c>
      <c r="F22" s="142" t="s">
        <v>511</v>
      </c>
      <c r="G22" s="138"/>
    </row>
    <row r="23" spans="2:7" ht="25.5" customHeight="1">
      <c r="B23" s="3817" t="s">
        <v>52</v>
      </c>
      <c r="C23" s="3818"/>
      <c r="D23" s="141" t="s">
        <v>512</v>
      </c>
      <c r="E23" s="142">
        <v>633</v>
      </c>
      <c r="F23" s="142" t="s">
        <v>513</v>
      </c>
      <c r="G23" s="138"/>
    </row>
    <row r="24" spans="2:7" ht="25.5" customHeight="1">
      <c r="B24" s="3817" t="s">
        <v>52</v>
      </c>
      <c r="C24" s="3818"/>
      <c r="D24" s="141" t="s">
        <v>514</v>
      </c>
      <c r="E24" s="142">
        <v>633</v>
      </c>
      <c r="F24" s="142" t="s">
        <v>515</v>
      </c>
      <c r="G24" s="138"/>
    </row>
    <row r="25" spans="2:7" ht="25.5" customHeight="1">
      <c r="B25" s="3817" t="s">
        <v>79</v>
      </c>
      <c r="C25" s="3818"/>
      <c r="D25" s="141" t="s">
        <v>80</v>
      </c>
      <c r="E25" s="142">
        <v>184725</v>
      </c>
      <c r="F25" s="142" t="s">
        <v>516</v>
      </c>
      <c r="G25" s="138"/>
    </row>
    <row r="26" spans="2:7" ht="25.5" customHeight="1">
      <c r="B26" s="3817" t="s">
        <v>157</v>
      </c>
      <c r="C26" s="3818"/>
      <c r="D26" s="141" t="s">
        <v>517</v>
      </c>
      <c r="E26" s="142">
        <v>642</v>
      </c>
      <c r="F26" s="142" t="s">
        <v>518</v>
      </c>
      <c r="G26" s="138"/>
    </row>
    <row r="27" spans="2:7" ht="25.5" customHeight="1">
      <c r="B27" s="3817" t="s">
        <v>150</v>
      </c>
      <c r="C27" s="3818"/>
      <c r="D27" s="141" t="s">
        <v>151</v>
      </c>
      <c r="E27" s="142">
        <v>642</v>
      </c>
      <c r="F27" s="142" t="s">
        <v>519</v>
      </c>
      <c r="G27" s="138"/>
    </row>
    <row r="28" spans="2:7" ht="25.5" customHeight="1">
      <c r="B28" s="3817" t="s">
        <v>83</v>
      </c>
      <c r="C28" s="3818"/>
      <c r="D28" s="141" t="s">
        <v>84</v>
      </c>
      <c r="E28" s="142">
        <v>655</v>
      </c>
      <c r="F28" s="142" t="s">
        <v>520</v>
      </c>
      <c r="G28" s="138"/>
    </row>
    <row r="29" spans="2:7" ht="25.5" customHeight="1">
      <c r="B29" s="3817" t="s">
        <v>56</v>
      </c>
      <c r="C29" s="3818"/>
      <c r="D29" s="141" t="s">
        <v>57</v>
      </c>
      <c r="E29" s="142">
        <v>663</v>
      </c>
      <c r="F29" s="142" t="s">
        <v>521</v>
      </c>
      <c r="G29" s="138"/>
    </row>
    <row r="30" spans="2:7" ht="25.5" customHeight="1">
      <c r="B30" s="3817" t="s">
        <v>153</v>
      </c>
      <c r="C30" s="3818"/>
      <c r="D30" s="141" t="s">
        <v>154</v>
      </c>
      <c r="E30" s="142">
        <v>664</v>
      </c>
      <c r="F30" s="142" t="s">
        <v>522</v>
      </c>
      <c r="G30" s="138"/>
    </row>
    <row r="31" spans="2:7" ht="25.5" customHeight="1">
      <c r="B31" s="3817" t="s">
        <v>90</v>
      </c>
      <c r="C31" s="3818"/>
      <c r="D31" s="141" t="s">
        <v>523</v>
      </c>
      <c r="E31" s="142">
        <v>674</v>
      </c>
      <c r="F31" s="142" t="s">
        <v>524</v>
      </c>
      <c r="G31" s="138"/>
    </row>
    <row r="32" spans="2:7" ht="25.5" customHeight="1">
      <c r="B32" s="3817" t="s">
        <v>44</v>
      </c>
      <c r="C32" s="3818"/>
      <c r="D32" s="141" t="s">
        <v>197</v>
      </c>
      <c r="E32" s="142">
        <v>674</v>
      </c>
      <c r="F32" s="142" t="s">
        <v>525</v>
      </c>
      <c r="G32" s="138"/>
    </row>
    <row r="33" spans="2:7" ht="25.5" customHeight="1">
      <c r="B33" s="3817" t="s">
        <v>285</v>
      </c>
      <c r="C33" s="3818"/>
      <c r="D33" s="141" t="s">
        <v>69</v>
      </c>
      <c r="E33" s="142">
        <v>184422</v>
      </c>
      <c r="F33" s="142" t="s">
        <v>526</v>
      </c>
      <c r="G33" s="138"/>
    </row>
    <row r="34" spans="2:7" ht="25.5" customHeight="1">
      <c r="B34" s="3817" t="s">
        <v>85</v>
      </c>
      <c r="C34" s="3818"/>
      <c r="D34" s="141" t="s">
        <v>86</v>
      </c>
      <c r="E34" s="142">
        <v>714</v>
      </c>
      <c r="F34" s="142" t="s">
        <v>527</v>
      </c>
      <c r="G34" s="138"/>
    </row>
    <row r="35" spans="2:7" ht="25.5" customHeight="1">
      <c r="B35" s="3817" t="s">
        <v>62</v>
      </c>
      <c r="C35" s="3818"/>
      <c r="D35" s="141" t="s">
        <v>63</v>
      </c>
      <c r="E35" s="142">
        <v>740</v>
      </c>
      <c r="F35" s="142" t="s">
        <v>528</v>
      </c>
      <c r="G35" s="138"/>
    </row>
    <row r="36" spans="2:7" ht="25.5" customHeight="1">
      <c r="B36" s="3817" t="s">
        <v>224</v>
      </c>
      <c r="C36" s="3818"/>
      <c r="D36" s="141" t="s">
        <v>225</v>
      </c>
      <c r="E36" s="142">
        <v>782</v>
      </c>
      <c r="F36" s="142" t="s">
        <v>529</v>
      </c>
      <c r="G36" s="138"/>
    </row>
    <row r="37" spans="2:7" ht="25.5" customHeight="1">
      <c r="B37" s="3817" t="s">
        <v>88</v>
      </c>
      <c r="C37" s="3818"/>
      <c r="D37" s="141" t="s">
        <v>89</v>
      </c>
      <c r="E37" s="142">
        <v>799</v>
      </c>
      <c r="F37" s="142" t="s">
        <v>530</v>
      </c>
      <c r="G37" s="138"/>
    </row>
    <row r="38" spans="2:7" ht="25.5" customHeight="1">
      <c r="B38" s="3817" t="s">
        <v>199</v>
      </c>
      <c r="C38" s="3818"/>
      <c r="D38" s="141" t="s">
        <v>200</v>
      </c>
      <c r="E38" s="142">
        <v>804</v>
      </c>
      <c r="F38" s="142" t="s">
        <v>531</v>
      </c>
      <c r="G38" s="138"/>
    </row>
    <row r="39" spans="2:7" ht="25.5" customHeight="1">
      <c r="B39" s="3817" t="s">
        <v>139</v>
      </c>
      <c r="C39" s="3818"/>
      <c r="D39" s="141" t="s">
        <v>140</v>
      </c>
      <c r="E39" s="142">
        <v>809</v>
      </c>
      <c r="F39" s="142" t="s">
        <v>532</v>
      </c>
      <c r="G39" s="138"/>
    </row>
    <row r="40" spans="2:7" ht="25.5" customHeight="1">
      <c r="B40" s="3817" t="s">
        <v>305</v>
      </c>
      <c r="C40" s="3818"/>
      <c r="D40" s="141" t="s">
        <v>174</v>
      </c>
      <c r="E40" s="142">
        <v>184212</v>
      </c>
      <c r="F40" s="142" t="s">
        <v>533</v>
      </c>
      <c r="G40" s="138"/>
    </row>
    <row r="41" spans="2:7" ht="25.5" customHeight="1">
      <c r="B41" s="3817" t="s">
        <v>74</v>
      </c>
      <c r="C41" s="3818"/>
      <c r="D41" s="141" t="s">
        <v>534</v>
      </c>
      <c r="E41" s="142">
        <v>184328</v>
      </c>
      <c r="F41" s="142" t="s">
        <v>535</v>
      </c>
      <c r="G41" s="138"/>
    </row>
    <row r="42" spans="2:7" ht="25.5" customHeight="1">
      <c r="B42" s="3817" t="s">
        <v>155</v>
      </c>
      <c r="C42" s="3818"/>
      <c r="D42" s="141" t="s">
        <v>536</v>
      </c>
      <c r="E42" s="142">
        <v>184446</v>
      </c>
      <c r="F42" s="142" t="s">
        <v>537</v>
      </c>
      <c r="G42" s="138"/>
    </row>
    <row r="43" spans="2:7" ht="25.5" customHeight="1">
      <c r="B43" s="3817" t="s">
        <v>66</v>
      </c>
      <c r="C43" s="3818"/>
      <c r="D43" s="141" t="s">
        <v>538</v>
      </c>
      <c r="E43" s="142">
        <v>184461</v>
      </c>
      <c r="F43" s="142" t="s">
        <v>539</v>
      </c>
      <c r="G43" s="138"/>
    </row>
    <row r="44" spans="2:7" ht="25.5" customHeight="1">
      <c r="B44" s="3817" t="s">
        <v>72</v>
      </c>
      <c r="C44" s="3818"/>
      <c r="D44" s="141" t="s">
        <v>540</v>
      </c>
      <c r="E44" s="142">
        <v>184555</v>
      </c>
      <c r="F44" s="142" t="s">
        <v>541</v>
      </c>
      <c r="G44" s="138"/>
    </row>
    <row r="45" spans="2:7" ht="25.5" customHeight="1">
      <c r="B45" s="3817" t="s">
        <v>348</v>
      </c>
      <c r="C45" s="3818"/>
      <c r="D45" s="141" t="s">
        <v>349</v>
      </c>
      <c r="E45" s="142">
        <v>444</v>
      </c>
      <c r="F45" s="142" t="s">
        <v>542</v>
      </c>
      <c r="G45" s="138"/>
    </row>
    <row r="46" spans="2:7" ht="25.5" customHeight="1">
      <c r="B46" s="3819" t="s">
        <v>76</v>
      </c>
      <c r="C46" s="3820"/>
      <c r="D46" s="143" t="s">
        <v>77</v>
      </c>
      <c r="E46" s="144">
        <v>184708</v>
      </c>
      <c r="F46" s="144" t="s">
        <v>543</v>
      </c>
      <c r="G46" s="145"/>
    </row>
  </sheetData>
  <autoFilter ref="B2:G46" xr:uid="{00000000-0009-0000-0000-000004000000}"/>
  <mergeCells count="45"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43"/>
  <sheetViews>
    <sheetView workbookViewId="0">
      <selection activeCell="D27" sqref="D27"/>
    </sheetView>
  </sheetViews>
  <sheetFormatPr defaultColWidth="9.140625" defaultRowHeight="15"/>
  <cols>
    <col min="1" max="1" width="0.85546875" style="1" customWidth="1"/>
    <col min="2" max="2" width="10.7109375" style="1" customWidth="1"/>
    <col min="3" max="3" width="6.5703125" style="1" customWidth="1"/>
    <col min="4" max="4" width="16.5703125" style="1" customWidth="1"/>
    <col min="5" max="6" width="12.7109375" style="1" customWidth="1"/>
    <col min="7" max="8" width="9.5703125" style="1" customWidth="1"/>
    <col min="9" max="10" width="10.7109375" style="1" customWidth="1"/>
    <col min="11" max="11" width="0.85546875" style="1" customWidth="1"/>
    <col min="12" max="13" width="11.7109375" style="1" customWidth="1"/>
    <col min="14" max="14" width="0.85546875" style="1" customWidth="1"/>
    <col min="15" max="16" width="9.7109375" style="1" customWidth="1"/>
    <col min="17" max="17" width="0.85546875" style="1" customWidth="1"/>
    <col min="18" max="16384" width="9.140625" style="1"/>
  </cols>
  <sheetData>
    <row r="1" spans="2:16" ht="10.5" customHeight="1"/>
    <row r="2" spans="2:16" ht="15" customHeight="1">
      <c r="B2" s="3832"/>
      <c r="C2" s="3833"/>
      <c r="D2" s="3834"/>
      <c r="E2" s="3841" t="s">
        <v>544</v>
      </c>
      <c r="F2" s="3842"/>
      <c r="G2" s="3842"/>
      <c r="H2" s="3842"/>
      <c r="I2" s="3845" t="s">
        <v>545</v>
      </c>
      <c r="J2" s="3846"/>
      <c r="L2" s="3845" t="s">
        <v>546</v>
      </c>
      <c r="M2" s="3846"/>
      <c r="O2" s="3944" t="s">
        <v>129</v>
      </c>
      <c r="P2" s="3945"/>
    </row>
    <row r="3" spans="2:16" ht="15.75" customHeight="1">
      <c r="B3" s="3835"/>
      <c r="C3" s="3836"/>
      <c r="D3" s="3837"/>
      <c r="E3" s="3843"/>
      <c r="F3" s="3844"/>
      <c r="G3" s="3844"/>
      <c r="H3" s="3844"/>
      <c r="I3" s="3847"/>
      <c r="J3" s="3848"/>
      <c r="L3" s="3946" t="s">
        <v>130</v>
      </c>
      <c r="M3" s="3947"/>
      <c r="O3" s="3948" t="s">
        <v>130</v>
      </c>
      <c r="P3" s="3949"/>
    </row>
    <row r="4" spans="2:16" ht="15" customHeight="1">
      <c r="B4" s="3835"/>
      <c r="C4" s="3836"/>
      <c r="D4" s="3837"/>
      <c r="E4" s="3849" t="s">
        <v>547</v>
      </c>
      <c r="F4" s="3850"/>
      <c r="G4" s="3850"/>
      <c r="H4" s="3853">
        <v>46023</v>
      </c>
      <c r="I4" s="3853"/>
      <c r="J4" s="3854"/>
      <c r="L4" s="3950" t="s">
        <v>548</v>
      </c>
      <c r="M4" s="3951"/>
      <c r="O4" s="3952" t="s">
        <v>549</v>
      </c>
      <c r="P4" s="3953"/>
    </row>
    <row r="5" spans="2:16" ht="15.75" customHeight="1">
      <c r="B5" s="3838"/>
      <c r="C5" s="3839"/>
      <c r="D5" s="3840"/>
      <c r="E5" s="3851"/>
      <c r="F5" s="3852"/>
      <c r="G5" s="3852"/>
      <c r="H5" s="3855"/>
      <c r="I5" s="3855"/>
      <c r="J5" s="3856"/>
      <c r="L5" s="120" t="s">
        <v>547</v>
      </c>
      <c r="M5" s="121">
        <f>H4</f>
        <v>46023</v>
      </c>
      <c r="O5" s="3954">
        <f>H4</f>
        <v>46023</v>
      </c>
      <c r="P5" s="3955"/>
    </row>
    <row r="6" spans="2:16" ht="21" customHeight="1">
      <c r="B6" s="3857" t="s">
        <v>550</v>
      </c>
      <c r="C6" s="3858"/>
      <c r="D6" s="3830" t="s">
        <v>551</v>
      </c>
      <c r="E6" s="3865" t="s">
        <v>552</v>
      </c>
      <c r="F6" s="3866"/>
      <c r="G6" s="3869" t="s">
        <v>553</v>
      </c>
      <c r="H6" s="3870"/>
      <c r="I6" s="3956" t="s">
        <v>554</v>
      </c>
      <c r="J6" s="3957"/>
      <c r="L6" s="3861" t="s">
        <v>120</v>
      </c>
      <c r="M6" s="3862"/>
      <c r="N6" s="122"/>
      <c r="O6" s="3861" t="s">
        <v>555</v>
      </c>
      <c r="P6" s="3862"/>
    </row>
    <row r="7" spans="2:16" ht="22.5" customHeight="1">
      <c r="B7" s="3859"/>
      <c r="C7" s="3860"/>
      <c r="D7" s="3831"/>
      <c r="E7" s="3867"/>
      <c r="F7" s="3868"/>
      <c r="G7" s="3871"/>
      <c r="H7" s="3872"/>
      <c r="I7" s="3926" t="s">
        <v>556</v>
      </c>
      <c r="J7" s="3927"/>
      <c r="L7" s="3863"/>
      <c r="M7" s="3864"/>
      <c r="N7" s="122"/>
      <c r="O7" s="3928" t="s">
        <v>557</v>
      </c>
      <c r="P7" s="3929"/>
    </row>
    <row r="8" spans="2:16">
      <c r="B8" s="3930">
        <v>46023</v>
      </c>
      <c r="C8" s="3931"/>
      <c r="D8" s="123" t="s">
        <v>558</v>
      </c>
      <c r="E8" s="3932"/>
      <c r="F8" s="3933"/>
      <c r="G8" s="3934"/>
      <c r="H8" s="3935"/>
      <c r="I8" s="3936" t="e">
        <f t="shared" ref="I8:I15" si="0">E8/G8</f>
        <v>#DIV/0!</v>
      </c>
      <c r="J8" s="3937"/>
      <c r="L8" s="3938"/>
      <c r="M8" s="3939"/>
      <c r="O8" s="3940"/>
      <c r="P8" s="3941"/>
    </row>
    <row r="9" spans="2:16">
      <c r="B9" s="3918">
        <v>46024</v>
      </c>
      <c r="C9" s="3919"/>
      <c r="D9" s="124" t="s">
        <v>559</v>
      </c>
      <c r="E9" s="3898"/>
      <c r="F9" s="3899"/>
      <c r="G9" s="3942"/>
      <c r="H9" s="3943"/>
      <c r="I9" s="3902">
        <v>0</v>
      </c>
      <c r="J9" s="3903"/>
      <c r="L9" s="3904"/>
      <c r="M9" s="3905"/>
      <c r="O9" s="3906"/>
      <c r="P9" s="3907"/>
    </row>
    <row r="10" spans="2:16">
      <c r="B10" s="3918">
        <v>46025</v>
      </c>
      <c r="C10" s="3919"/>
      <c r="D10" s="125" t="s">
        <v>560</v>
      </c>
      <c r="E10" s="3898"/>
      <c r="F10" s="3899"/>
      <c r="G10" s="3920"/>
      <c r="H10" s="3921"/>
      <c r="I10" s="3902" t="e">
        <f t="shared" si="0"/>
        <v>#DIV/0!</v>
      </c>
      <c r="J10" s="3903"/>
      <c r="L10" s="3904"/>
      <c r="M10" s="3905"/>
      <c r="O10" s="3906"/>
      <c r="P10" s="3907"/>
    </row>
    <row r="11" spans="2:16" ht="15.75">
      <c r="B11" s="3918">
        <v>46026</v>
      </c>
      <c r="C11" s="3919"/>
      <c r="D11" s="126" t="s">
        <v>561</v>
      </c>
      <c r="E11" s="3898"/>
      <c r="F11" s="3899"/>
      <c r="G11" s="3900"/>
      <c r="H11" s="3901"/>
      <c r="I11" s="3902" t="e">
        <f t="shared" si="0"/>
        <v>#DIV/0!</v>
      </c>
      <c r="J11" s="3903"/>
      <c r="L11" s="3904"/>
      <c r="M11" s="3905"/>
      <c r="O11" s="3906"/>
      <c r="P11" s="3907"/>
    </row>
    <row r="12" spans="2:16">
      <c r="B12" s="3918">
        <v>46027</v>
      </c>
      <c r="C12" s="3919"/>
      <c r="D12" s="124" t="s">
        <v>562</v>
      </c>
      <c r="E12" s="3898"/>
      <c r="F12" s="3899"/>
      <c r="G12" s="3924"/>
      <c r="H12" s="3925"/>
      <c r="I12" s="3902" t="e">
        <f t="shared" si="0"/>
        <v>#DIV/0!</v>
      </c>
      <c r="J12" s="3903"/>
      <c r="L12" s="3904"/>
      <c r="M12" s="3905"/>
      <c r="O12" s="3906"/>
      <c r="P12" s="3907"/>
    </row>
    <row r="13" spans="2:16">
      <c r="B13" s="3918">
        <v>46028</v>
      </c>
      <c r="C13" s="3919"/>
      <c r="D13" s="124" t="s">
        <v>563</v>
      </c>
      <c r="E13" s="3898"/>
      <c r="F13" s="3899"/>
      <c r="G13" s="3924"/>
      <c r="H13" s="3925"/>
      <c r="I13" s="3902" t="e">
        <f t="shared" si="0"/>
        <v>#DIV/0!</v>
      </c>
      <c r="J13" s="3903"/>
      <c r="L13" s="3904"/>
      <c r="M13" s="3905"/>
      <c r="O13" s="3906"/>
      <c r="P13" s="3907"/>
    </row>
    <row r="14" spans="2:16">
      <c r="B14" s="3918">
        <v>46029</v>
      </c>
      <c r="C14" s="3919"/>
      <c r="D14" s="125" t="s">
        <v>564</v>
      </c>
      <c r="E14" s="3898"/>
      <c r="F14" s="3899"/>
      <c r="G14" s="3900"/>
      <c r="H14" s="3901"/>
      <c r="I14" s="3902" t="e">
        <f t="shared" si="0"/>
        <v>#DIV/0!</v>
      </c>
      <c r="J14" s="3903"/>
      <c r="L14" s="3904"/>
      <c r="M14" s="3905"/>
      <c r="O14" s="3906"/>
      <c r="P14" s="3907"/>
    </row>
    <row r="15" spans="2:16">
      <c r="B15" s="3918">
        <v>46030</v>
      </c>
      <c r="C15" s="3919"/>
      <c r="D15" s="124" t="s">
        <v>558</v>
      </c>
      <c r="E15" s="3898"/>
      <c r="F15" s="3899"/>
      <c r="G15" s="3900"/>
      <c r="H15" s="3901"/>
      <c r="I15" s="3902" t="e">
        <f t="shared" si="0"/>
        <v>#DIV/0!</v>
      </c>
      <c r="J15" s="3903"/>
      <c r="L15" s="3904"/>
      <c r="M15" s="3905"/>
      <c r="O15" s="3906"/>
      <c r="P15" s="3907"/>
    </row>
    <row r="16" spans="2:16">
      <c r="B16" s="3918">
        <v>46031</v>
      </c>
      <c r="C16" s="3919"/>
      <c r="D16" s="124" t="s">
        <v>559</v>
      </c>
      <c r="E16" s="3898"/>
      <c r="F16" s="3899"/>
      <c r="G16" s="3900"/>
      <c r="H16" s="3901"/>
      <c r="I16" s="3902">
        <v>0</v>
      </c>
      <c r="J16" s="3903"/>
      <c r="L16" s="3904"/>
      <c r="M16" s="3905"/>
      <c r="O16" s="3906"/>
      <c r="P16" s="3907"/>
    </row>
    <row r="17" spans="2:16">
      <c r="B17" s="3918">
        <v>46032</v>
      </c>
      <c r="C17" s="3919"/>
      <c r="D17" s="125" t="s">
        <v>560</v>
      </c>
      <c r="E17" s="3898"/>
      <c r="F17" s="3899"/>
      <c r="G17" s="3920"/>
      <c r="H17" s="3921"/>
      <c r="I17" s="3902" t="e">
        <f t="shared" ref="I17:I22" si="1">E17/G17</f>
        <v>#DIV/0!</v>
      </c>
      <c r="J17" s="3903"/>
      <c r="L17" s="3904"/>
      <c r="M17" s="3905"/>
      <c r="O17" s="3906"/>
      <c r="P17" s="3907"/>
    </row>
    <row r="18" spans="2:16" ht="15.75" customHeight="1">
      <c r="B18" s="3918">
        <v>46033</v>
      </c>
      <c r="C18" s="3919"/>
      <c r="D18" s="126" t="s">
        <v>561</v>
      </c>
      <c r="E18" s="3898"/>
      <c r="F18" s="3899"/>
      <c r="G18" s="3900"/>
      <c r="H18" s="3901"/>
      <c r="I18" s="3902" t="e">
        <f t="shared" si="1"/>
        <v>#DIV/0!</v>
      </c>
      <c r="J18" s="3903"/>
      <c r="L18" s="3904"/>
      <c r="M18" s="3905"/>
      <c r="O18" s="3906"/>
      <c r="P18" s="3907"/>
    </row>
    <row r="19" spans="2:16" ht="15" customHeight="1">
      <c r="B19" s="3918">
        <v>46034</v>
      </c>
      <c r="C19" s="3919"/>
      <c r="D19" s="124" t="s">
        <v>562</v>
      </c>
      <c r="E19" s="3898"/>
      <c r="F19" s="3899"/>
      <c r="G19" s="3900"/>
      <c r="H19" s="3901"/>
      <c r="I19" s="3902" t="e">
        <f t="shared" si="1"/>
        <v>#DIV/0!</v>
      </c>
      <c r="J19" s="3903"/>
      <c r="L19" s="3922"/>
      <c r="M19" s="3923"/>
      <c r="O19" s="3906" t="s">
        <v>21</v>
      </c>
      <c r="P19" s="3907"/>
    </row>
    <row r="20" spans="2:16" ht="15" customHeight="1">
      <c r="B20" s="3918">
        <v>46035</v>
      </c>
      <c r="C20" s="3919"/>
      <c r="D20" s="124" t="s">
        <v>563</v>
      </c>
      <c r="E20" s="3898"/>
      <c r="F20" s="3899"/>
      <c r="G20" s="3900"/>
      <c r="H20" s="3901"/>
      <c r="I20" s="3902" t="e">
        <f t="shared" si="1"/>
        <v>#DIV/0!</v>
      </c>
      <c r="J20" s="3903"/>
      <c r="L20" s="3922"/>
      <c r="M20" s="3923"/>
      <c r="O20" s="3906"/>
      <c r="P20" s="3907"/>
    </row>
    <row r="21" spans="2:16" ht="15" customHeight="1">
      <c r="B21" s="3918">
        <v>46036</v>
      </c>
      <c r="C21" s="3919"/>
      <c r="D21" s="125" t="s">
        <v>564</v>
      </c>
      <c r="E21" s="3898"/>
      <c r="F21" s="3899"/>
      <c r="G21" s="3900"/>
      <c r="H21" s="3901"/>
      <c r="I21" s="3902" t="e">
        <f t="shared" si="1"/>
        <v>#DIV/0!</v>
      </c>
      <c r="J21" s="3903"/>
      <c r="L21" s="3922"/>
      <c r="M21" s="3923"/>
      <c r="O21" s="3906"/>
      <c r="P21" s="3907"/>
    </row>
    <row r="22" spans="2:16">
      <c r="B22" s="3918">
        <v>46037</v>
      </c>
      <c r="C22" s="3919"/>
      <c r="D22" s="124" t="s">
        <v>558</v>
      </c>
      <c r="E22" s="3898"/>
      <c r="F22" s="3899"/>
      <c r="G22" s="3900"/>
      <c r="H22" s="3901"/>
      <c r="I22" s="3902" t="e">
        <f t="shared" si="1"/>
        <v>#DIV/0!</v>
      </c>
      <c r="J22" s="3903"/>
      <c r="L22" s="3904"/>
      <c r="M22" s="3905"/>
      <c r="O22" s="3906"/>
      <c r="P22" s="3907"/>
    </row>
    <row r="23" spans="2:16">
      <c r="B23" s="3918">
        <v>46038</v>
      </c>
      <c r="C23" s="3919"/>
      <c r="D23" s="124" t="s">
        <v>559</v>
      </c>
      <c r="E23" s="3898"/>
      <c r="F23" s="3899"/>
      <c r="G23" s="3900"/>
      <c r="H23" s="3901"/>
      <c r="I23" s="3902">
        <v>0</v>
      </c>
      <c r="J23" s="3903"/>
      <c r="L23" s="3904"/>
      <c r="M23" s="3905"/>
      <c r="O23" s="3906"/>
      <c r="P23" s="3907"/>
    </row>
    <row r="24" spans="2:16">
      <c r="B24" s="3918">
        <v>46039</v>
      </c>
      <c r="C24" s="3919"/>
      <c r="D24" s="125" t="s">
        <v>560</v>
      </c>
      <c r="E24" s="3898"/>
      <c r="F24" s="3899"/>
      <c r="G24" s="3920"/>
      <c r="H24" s="3921"/>
      <c r="I24" s="3902" t="e">
        <f t="shared" ref="I24:I38" si="2">E24/G24</f>
        <v>#DIV/0!</v>
      </c>
      <c r="J24" s="3903"/>
      <c r="L24" s="3904"/>
      <c r="M24" s="3905"/>
      <c r="O24" s="3906"/>
      <c r="P24" s="3907"/>
    </row>
    <row r="25" spans="2:16" ht="15.75">
      <c r="B25" s="3918">
        <v>46040</v>
      </c>
      <c r="C25" s="3919"/>
      <c r="D25" s="126" t="s">
        <v>561</v>
      </c>
      <c r="E25" s="3898"/>
      <c r="F25" s="3899"/>
      <c r="G25" s="3900"/>
      <c r="H25" s="3901"/>
      <c r="I25" s="3902" t="e">
        <f t="shared" si="2"/>
        <v>#DIV/0!</v>
      </c>
      <c r="J25" s="3903"/>
      <c r="L25" s="3904"/>
      <c r="M25" s="3905"/>
      <c r="O25" s="3906"/>
      <c r="P25" s="3907"/>
    </row>
    <row r="26" spans="2:16">
      <c r="B26" s="3918">
        <v>46041</v>
      </c>
      <c r="C26" s="3919"/>
      <c r="D26" s="124" t="s">
        <v>562</v>
      </c>
      <c r="E26" s="3898"/>
      <c r="F26" s="3899"/>
      <c r="G26" s="3900"/>
      <c r="H26" s="3901"/>
      <c r="I26" s="3902" t="e">
        <f t="shared" si="2"/>
        <v>#DIV/0!</v>
      </c>
      <c r="J26" s="3903"/>
      <c r="L26" s="3904"/>
      <c r="M26" s="3905"/>
      <c r="O26" s="3906"/>
      <c r="P26" s="3907"/>
    </row>
    <row r="27" spans="2:16">
      <c r="B27" s="3918">
        <v>46042</v>
      </c>
      <c r="C27" s="3919"/>
      <c r="D27" s="124" t="s">
        <v>563</v>
      </c>
      <c r="E27" s="3898"/>
      <c r="F27" s="3899"/>
      <c r="G27" s="3900"/>
      <c r="H27" s="3901"/>
      <c r="I27" s="3902" t="e">
        <f t="shared" si="2"/>
        <v>#DIV/0!</v>
      </c>
      <c r="J27" s="3903"/>
      <c r="L27" s="3904"/>
      <c r="M27" s="3905"/>
      <c r="O27" s="3906"/>
      <c r="P27" s="3907"/>
    </row>
    <row r="28" spans="2:16">
      <c r="B28" s="3918">
        <v>46043</v>
      </c>
      <c r="C28" s="3919"/>
      <c r="D28" s="125" t="s">
        <v>564</v>
      </c>
      <c r="E28" s="3898"/>
      <c r="F28" s="3899"/>
      <c r="G28" s="3900"/>
      <c r="H28" s="3901"/>
      <c r="I28" s="3902" t="e">
        <f t="shared" si="2"/>
        <v>#DIV/0!</v>
      </c>
      <c r="J28" s="3903"/>
      <c r="L28" s="3904"/>
      <c r="M28" s="3905"/>
      <c r="O28" s="3906"/>
      <c r="P28" s="3907"/>
    </row>
    <row r="29" spans="2:16">
      <c r="B29" s="3918">
        <v>46044</v>
      </c>
      <c r="C29" s="3919"/>
      <c r="D29" s="124" t="s">
        <v>558</v>
      </c>
      <c r="E29" s="3898"/>
      <c r="F29" s="3899"/>
      <c r="G29" s="3900"/>
      <c r="H29" s="3901"/>
      <c r="I29" s="3902" t="e">
        <f t="shared" si="2"/>
        <v>#DIV/0!</v>
      </c>
      <c r="J29" s="3903"/>
      <c r="L29" s="3904"/>
      <c r="M29" s="3905"/>
      <c r="O29" s="3906"/>
      <c r="P29" s="3907"/>
    </row>
    <row r="30" spans="2:16">
      <c r="B30" s="3918">
        <v>46045</v>
      </c>
      <c r="C30" s="3919"/>
      <c r="D30" s="124" t="s">
        <v>559</v>
      </c>
      <c r="E30" s="3898"/>
      <c r="F30" s="3899"/>
      <c r="G30" s="3900"/>
      <c r="H30" s="3901"/>
      <c r="I30" s="3902" t="e">
        <f t="shared" si="2"/>
        <v>#DIV/0!</v>
      </c>
      <c r="J30" s="3903"/>
      <c r="L30" s="3904"/>
      <c r="M30" s="3905"/>
      <c r="O30" s="3906"/>
      <c r="P30" s="3907"/>
    </row>
    <row r="31" spans="2:16">
      <c r="B31" s="3918">
        <v>46046</v>
      </c>
      <c r="C31" s="3919"/>
      <c r="D31" s="125" t="s">
        <v>560</v>
      </c>
      <c r="E31" s="3898"/>
      <c r="F31" s="3899"/>
      <c r="G31" s="3920"/>
      <c r="H31" s="3921"/>
      <c r="I31" s="3902" t="e">
        <f t="shared" si="2"/>
        <v>#DIV/0!</v>
      </c>
      <c r="J31" s="3903"/>
      <c r="L31" s="3904"/>
      <c r="M31" s="3905"/>
      <c r="O31" s="3906"/>
      <c r="P31" s="3907"/>
    </row>
    <row r="32" spans="2:16" ht="15.75">
      <c r="B32" s="3918">
        <v>46047</v>
      </c>
      <c r="C32" s="3919"/>
      <c r="D32" s="126" t="s">
        <v>561</v>
      </c>
      <c r="E32" s="3898"/>
      <c r="F32" s="3899"/>
      <c r="G32" s="3900"/>
      <c r="H32" s="3901"/>
      <c r="I32" s="3902" t="e">
        <f t="shared" si="2"/>
        <v>#DIV/0!</v>
      </c>
      <c r="J32" s="3903"/>
      <c r="L32" s="3904"/>
      <c r="M32" s="3905"/>
      <c r="O32" s="3906"/>
      <c r="P32" s="3907"/>
    </row>
    <row r="33" spans="2:16">
      <c r="B33" s="3918">
        <v>46048</v>
      </c>
      <c r="C33" s="3919"/>
      <c r="D33" s="124" t="s">
        <v>562</v>
      </c>
      <c r="E33" s="3898"/>
      <c r="F33" s="3899"/>
      <c r="G33" s="3900"/>
      <c r="H33" s="3901"/>
      <c r="I33" s="3902" t="e">
        <f t="shared" si="2"/>
        <v>#DIV/0!</v>
      </c>
      <c r="J33" s="3903"/>
      <c r="L33" s="3904"/>
      <c r="M33" s="3905"/>
      <c r="O33" s="3906"/>
      <c r="P33" s="3907"/>
    </row>
    <row r="34" spans="2:16">
      <c r="B34" s="3918">
        <v>46049</v>
      </c>
      <c r="C34" s="3919"/>
      <c r="D34" s="124" t="s">
        <v>563</v>
      </c>
      <c r="E34" s="3898"/>
      <c r="F34" s="3899"/>
      <c r="G34" s="3900"/>
      <c r="H34" s="3901"/>
      <c r="I34" s="3902" t="e">
        <f t="shared" si="2"/>
        <v>#DIV/0!</v>
      </c>
      <c r="J34" s="3903"/>
      <c r="L34" s="3904"/>
      <c r="M34" s="3905"/>
      <c r="O34" s="3906"/>
      <c r="P34" s="3907"/>
    </row>
    <row r="35" spans="2:16">
      <c r="B35" s="3918">
        <v>46050</v>
      </c>
      <c r="C35" s="3919"/>
      <c r="D35" s="125" t="s">
        <v>564</v>
      </c>
      <c r="E35" s="3898"/>
      <c r="F35" s="3899"/>
      <c r="G35" s="3900"/>
      <c r="H35" s="3901"/>
      <c r="I35" s="3902" t="e">
        <f t="shared" si="2"/>
        <v>#DIV/0!</v>
      </c>
      <c r="J35" s="3903"/>
      <c r="L35" s="3904"/>
      <c r="M35" s="3905"/>
      <c r="O35" s="3906"/>
      <c r="P35" s="3907"/>
    </row>
    <row r="36" spans="2:16">
      <c r="B36" s="3918">
        <v>46051</v>
      </c>
      <c r="C36" s="3919"/>
      <c r="D36" s="124" t="s">
        <v>558</v>
      </c>
      <c r="E36" s="3898"/>
      <c r="F36" s="3899"/>
      <c r="G36" s="3900"/>
      <c r="H36" s="3901"/>
      <c r="I36" s="3902" t="e">
        <f t="shared" si="2"/>
        <v>#DIV/0!</v>
      </c>
      <c r="J36" s="3903"/>
      <c r="L36" s="3904"/>
      <c r="M36" s="3905"/>
      <c r="O36" s="3906"/>
      <c r="P36" s="3907"/>
    </row>
    <row r="37" spans="2:16">
      <c r="B37" s="3918">
        <v>46052</v>
      </c>
      <c r="C37" s="3919"/>
      <c r="D37" s="124" t="s">
        <v>559</v>
      </c>
      <c r="E37" s="3898"/>
      <c r="F37" s="3899"/>
      <c r="G37" s="3900"/>
      <c r="H37" s="3901"/>
      <c r="I37" s="3902" t="e">
        <f t="shared" si="2"/>
        <v>#DIV/0!</v>
      </c>
      <c r="J37" s="3903"/>
      <c r="L37" s="3904"/>
      <c r="M37" s="3905"/>
      <c r="O37" s="3906"/>
      <c r="P37" s="3907"/>
    </row>
    <row r="38" spans="2:16">
      <c r="B38" s="3896">
        <v>46053</v>
      </c>
      <c r="C38" s="3897"/>
      <c r="D38" s="127" t="s">
        <v>560</v>
      </c>
      <c r="E38" s="3898"/>
      <c r="F38" s="3899"/>
      <c r="G38" s="3900"/>
      <c r="H38" s="3901"/>
      <c r="I38" s="3902" t="e">
        <f t="shared" si="2"/>
        <v>#DIV/0!</v>
      </c>
      <c r="J38" s="3903"/>
      <c r="L38" s="3904"/>
      <c r="M38" s="3905"/>
      <c r="O38" s="3906"/>
      <c r="P38" s="3907"/>
    </row>
    <row r="39" spans="2:16">
      <c r="B39" s="3873" t="s">
        <v>565</v>
      </c>
      <c r="C39" s="3874"/>
      <c r="D39" s="3875"/>
      <c r="E39" s="3908">
        <f>SUM(E8:F38)</f>
        <v>0</v>
      </c>
      <c r="F39" s="3909"/>
      <c r="G39" s="3910">
        <f>SUM(G8:H38)</f>
        <v>0</v>
      </c>
      <c r="H39" s="3911"/>
      <c r="I39" s="3912" t="e">
        <f>SUM(I8:J38)</f>
        <v>#DIV/0!</v>
      </c>
      <c r="J39" s="3913"/>
      <c r="L39" s="3914">
        <f>SUM(L8:M38)</f>
        <v>0</v>
      </c>
      <c r="M39" s="3915"/>
      <c r="O39" s="3916">
        <f>SUM(O8:P38)</f>
        <v>0</v>
      </c>
      <c r="P39" s="3917"/>
    </row>
    <row r="40" spans="2:16" ht="15" customHeight="1">
      <c r="B40" s="3876"/>
      <c r="C40" s="3877"/>
      <c r="D40" s="3878"/>
      <c r="E40" s="3885" t="s">
        <v>545</v>
      </c>
      <c r="F40" s="3886"/>
      <c r="G40" s="3886"/>
      <c r="H40" s="3887"/>
      <c r="I40" s="3885" t="s">
        <v>566</v>
      </c>
      <c r="J40" s="3887"/>
      <c r="L40" s="3888" t="s">
        <v>545</v>
      </c>
      <c r="M40" s="3889"/>
      <c r="O40" s="3885" t="s">
        <v>567</v>
      </c>
      <c r="P40" s="3887"/>
    </row>
    <row r="41" spans="2:16" ht="6" customHeight="1">
      <c r="B41" s="128"/>
      <c r="C41" s="128"/>
      <c r="D41" s="128"/>
      <c r="E41" s="129"/>
      <c r="F41" s="129"/>
      <c r="G41" s="129"/>
      <c r="H41" s="129"/>
      <c r="I41" s="130"/>
      <c r="J41" s="130"/>
    </row>
    <row r="42" spans="2:16" ht="15.75" customHeight="1">
      <c r="B42" s="3879" t="s">
        <v>568</v>
      </c>
      <c r="C42" s="3880"/>
      <c r="D42" s="3881"/>
      <c r="E42" s="3890" t="e">
        <f>AVERAGE(E8:F38)</f>
        <v>#DIV/0!</v>
      </c>
      <c r="F42" s="3891"/>
      <c r="G42" s="3892" t="e">
        <f>AVERAGE(G8:H38)</f>
        <v>#DIV/0!</v>
      </c>
      <c r="H42" s="3893"/>
      <c r="I42" s="3890" t="e">
        <f>AVERAGE(I8:J38)</f>
        <v>#DIV/0!</v>
      </c>
      <c r="J42" s="3891"/>
      <c r="L42" s="3894" t="e">
        <f>AVERAGE(L8:M38)</f>
        <v>#DIV/0!</v>
      </c>
      <c r="M42" s="3895"/>
      <c r="O42" s="3890">
        <f>SUM(O8:P38)</f>
        <v>0</v>
      </c>
      <c r="P42" s="3891"/>
    </row>
    <row r="43" spans="2:16" ht="17.100000000000001" customHeight="1">
      <c r="B43" s="3882"/>
      <c r="C43" s="3883"/>
      <c r="D43" s="3884"/>
      <c r="E43" s="3827" t="s">
        <v>545</v>
      </c>
      <c r="F43" s="3828"/>
      <c r="G43" s="3828"/>
      <c r="H43" s="3829"/>
      <c r="I43" s="3827" t="s">
        <v>134</v>
      </c>
      <c r="J43" s="3829"/>
      <c r="L43" s="3827" t="s">
        <v>545</v>
      </c>
      <c r="M43" s="3829"/>
      <c r="O43" s="3827" t="s">
        <v>569</v>
      </c>
      <c r="P43" s="3829"/>
    </row>
  </sheetData>
  <mergeCells count="227">
    <mergeCell ref="L2:M2"/>
    <mergeCell ref="O2:P2"/>
    <mergeCell ref="L3:M3"/>
    <mergeCell ref="O3:P3"/>
    <mergeCell ref="L4:M4"/>
    <mergeCell ref="O4:P4"/>
    <mergeCell ref="O5:P5"/>
    <mergeCell ref="I6:J6"/>
    <mergeCell ref="O6:P6"/>
    <mergeCell ref="I7:J7"/>
    <mergeCell ref="O7:P7"/>
    <mergeCell ref="B8:C8"/>
    <mergeCell ref="E8:F8"/>
    <mergeCell ref="G8:H8"/>
    <mergeCell ref="I8:J8"/>
    <mergeCell ref="L8:M8"/>
    <mergeCell ref="O8:P8"/>
    <mergeCell ref="B9:C9"/>
    <mergeCell ref="E9:F9"/>
    <mergeCell ref="G9:H9"/>
    <mergeCell ref="I9:J9"/>
    <mergeCell ref="L9:M9"/>
    <mergeCell ref="O9:P9"/>
    <mergeCell ref="B10:C10"/>
    <mergeCell ref="E10:F10"/>
    <mergeCell ref="G10:H10"/>
    <mergeCell ref="I10:J10"/>
    <mergeCell ref="L10:M10"/>
    <mergeCell ref="O10:P10"/>
    <mergeCell ref="B11:C11"/>
    <mergeCell ref="E11:F11"/>
    <mergeCell ref="G11:H11"/>
    <mergeCell ref="I11:J11"/>
    <mergeCell ref="L11:M11"/>
    <mergeCell ref="O11:P11"/>
    <mergeCell ref="B12:C12"/>
    <mergeCell ref="E12:F12"/>
    <mergeCell ref="G12:H12"/>
    <mergeCell ref="I12:J12"/>
    <mergeCell ref="L12:M12"/>
    <mergeCell ref="O12:P12"/>
    <mergeCell ref="B13:C13"/>
    <mergeCell ref="E13:F13"/>
    <mergeCell ref="G13:H13"/>
    <mergeCell ref="I13:J13"/>
    <mergeCell ref="L13:M13"/>
    <mergeCell ref="O13:P13"/>
    <mergeCell ref="B14:C14"/>
    <mergeCell ref="E14:F14"/>
    <mergeCell ref="G14:H14"/>
    <mergeCell ref="I14:J14"/>
    <mergeCell ref="L14:M14"/>
    <mergeCell ref="O14:P14"/>
    <mergeCell ref="B15:C15"/>
    <mergeCell ref="E15:F15"/>
    <mergeCell ref="G15:H15"/>
    <mergeCell ref="I15:J15"/>
    <mergeCell ref="L15:M15"/>
    <mergeCell ref="O15:P15"/>
    <mergeCell ref="B16:C16"/>
    <mergeCell ref="E16:F16"/>
    <mergeCell ref="G16:H16"/>
    <mergeCell ref="I16:J16"/>
    <mergeCell ref="L16:M16"/>
    <mergeCell ref="O16:P16"/>
    <mergeCell ref="B17:C17"/>
    <mergeCell ref="E17:F17"/>
    <mergeCell ref="G17:H17"/>
    <mergeCell ref="I17:J17"/>
    <mergeCell ref="L17:M17"/>
    <mergeCell ref="O17:P17"/>
    <mergeCell ref="B18:C18"/>
    <mergeCell ref="E18:F18"/>
    <mergeCell ref="G18:H18"/>
    <mergeCell ref="I18:J18"/>
    <mergeCell ref="L18:M18"/>
    <mergeCell ref="O18:P18"/>
    <mergeCell ref="B19:C19"/>
    <mergeCell ref="E19:F19"/>
    <mergeCell ref="G19:H19"/>
    <mergeCell ref="I19:J19"/>
    <mergeCell ref="L19:M19"/>
    <mergeCell ref="O19:P19"/>
    <mergeCell ref="B20:C20"/>
    <mergeCell ref="E20:F20"/>
    <mergeCell ref="G20:H20"/>
    <mergeCell ref="I20:J20"/>
    <mergeCell ref="L20:M20"/>
    <mergeCell ref="O20:P20"/>
    <mergeCell ref="B21:C21"/>
    <mergeCell ref="E21:F21"/>
    <mergeCell ref="G21:H21"/>
    <mergeCell ref="I21:J21"/>
    <mergeCell ref="L21:M21"/>
    <mergeCell ref="O21:P21"/>
    <mergeCell ref="B22:C22"/>
    <mergeCell ref="E22:F22"/>
    <mergeCell ref="G22:H22"/>
    <mergeCell ref="I22:J22"/>
    <mergeCell ref="L22:M22"/>
    <mergeCell ref="O22:P22"/>
    <mergeCell ref="B23:C23"/>
    <mergeCell ref="E23:F23"/>
    <mergeCell ref="G23:H23"/>
    <mergeCell ref="I23:J23"/>
    <mergeCell ref="L23:M23"/>
    <mergeCell ref="O23:P23"/>
    <mergeCell ref="B24:C24"/>
    <mergeCell ref="E24:F24"/>
    <mergeCell ref="G24:H24"/>
    <mergeCell ref="I24:J24"/>
    <mergeCell ref="L24:M24"/>
    <mergeCell ref="O24:P24"/>
    <mergeCell ref="B25:C25"/>
    <mergeCell ref="E25:F25"/>
    <mergeCell ref="G25:H25"/>
    <mergeCell ref="I25:J25"/>
    <mergeCell ref="L25:M25"/>
    <mergeCell ref="O25:P25"/>
    <mergeCell ref="B26:C26"/>
    <mergeCell ref="E26:F26"/>
    <mergeCell ref="G26:H26"/>
    <mergeCell ref="I26:J26"/>
    <mergeCell ref="L26:M26"/>
    <mergeCell ref="O26:P26"/>
    <mergeCell ref="B27:C27"/>
    <mergeCell ref="E27:F27"/>
    <mergeCell ref="G27:H27"/>
    <mergeCell ref="I27:J27"/>
    <mergeCell ref="L27:M27"/>
    <mergeCell ref="O27:P27"/>
    <mergeCell ref="B28:C28"/>
    <mergeCell ref="E28:F28"/>
    <mergeCell ref="G28:H28"/>
    <mergeCell ref="I28:J28"/>
    <mergeCell ref="L28:M28"/>
    <mergeCell ref="O28:P28"/>
    <mergeCell ref="B29:C29"/>
    <mergeCell ref="E29:F29"/>
    <mergeCell ref="G29:H29"/>
    <mergeCell ref="I29:J29"/>
    <mergeCell ref="L29:M29"/>
    <mergeCell ref="O29:P29"/>
    <mergeCell ref="B30:C30"/>
    <mergeCell ref="E30:F30"/>
    <mergeCell ref="G30:H30"/>
    <mergeCell ref="I30:J30"/>
    <mergeCell ref="L30:M30"/>
    <mergeCell ref="O30:P30"/>
    <mergeCell ref="B31:C31"/>
    <mergeCell ref="E31:F31"/>
    <mergeCell ref="G31:H31"/>
    <mergeCell ref="I31:J31"/>
    <mergeCell ref="L31:M31"/>
    <mergeCell ref="O31:P31"/>
    <mergeCell ref="B32:C32"/>
    <mergeCell ref="E32:F32"/>
    <mergeCell ref="G32:H32"/>
    <mergeCell ref="I32:J32"/>
    <mergeCell ref="L32:M32"/>
    <mergeCell ref="O32:P32"/>
    <mergeCell ref="B33:C33"/>
    <mergeCell ref="E33:F33"/>
    <mergeCell ref="G33:H33"/>
    <mergeCell ref="I33:J33"/>
    <mergeCell ref="L33:M33"/>
    <mergeCell ref="O33:P33"/>
    <mergeCell ref="B34:C34"/>
    <mergeCell ref="E34:F34"/>
    <mergeCell ref="G34:H34"/>
    <mergeCell ref="I34:J34"/>
    <mergeCell ref="L34:M34"/>
    <mergeCell ref="O34:P34"/>
    <mergeCell ref="B35:C35"/>
    <mergeCell ref="E35:F35"/>
    <mergeCell ref="G35:H35"/>
    <mergeCell ref="I35:J35"/>
    <mergeCell ref="L35:M35"/>
    <mergeCell ref="O35:P35"/>
    <mergeCell ref="B36:C36"/>
    <mergeCell ref="E36:F36"/>
    <mergeCell ref="G36:H36"/>
    <mergeCell ref="I36:J36"/>
    <mergeCell ref="L36:M36"/>
    <mergeCell ref="O36:P36"/>
    <mergeCell ref="B37:C37"/>
    <mergeCell ref="E37:F37"/>
    <mergeCell ref="G37:H37"/>
    <mergeCell ref="I37:J37"/>
    <mergeCell ref="L37:M37"/>
    <mergeCell ref="O37:P37"/>
    <mergeCell ref="O42:P42"/>
    <mergeCell ref="B38:C38"/>
    <mergeCell ref="E38:F38"/>
    <mergeCell ref="G38:H38"/>
    <mergeCell ref="I38:J38"/>
    <mergeCell ref="L38:M38"/>
    <mergeCell ref="O38:P38"/>
    <mergeCell ref="E39:F39"/>
    <mergeCell ref="G39:H39"/>
    <mergeCell ref="I39:J39"/>
    <mergeCell ref="L39:M39"/>
    <mergeCell ref="O39:P39"/>
    <mergeCell ref="E43:H43"/>
    <mergeCell ref="I43:J43"/>
    <mergeCell ref="L43:M43"/>
    <mergeCell ref="O43:P43"/>
    <mergeCell ref="D6:D7"/>
    <mergeCell ref="B2:D5"/>
    <mergeCell ref="E2:H3"/>
    <mergeCell ref="I2:J3"/>
    <mergeCell ref="E4:G5"/>
    <mergeCell ref="H4:J5"/>
    <mergeCell ref="B6:C7"/>
    <mergeCell ref="L6:M7"/>
    <mergeCell ref="E6:F7"/>
    <mergeCell ref="G6:H7"/>
    <mergeCell ref="B39:D40"/>
    <mergeCell ref="B42:D43"/>
    <mergeCell ref="E40:H40"/>
    <mergeCell ref="I40:J40"/>
    <mergeCell ref="L40:M40"/>
    <mergeCell ref="O40:P40"/>
    <mergeCell ref="E42:F42"/>
    <mergeCell ref="G42:H42"/>
    <mergeCell ref="I42:J42"/>
    <mergeCell ref="L42:M42"/>
  </mergeCells>
  <pageMargins left="0.75" right="0.75" top="1" bottom="1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B1:W16"/>
  <sheetViews>
    <sheetView showGridLines="0" workbookViewId="0">
      <selection activeCell="D27" sqref="D27"/>
    </sheetView>
  </sheetViews>
  <sheetFormatPr defaultColWidth="9" defaultRowHeight="15"/>
  <cols>
    <col min="1" max="1" width="2.42578125" style="113" customWidth="1"/>
    <col min="2" max="2" width="6.28515625" style="113" customWidth="1"/>
    <col min="3" max="14" width="11.7109375" style="113" customWidth="1"/>
    <col min="15" max="16384" width="9" style="113"/>
  </cols>
  <sheetData>
    <row r="1" spans="2:23" ht="7.5" customHeight="1"/>
    <row r="2" spans="2:23" ht="20.25" customHeight="1">
      <c r="B2" s="3960" t="s">
        <v>570</v>
      </c>
      <c r="C2" s="3961"/>
      <c r="D2" s="3961"/>
      <c r="E2" s="3961"/>
      <c r="F2" s="3961"/>
      <c r="G2" s="3962"/>
      <c r="H2" s="3966" t="s">
        <v>571</v>
      </c>
      <c r="I2" s="3967"/>
      <c r="J2" s="3968"/>
      <c r="K2" s="3972" t="s">
        <v>572</v>
      </c>
      <c r="L2" s="3973"/>
      <c r="M2" s="3973"/>
      <c r="N2" s="3974"/>
    </row>
    <row r="3" spans="2:23" ht="20.25" customHeight="1">
      <c r="B3" s="3963"/>
      <c r="C3" s="3964"/>
      <c r="D3" s="3964"/>
      <c r="E3" s="3964"/>
      <c r="F3" s="3964"/>
      <c r="G3" s="3965"/>
      <c r="H3" s="3969"/>
      <c r="I3" s="3970"/>
      <c r="J3" s="3971"/>
      <c r="K3" s="3975"/>
      <c r="L3" s="3976"/>
      <c r="M3" s="3976"/>
      <c r="N3" s="3977"/>
    </row>
    <row r="4" spans="2:23" ht="4.5" customHeight="1">
      <c r="C4" s="3836"/>
      <c r="D4" s="3836"/>
      <c r="E4" s="3836"/>
      <c r="F4" s="3836"/>
      <c r="G4" s="3836"/>
      <c r="H4" s="3836"/>
      <c r="I4" s="3836"/>
      <c r="J4" s="3836"/>
      <c r="K4" s="3836"/>
      <c r="L4" s="3836"/>
      <c r="M4" s="3836"/>
      <c r="N4" s="3836"/>
    </row>
    <row r="5" spans="2:23" ht="45" customHeight="1">
      <c r="B5" s="3981" t="s">
        <v>573</v>
      </c>
      <c r="C5" s="114" t="s">
        <v>574</v>
      </c>
      <c r="D5" s="115" t="s">
        <v>574</v>
      </c>
      <c r="E5" s="115" t="s">
        <v>574</v>
      </c>
      <c r="F5" s="115" t="s">
        <v>574</v>
      </c>
      <c r="G5" s="115" t="s">
        <v>574</v>
      </c>
      <c r="H5" s="115" t="s">
        <v>574</v>
      </c>
      <c r="I5" s="115" t="s">
        <v>574</v>
      </c>
      <c r="J5" s="115" t="s">
        <v>574</v>
      </c>
      <c r="K5" s="115" t="s">
        <v>574</v>
      </c>
      <c r="L5" s="115" t="s">
        <v>574</v>
      </c>
      <c r="M5" s="115" t="s">
        <v>574</v>
      </c>
      <c r="N5" s="116" t="s">
        <v>574</v>
      </c>
    </row>
    <row r="6" spans="2:23" ht="48.75" customHeight="1">
      <c r="B6" s="3982"/>
      <c r="C6" s="117">
        <v>1</v>
      </c>
      <c r="D6" s="118">
        <v>2</v>
      </c>
      <c r="E6" s="118">
        <v>3</v>
      </c>
      <c r="F6" s="118">
        <v>4</v>
      </c>
      <c r="G6" s="118">
        <v>5</v>
      </c>
      <c r="H6" s="118">
        <v>6</v>
      </c>
      <c r="I6" s="118">
        <v>7</v>
      </c>
      <c r="J6" s="118">
        <v>8</v>
      </c>
      <c r="K6" s="118">
        <v>9</v>
      </c>
      <c r="L6" s="118">
        <v>10</v>
      </c>
      <c r="M6" s="118">
        <v>11</v>
      </c>
      <c r="N6" s="119">
        <v>12</v>
      </c>
    </row>
    <row r="7" spans="2:23" ht="46.5" customHeight="1">
      <c r="B7" s="3983" t="s">
        <v>29</v>
      </c>
      <c r="C7" s="3985"/>
      <c r="D7" s="3978"/>
      <c r="E7" s="3978"/>
      <c r="F7" s="3978"/>
      <c r="G7" s="3978"/>
      <c r="H7" s="3978"/>
      <c r="I7" s="3978"/>
      <c r="J7" s="3978"/>
      <c r="K7" s="3978"/>
      <c r="L7" s="3978"/>
      <c r="M7" s="3978"/>
      <c r="N7" s="3958"/>
      <c r="Q7" s="113" t="s">
        <v>21</v>
      </c>
    </row>
    <row r="8" spans="2:23" ht="54" customHeight="1">
      <c r="B8" s="3984"/>
      <c r="C8" s="3986"/>
      <c r="D8" s="3979"/>
      <c r="E8" s="3979"/>
      <c r="F8" s="3979"/>
      <c r="G8" s="3979"/>
      <c r="H8" s="3979"/>
      <c r="I8" s="3979"/>
      <c r="J8" s="3979"/>
      <c r="K8" s="3979"/>
      <c r="L8" s="3979"/>
      <c r="M8" s="3979"/>
      <c r="N8" s="3959"/>
      <c r="R8" s="113" t="s">
        <v>575</v>
      </c>
      <c r="W8" s="113" t="s">
        <v>21</v>
      </c>
    </row>
    <row r="9" spans="2:23" ht="45" customHeight="1">
      <c r="B9" s="3981" t="s">
        <v>573</v>
      </c>
      <c r="C9" s="114" t="s">
        <v>574</v>
      </c>
      <c r="D9" s="115" t="s">
        <v>574</v>
      </c>
      <c r="E9" s="115" t="s">
        <v>574</v>
      </c>
      <c r="F9" s="115" t="s">
        <v>574</v>
      </c>
      <c r="G9" s="115" t="s">
        <v>574</v>
      </c>
      <c r="H9" s="115" t="s">
        <v>574</v>
      </c>
      <c r="I9" s="115" t="s">
        <v>574</v>
      </c>
      <c r="J9" s="115" t="s">
        <v>574</v>
      </c>
      <c r="K9" s="115" t="s">
        <v>574</v>
      </c>
      <c r="L9" s="115" t="s">
        <v>574</v>
      </c>
      <c r="M9" s="115" t="s">
        <v>574</v>
      </c>
      <c r="N9" s="116" t="s">
        <v>574</v>
      </c>
    </row>
    <row r="10" spans="2:23" ht="54" customHeight="1">
      <c r="B10" s="3982"/>
      <c r="C10" s="117">
        <v>13</v>
      </c>
      <c r="D10" s="118">
        <v>14</v>
      </c>
      <c r="E10" s="118">
        <v>15</v>
      </c>
      <c r="F10" s="118">
        <v>16</v>
      </c>
      <c r="G10" s="118">
        <v>17</v>
      </c>
      <c r="H10" s="118">
        <v>18</v>
      </c>
      <c r="I10" s="118">
        <v>19</v>
      </c>
      <c r="J10" s="118">
        <v>20</v>
      </c>
      <c r="K10" s="118">
        <v>21</v>
      </c>
      <c r="L10" s="118">
        <v>22</v>
      </c>
      <c r="M10" s="118">
        <v>23</v>
      </c>
      <c r="N10" s="119">
        <v>24</v>
      </c>
    </row>
    <row r="11" spans="2:23" ht="46.5" customHeight="1">
      <c r="B11" s="3983" t="s">
        <v>29</v>
      </c>
      <c r="C11" s="3985"/>
      <c r="D11" s="3978"/>
      <c r="E11" s="3978"/>
      <c r="F11" s="3978"/>
      <c r="G11" s="3978"/>
      <c r="H11" s="3978"/>
      <c r="I11" s="3978"/>
      <c r="J11" s="3978"/>
      <c r="K11" s="3978"/>
      <c r="L11" s="3978"/>
      <c r="M11" s="3978"/>
      <c r="N11" s="3958"/>
      <c r="Q11" s="113" t="s">
        <v>21</v>
      </c>
      <c r="S11" s="113" t="s">
        <v>21</v>
      </c>
    </row>
    <row r="12" spans="2:23" ht="52.5" customHeight="1">
      <c r="B12" s="3984"/>
      <c r="C12" s="3986"/>
      <c r="D12" s="3979"/>
      <c r="E12" s="3979"/>
      <c r="F12" s="3979"/>
      <c r="G12" s="3979"/>
      <c r="H12" s="3979"/>
      <c r="I12" s="3979"/>
      <c r="J12" s="3979"/>
      <c r="K12" s="3979"/>
      <c r="L12" s="3979"/>
      <c r="M12" s="3979"/>
      <c r="N12" s="3959"/>
    </row>
    <row r="13" spans="2:23" ht="45" customHeight="1">
      <c r="B13" s="3981" t="s">
        <v>573</v>
      </c>
      <c r="C13" s="114" t="s">
        <v>574</v>
      </c>
      <c r="D13" s="115" t="s">
        <v>574</v>
      </c>
      <c r="E13" s="115" t="s">
        <v>574</v>
      </c>
      <c r="F13" s="115" t="s">
        <v>574</v>
      </c>
      <c r="G13" s="115" t="s">
        <v>574</v>
      </c>
      <c r="H13" s="115" t="s">
        <v>574</v>
      </c>
      <c r="I13" s="115" t="s">
        <v>574</v>
      </c>
      <c r="J13" s="115" t="s">
        <v>574</v>
      </c>
      <c r="K13" s="115" t="s">
        <v>574</v>
      </c>
      <c r="L13" s="115" t="s">
        <v>574</v>
      </c>
      <c r="M13" s="115" t="s">
        <v>574</v>
      </c>
      <c r="N13" s="116" t="s">
        <v>574</v>
      </c>
    </row>
    <row r="14" spans="2:23" ht="54" customHeight="1">
      <c r="B14" s="3982"/>
      <c r="C14" s="117">
        <v>25</v>
      </c>
      <c r="D14" s="118">
        <v>26</v>
      </c>
      <c r="E14" s="118">
        <v>27</v>
      </c>
      <c r="F14" s="118">
        <v>28</v>
      </c>
      <c r="G14" s="118">
        <v>29</v>
      </c>
      <c r="H14" s="118">
        <v>30</v>
      </c>
      <c r="I14" s="118">
        <v>31</v>
      </c>
      <c r="J14" s="118"/>
      <c r="K14" s="118"/>
      <c r="L14" s="118"/>
      <c r="M14" s="118"/>
      <c r="N14" s="119"/>
    </row>
    <row r="15" spans="2:23" ht="46.5" customHeight="1">
      <c r="B15" s="3983" t="s">
        <v>29</v>
      </c>
      <c r="C15" s="3985"/>
      <c r="D15" s="3978"/>
      <c r="E15" s="3980" t="s">
        <v>576</v>
      </c>
      <c r="F15" s="3978"/>
      <c r="G15" s="3978"/>
      <c r="H15" s="3978"/>
      <c r="I15" s="3978"/>
      <c r="J15" s="3978"/>
      <c r="K15" s="3978"/>
      <c r="L15" s="3978"/>
      <c r="M15" s="3978"/>
      <c r="N15" s="3958"/>
    </row>
    <row r="16" spans="2:23" ht="54" customHeight="1">
      <c r="B16" s="3984"/>
      <c r="C16" s="3986"/>
      <c r="D16" s="3979"/>
      <c r="E16" s="3979"/>
      <c r="F16" s="3979"/>
      <c r="G16" s="3979"/>
      <c r="H16" s="3979"/>
      <c r="I16" s="3979"/>
      <c r="J16" s="3979"/>
      <c r="K16" s="3979"/>
      <c r="L16" s="3979"/>
      <c r="M16" s="3979"/>
      <c r="N16" s="3959"/>
    </row>
  </sheetData>
  <mergeCells count="46">
    <mergeCell ref="C4:N4"/>
    <mergeCell ref="B5:B6"/>
    <mergeCell ref="B7:B8"/>
    <mergeCell ref="B9:B10"/>
    <mergeCell ref="B11:B12"/>
    <mergeCell ref="D7:D8"/>
    <mergeCell ref="D11:D12"/>
    <mergeCell ref="G7:G8"/>
    <mergeCell ref="G11:G12"/>
    <mergeCell ref="J7:J8"/>
    <mergeCell ref="J11:J12"/>
    <mergeCell ref="M7:M8"/>
    <mergeCell ref="M11:M12"/>
    <mergeCell ref="H11:H12"/>
    <mergeCell ref="N7:N8"/>
    <mergeCell ref="N11:N12"/>
    <mergeCell ref="B13:B14"/>
    <mergeCell ref="B15:B16"/>
    <mergeCell ref="C7:C8"/>
    <mergeCell ref="C11:C12"/>
    <mergeCell ref="C15:C16"/>
    <mergeCell ref="I15:I16"/>
    <mergeCell ref="M15:M16"/>
    <mergeCell ref="D15:D16"/>
    <mergeCell ref="E7:E8"/>
    <mergeCell ref="E11:E12"/>
    <mergeCell ref="E15:E16"/>
    <mergeCell ref="F7:F8"/>
    <mergeCell ref="F11:F12"/>
    <mergeCell ref="F15:F16"/>
    <mergeCell ref="N15:N16"/>
    <mergeCell ref="B2:G3"/>
    <mergeCell ref="H2:J3"/>
    <mergeCell ref="K2:N3"/>
    <mergeCell ref="J15:J16"/>
    <mergeCell ref="K7:K8"/>
    <mergeCell ref="K11:K12"/>
    <mergeCell ref="K15:K16"/>
    <mergeCell ref="L7:L8"/>
    <mergeCell ref="L11:L12"/>
    <mergeCell ref="L15:L16"/>
    <mergeCell ref="G15:G16"/>
    <mergeCell ref="H7:H8"/>
    <mergeCell ref="H15:H16"/>
    <mergeCell ref="I7:I8"/>
    <mergeCell ref="I11:I12"/>
  </mergeCells>
  <printOptions horizontalCentered="1" verticalCentered="1"/>
  <pageMargins left="0" right="0" top="0" bottom="0" header="0" footer="0"/>
  <pageSetup paperSize="9" scale="87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pageSetUpPr fitToPage="1"/>
  </sheetPr>
  <dimension ref="A1:S65"/>
  <sheetViews>
    <sheetView zoomScale="70" zoomScaleNormal="70" workbookViewId="0">
      <selection activeCell="D27" sqref="D27"/>
    </sheetView>
  </sheetViews>
  <sheetFormatPr defaultColWidth="9.140625" defaultRowHeight="15"/>
  <cols>
    <col min="1" max="1" width="3.85546875" style="1" customWidth="1"/>
    <col min="2" max="2" width="7.42578125" style="1" customWidth="1"/>
    <col min="3" max="3" width="46.5703125" style="1" customWidth="1"/>
    <col min="4" max="4" width="11.42578125" style="1" customWidth="1"/>
    <col min="5" max="5" width="11.5703125" style="1" customWidth="1"/>
    <col min="6" max="6" width="12" style="1" customWidth="1"/>
    <col min="7" max="7" width="9.28515625" style="1" hidden="1" customWidth="1"/>
    <col min="8" max="8" width="19" style="1" hidden="1" customWidth="1"/>
    <col min="9" max="9" width="11.140625" style="1" customWidth="1"/>
    <col min="10" max="10" width="44.42578125" style="1" customWidth="1"/>
    <col min="11" max="11" width="17.140625" style="1" customWidth="1"/>
    <col min="12" max="12" width="14.28515625" style="1" customWidth="1"/>
    <col min="13" max="13" width="11.85546875" style="1" customWidth="1"/>
    <col min="14" max="14" width="3.28515625" style="1" customWidth="1"/>
    <col min="15" max="16384" width="9.140625" style="1"/>
  </cols>
  <sheetData>
    <row r="1" spans="1:19" ht="5.25" customHeight="1"/>
    <row r="2" spans="1:19" ht="29.25" customHeight="1">
      <c r="A2" s="2"/>
      <c r="B2" s="3" t="s">
        <v>575</v>
      </c>
      <c r="C2" s="4"/>
      <c r="D2" s="4"/>
      <c r="E2" s="4"/>
      <c r="F2" s="4"/>
      <c r="G2" s="4"/>
      <c r="H2" s="4"/>
      <c r="I2" s="4"/>
      <c r="J2" s="4"/>
      <c r="K2" s="3987">
        <f ca="1">TODAY()</f>
        <v>46162</v>
      </c>
      <c r="L2" s="3987"/>
      <c r="M2" s="3988"/>
    </row>
    <row r="3" spans="1:19" ht="36" customHeight="1">
      <c r="A3" s="2"/>
      <c r="B3" s="5" t="s">
        <v>577</v>
      </c>
      <c r="C3" s="5" t="s">
        <v>578</v>
      </c>
      <c r="D3" s="5" t="s">
        <v>39</v>
      </c>
      <c r="E3" s="5" t="s">
        <v>579</v>
      </c>
      <c r="F3" s="5" t="s">
        <v>580</v>
      </c>
      <c r="G3" s="6"/>
      <c r="H3" s="6"/>
      <c r="I3" s="5" t="s">
        <v>581</v>
      </c>
      <c r="J3" s="5" t="s">
        <v>582</v>
      </c>
      <c r="K3" s="5" t="s">
        <v>35</v>
      </c>
      <c r="L3" s="5" t="s">
        <v>32</v>
      </c>
      <c r="M3" s="5" t="s">
        <v>583</v>
      </c>
      <c r="S3" s="1" t="s">
        <v>584</v>
      </c>
    </row>
    <row r="4" spans="1:19" ht="39" customHeight="1">
      <c r="A4" s="2"/>
      <c r="B4" s="7">
        <v>1</v>
      </c>
      <c r="C4" s="8" t="s">
        <v>585</v>
      </c>
      <c r="D4" s="9">
        <v>48</v>
      </c>
      <c r="E4" s="10">
        <v>1016</v>
      </c>
      <c r="F4" s="11" t="s">
        <v>586</v>
      </c>
      <c r="G4" s="12"/>
      <c r="H4" s="13"/>
      <c r="I4" s="14" t="s">
        <v>587</v>
      </c>
      <c r="J4" s="15" t="s">
        <v>588</v>
      </c>
      <c r="K4" s="10" t="s">
        <v>46</v>
      </c>
      <c r="L4" s="16">
        <v>8</v>
      </c>
      <c r="M4" s="17">
        <v>3500</v>
      </c>
    </row>
    <row r="5" spans="1:19" ht="39" customHeight="1">
      <c r="A5" s="2"/>
      <c r="B5" s="18">
        <v>1</v>
      </c>
      <c r="C5" s="8" t="s">
        <v>589</v>
      </c>
      <c r="D5" s="9">
        <v>91</v>
      </c>
      <c r="E5" s="10" t="s">
        <v>590</v>
      </c>
      <c r="F5" s="11" t="s">
        <v>586</v>
      </c>
      <c r="G5" s="12"/>
      <c r="H5" s="13"/>
      <c r="I5" s="14" t="s">
        <v>591</v>
      </c>
      <c r="J5" s="15" t="s">
        <v>592</v>
      </c>
      <c r="K5" s="10" t="s">
        <v>593</v>
      </c>
      <c r="L5" s="11">
        <v>12</v>
      </c>
      <c r="M5" s="19">
        <v>5500</v>
      </c>
    </row>
    <row r="6" spans="1:19" ht="39" customHeight="1">
      <c r="A6" s="2"/>
      <c r="B6" s="18">
        <v>1</v>
      </c>
      <c r="C6" s="8" t="s">
        <v>594</v>
      </c>
      <c r="D6" s="20">
        <v>91</v>
      </c>
      <c r="E6" s="10" t="s">
        <v>590</v>
      </c>
      <c r="F6" s="11" t="s">
        <v>586</v>
      </c>
      <c r="G6" s="12"/>
      <c r="H6" s="13"/>
      <c r="I6" s="14" t="s">
        <v>587</v>
      </c>
      <c r="J6" s="15" t="s">
        <v>595</v>
      </c>
      <c r="K6" s="10" t="s">
        <v>146</v>
      </c>
      <c r="L6" s="11">
        <v>12</v>
      </c>
      <c r="M6" s="19">
        <v>5500</v>
      </c>
    </row>
    <row r="7" spans="1:19" ht="39" customHeight="1">
      <c r="A7" s="2"/>
      <c r="B7" s="21">
        <v>1</v>
      </c>
      <c r="C7" s="8" t="s">
        <v>596</v>
      </c>
      <c r="D7" s="20">
        <v>171</v>
      </c>
      <c r="E7" s="10" t="s">
        <v>590</v>
      </c>
      <c r="F7" s="11" t="s">
        <v>586</v>
      </c>
      <c r="G7" s="12"/>
      <c r="H7" s="13"/>
      <c r="I7" s="22" t="s">
        <v>591</v>
      </c>
      <c r="J7" s="15" t="s">
        <v>597</v>
      </c>
      <c r="K7" s="10" t="s">
        <v>322</v>
      </c>
      <c r="L7" s="11">
        <v>12</v>
      </c>
      <c r="M7" s="19">
        <v>5500</v>
      </c>
    </row>
    <row r="8" spans="1:19" ht="39" customHeight="1">
      <c r="A8" s="2"/>
      <c r="B8" s="23">
        <v>1</v>
      </c>
      <c r="C8" s="24" t="s">
        <v>598</v>
      </c>
      <c r="D8" s="25">
        <v>333</v>
      </c>
      <c r="E8" s="25">
        <v>710</v>
      </c>
      <c r="F8" s="26" t="s">
        <v>586</v>
      </c>
      <c r="G8" s="27"/>
      <c r="H8" s="28"/>
      <c r="I8" s="14" t="s">
        <v>587</v>
      </c>
      <c r="J8" s="29" t="s">
        <v>599</v>
      </c>
      <c r="K8" s="25" t="s">
        <v>70</v>
      </c>
      <c r="L8" s="30">
        <v>8</v>
      </c>
      <c r="M8" s="31">
        <v>3500</v>
      </c>
      <c r="N8" s="3996"/>
    </row>
    <row r="9" spans="1:19" ht="39" customHeight="1">
      <c r="A9" s="2"/>
      <c r="B9" s="23">
        <v>1</v>
      </c>
      <c r="C9" s="8" t="s">
        <v>600</v>
      </c>
      <c r="D9" s="25">
        <v>456</v>
      </c>
      <c r="E9" s="25" t="s">
        <v>601</v>
      </c>
      <c r="F9" s="26" t="s">
        <v>586</v>
      </c>
      <c r="G9" s="27"/>
      <c r="H9" s="28"/>
      <c r="I9" s="14" t="s">
        <v>591</v>
      </c>
      <c r="J9" s="33" t="s">
        <v>602</v>
      </c>
      <c r="K9" s="25" t="s">
        <v>96</v>
      </c>
      <c r="L9" s="30">
        <v>4</v>
      </c>
      <c r="M9" s="31">
        <v>2000</v>
      </c>
      <c r="N9" s="3996"/>
    </row>
    <row r="10" spans="1:19" ht="39" customHeight="1">
      <c r="A10" s="2"/>
      <c r="B10" s="23">
        <v>1</v>
      </c>
      <c r="C10" s="8" t="s">
        <v>603</v>
      </c>
      <c r="D10" s="25">
        <v>456</v>
      </c>
      <c r="E10" s="25" t="s">
        <v>604</v>
      </c>
      <c r="F10" s="26" t="s">
        <v>605</v>
      </c>
      <c r="G10" s="27"/>
      <c r="H10" s="28"/>
      <c r="I10" s="14" t="s">
        <v>591</v>
      </c>
      <c r="J10" s="33" t="s">
        <v>606</v>
      </c>
      <c r="K10" s="25" t="s">
        <v>331</v>
      </c>
      <c r="L10" s="30">
        <v>3</v>
      </c>
      <c r="M10" s="31">
        <v>1500</v>
      </c>
      <c r="N10" s="3996"/>
    </row>
    <row r="11" spans="1:19" ht="39" customHeight="1">
      <c r="A11" s="2"/>
      <c r="B11" s="23">
        <v>1</v>
      </c>
      <c r="C11" s="34" t="s">
        <v>607</v>
      </c>
      <c r="D11" s="25">
        <v>479</v>
      </c>
      <c r="E11" s="25" t="s">
        <v>590</v>
      </c>
      <c r="F11" s="26" t="s">
        <v>586</v>
      </c>
      <c r="G11" s="27"/>
      <c r="H11" s="28"/>
      <c r="I11" s="14" t="s">
        <v>587</v>
      </c>
      <c r="J11" s="33" t="s">
        <v>608</v>
      </c>
      <c r="K11" s="35" t="s">
        <v>42</v>
      </c>
      <c r="L11" s="30">
        <v>11</v>
      </c>
      <c r="M11" s="31">
        <v>5000</v>
      </c>
      <c r="N11" s="3996"/>
    </row>
    <row r="12" spans="1:19" ht="39" customHeight="1">
      <c r="A12" s="2"/>
      <c r="B12" s="36">
        <v>1</v>
      </c>
      <c r="C12" s="34" t="s">
        <v>609</v>
      </c>
      <c r="D12" s="10">
        <v>479</v>
      </c>
      <c r="E12" s="10" t="s">
        <v>590</v>
      </c>
      <c r="F12" s="11" t="s">
        <v>586</v>
      </c>
      <c r="G12" s="12"/>
      <c r="H12" s="13"/>
      <c r="I12" s="37" t="s">
        <v>591</v>
      </c>
      <c r="J12" s="38"/>
      <c r="K12" s="39" t="s">
        <v>255</v>
      </c>
      <c r="L12" s="40">
        <v>12</v>
      </c>
      <c r="M12" s="19">
        <v>5500</v>
      </c>
      <c r="N12" s="3996"/>
    </row>
    <row r="13" spans="1:19" ht="39" customHeight="1">
      <c r="A13" s="2"/>
      <c r="B13" s="36">
        <v>1</v>
      </c>
      <c r="C13" s="34" t="s">
        <v>609</v>
      </c>
      <c r="D13" s="10">
        <v>479</v>
      </c>
      <c r="E13" s="10" t="s">
        <v>590</v>
      </c>
      <c r="F13" s="11" t="s">
        <v>586</v>
      </c>
      <c r="G13" s="12"/>
      <c r="H13" s="13"/>
      <c r="I13" s="37" t="s">
        <v>591</v>
      </c>
      <c r="J13" s="38"/>
      <c r="K13" s="39" t="s">
        <v>610</v>
      </c>
      <c r="L13" s="40">
        <v>10</v>
      </c>
      <c r="M13" s="19">
        <v>4000</v>
      </c>
      <c r="N13" s="3996"/>
    </row>
    <row r="14" spans="1:19" ht="39" customHeight="1">
      <c r="A14" s="2"/>
      <c r="B14" s="36">
        <v>1</v>
      </c>
      <c r="C14" s="8" t="s">
        <v>611</v>
      </c>
      <c r="D14" s="10">
        <v>570</v>
      </c>
      <c r="E14" s="10" t="s">
        <v>612</v>
      </c>
      <c r="F14" s="11" t="s">
        <v>586</v>
      </c>
      <c r="G14" s="12"/>
      <c r="H14" s="13"/>
      <c r="I14" s="37" t="s">
        <v>591</v>
      </c>
      <c r="J14" s="38" t="s">
        <v>613</v>
      </c>
      <c r="K14" s="39" t="s">
        <v>341</v>
      </c>
      <c r="L14" s="40">
        <v>3</v>
      </c>
      <c r="M14" s="19">
        <v>1500</v>
      </c>
      <c r="N14" s="3996"/>
    </row>
    <row r="15" spans="1:19" ht="39" customHeight="1">
      <c r="A15" s="2"/>
      <c r="B15" s="36">
        <v>1</v>
      </c>
      <c r="C15" s="8" t="s">
        <v>614</v>
      </c>
      <c r="D15" s="10">
        <v>576</v>
      </c>
      <c r="E15" s="10" t="s">
        <v>604</v>
      </c>
      <c r="F15" s="11" t="s">
        <v>605</v>
      </c>
      <c r="G15" s="12"/>
      <c r="H15" s="13"/>
      <c r="I15" s="37" t="s">
        <v>591</v>
      </c>
      <c r="J15" s="38" t="s">
        <v>615</v>
      </c>
      <c r="K15" s="39" t="s">
        <v>343</v>
      </c>
      <c r="L15" s="40">
        <v>3</v>
      </c>
      <c r="M15" s="19">
        <v>1500</v>
      </c>
      <c r="N15" s="3996"/>
    </row>
    <row r="16" spans="1:19" ht="39" customHeight="1">
      <c r="A16" s="2"/>
      <c r="B16" s="36">
        <v>1</v>
      </c>
      <c r="C16" s="8" t="s">
        <v>616</v>
      </c>
      <c r="D16" s="10">
        <v>576</v>
      </c>
      <c r="E16" s="10">
        <v>1016</v>
      </c>
      <c r="F16" s="11" t="s">
        <v>586</v>
      </c>
      <c r="G16" s="12"/>
      <c r="H16" s="13"/>
      <c r="I16" s="37" t="s">
        <v>617</v>
      </c>
      <c r="J16" s="38" t="s">
        <v>618</v>
      </c>
      <c r="K16" s="39" t="s">
        <v>92</v>
      </c>
      <c r="L16" s="40">
        <v>8</v>
      </c>
      <c r="M16" s="19">
        <v>3500</v>
      </c>
      <c r="N16" s="3996"/>
    </row>
    <row r="17" spans="1:19" ht="39" customHeight="1">
      <c r="A17" s="2"/>
      <c r="B17" s="18">
        <v>1</v>
      </c>
      <c r="C17" s="24" t="s">
        <v>619</v>
      </c>
      <c r="D17" s="25">
        <v>590</v>
      </c>
      <c r="E17" s="25" t="s">
        <v>620</v>
      </c>
      <c r="F17" s="26" t="s">
        <v>586</v>
      </c>
      <c r="G17" s="27">
        <v>26</v>
      </c>
      <c r="H17" s="28" t="e">
        <f>#REF!*G17</f>
        <v>#REF!</v>
      </c>
      <c r="I17" s="14" t="s">
        <v>587</v>
      </c>
      <c r="J17" s="29" t="s">
        <v>621</v>
      </c>
      <c r="K17" s="25" t="s">
        <v>54</v>
      </c>
      <c r="L17" s="30">
        <v>14</v>
      </c>
      <c r="M17" s="31">
        <v>6500</v>
      </c>
      <c r="N17" s="3996"/>
    </row>
    <row r="18" spans="1:19" ht="39" customHeight="1">
      <c r="A18" s="2"/>
      <c r="B18" s="18">
        <v>1</v>
      </c>
      <c r="C18" s="41" t="s">
        <v>622</v>
      </c>
      <c r="D18" s="25">
        <v>595</v>
      </c>
      <c r="E18" s="25" t="s">
        <v>590</v>
      </c>
      <c r="F18" s="26" t="s">
        <v>586</v>
      </c>
      <c r="G18" s="27"/>
      <c r="H18" s="28"/>
      <c r="I18" s="14" t="s">
        <v>587</v>
      </c>
      <c r="J18" s="29" t="s">
        <v>623</v>
      </c>
      <c r="K18" s="42" t="s">
        <v>624</v>
      </c>
      <c r="L18" s="30">
        <v>12</v>
      </c>
      <c r="M18" s="31">
        <v>5500</v>
      </c>
      <c r="N18" s="3996"/>
    </row>
    <row r="19" spans="1:19" ht="39" customHeight="1">
      <c r="A19" s="2"/>
      <c r="B19" s="18">
        <v>1</v>
      </c>
      <c r="C19" s="41" t="s">
        <v>625</v>
      </c>
      <c r="D19" s="25">
        <v>595</v>
      </c>
      <c r="E19" s="25" t="s">
        <v>590</v>
      </c>
      <c r="F19" s="26" t="s">
        <v>586</v>
      </c>
      <c r="G19" s="43"/>
      <c r="H19" s="44"/>
      <c r="I19" s="14" t="s">
        <v>591</v>
      </c>
      <c r="J19" s="29" t="s">
        <v>626</v>
      </c>
      <c r="K19" s="25" t="s">
        <v>627</v>
      </c>
      <c r="L19" s="30">
        <v>12</v>
      </c>
      <c r="M19" s="31">
        <v>5500</v>
      </c>
      <c r="N19" s="3996"/>
    </row>
    <row r="20" spans="1:19" ht="39" customHeight="1">
      <c r="A20" s="2"/>
      <c r="B20" s="18">
        <v>1</v>
      </c>
      <c r="C20" s="45" t="s">
        <v>628</v>
      </c>
      <c r="D20" s="25">
        <v>597</v>
      </c>
      <c r="E20" s="25" t="s">
        <v>629</v>
      </c>
      <c r="F20" s="26" t="s">
        <v>586</v>
      </c>
      <c r="G20" s="43"/>
      <c r="H20" s="44"/>
      <c r="I20" s="14" t="s">
        <v>587</v>
      </c>
      <c r="J20" s="29" t="s">
        <v>630</v>
      </c>
      <c r="K20" s="25" t="s">
        <v>631</v>
      </c>
      <c r="L20" s="30">
        <v>16</v>
      </c>
      <c r="M20" s="31">
        <v>7500</v>
      </c>
      <c r="N20" s="3996"/>
    </row>
    <row r="21" spans="1:19" ht="39" customHeight="1">
      <c r="A21" s="2"/>
      <c r="B21" s="18">
        <v>1</v>
      </c>
      <c r="C21" s="46" t="s">
        <v>632</v>
      </c>
      <c r="D21" s="35">
        <v>598</v>
      </c>
      <c r="E21" s="35" t="s">
        <v>620</v>
      </c>
      <c r="F21" s="26" t="s">
        <v>586</v>
      </c>
      <c r="G21" s="47"/>
      <c r="H21" s="48"/>
      <c r="I21" s="49" t="s">
        <v>587</v>
      </c>
      <c r="J21" s="50" t="s">
        <v>633</v>
      </c>
      <c r="K21" s="35" t="s">
        <v>64</v>
      </c>
      <c r="L21" s="51">
        <v>14</v>
      </c>
      <c r="M21" s="52">
        <v>6500</v>
      </c>
      <c r="N21" s="3996"/>
    </row>
    <row r="22" spans="1:19" ht="39" customHeight="1">
      <c r="A22" s="2"/>
      <c r="B22" s="18">
        <v>1</v>
      </c>
      <c r="C22" s="46" t="s">
        <v>634</v>
      </c>
      <c r="D22" s="35">
        <v>602</v>
      </c>
      <c r="E22" s="35" t="s">
        <v>590</v>
      </c>
      <c r="F22" s="26" t="s">
        <v>586</v>
      </c>
      <c r="G22" s="47"/>
      <c r="H22" s="48"/>
      <c r="I22" s="49" t="s">
        <v>587</v>
      </c>
      <c r="J22" s="50" t="s">
        <v>635</v>
      </c>
      <c r="K22" s="35" t="s">
        <v>636</v>
      </c>
      <c r="L22" s="51">
        <v>12</v>
      </c>
      <c r="M22" s="52">
        <v>5500</v>
      </c>
      <c r="N22" s="3996"/>
    </row>
    <row r="23" spans="1:19" ht="39" customHeight="1">
      <c r="A23" s="53"/>
      <c r="B23" s="18">
        <v>1</v>
      </c>
      <c r="C23" s="54" t="s">
        <v>637</v>
      </c>
      <c r="D23" s="35">
        <v>605</v>
      </c>
      <c r="E23" s="35">
        <v>710</v>
      </c>
      <c r="F23" s="26" t="s">
        <v>586</v>
      </c>
      <c r="G23" s="55"/>
      <c r="H23" s="56"/>
      <c r="I23" s="49" t="s">
        <v>587</v>
      </c>
      <c r="J23" s="29" t="s">
        <v>638</v>
      </c>
      <c r="K23" s="35" t="s">
        <v>639</v>
      </c>
      <c r="L23" s="51">
        <v>8</v>
      </c>
      <c r="M23" s="52">
        <v>3500</v>
      </c>
      <c r="N23" s="3996"/>
    </row>
    <row r="24" spans="1:19" ht="39" customHeight="1">
      <c r="A24" s="53"/>
      <c r="B24" s="18">
        <v>1</v>
      </c>
      <c r="C24" s="54" t="s">
        <v>640</v>
      </c>
      <c r="D24" s="35">
        <v>605</v>
      </c>
      <c r="E24" s="35">
        <v>710</v>
      </c>
      <c r="F24" s="26" t="s">
        <v>586</v>
      </c>
      <c r="G24" s="55"/>
      <c r="H24" s="56"/>
      <c r="I24" s="49" t="s">
        <v>587</v>
      </c>
      <c r="J24" s="29" t="s">
        <v>641</v>
      </c>
      <c r="K24" s="35" t="s">
        <v>141</v>
      </c>
      <c r="L24" s="51">
        <v>8</v>
      </c>
      <c r="M24" s="52">
        <v>3500</v>
      </c>
      <c r="N24" s="3996"/>
    </row>
    <row r="25" spans="1:19" ht="39" customHeight="1">
      <c r="A25" s="53"/>
      <c r="B25" s="23">
        <v>1</v>
      </c>
      <c r="C25" s="54" t="s">
        <v>642</v>
      </c>
      <c r="D25" s="25">
        <v>605</v>
      </c>
      <c r="E25" s="25">
        <v>815</v>
      </c>
      <c r="F25" s="26" t="s">
        <v>586</v>
      </c>
      <c r="G25" s="27"/>
      <c r="H25" s="28"/>
      <c r="I25" s="49" t="s">
        <v>587</v>
      </c>
      <c r="J25" s="29" t="s">
        <v>643</v>
      </c>
      <c r="K25" s="25" t="s">
        <v>644</v>
      </c>
      <c r="L25" s="30">
        <v>8</v>
      </c>
      <c r="M25" s="31">
        <v>3500</v>
      </c>
      <c r="N25" s="3996"/>
    </row>
    <row r="26" spans="1:19" ht="39" customHeight="1">
      <c r="A26" s="53"/>
      <c r="B26" s="18">
        <v>1</v>
      </c>
      <c r="C26" s="45" t="s">
        <v>645</v>
      </c>
      <c r="D26" s="25">
        <v>606</v>
      </c>
      <c r="E26" s="25">
        <v>1016</v>
      </c>
      <c r="F26" s="26" t="s">
        <v>586</v>
      </c>
      <c r="G26" s="27" t="s">
        <v>646</v>
      </c>
      <c r="H26" s="28" t="s">
        <v>278</v>
      </c>
      <c r="I26" s="49" t="s">
        <v>587</v>
      </c>
      <c r="J26" s="50" t="s">
        <v>647</v>
      </c>
      <c r="K26" s="35" t="s">
        <v>648</v>
      </c>
      <c r="L26" s="30">
        <v>8</v>
      </c>
      <c r="M26" s="31">
        <v>3500</v>
      </c>
      <c r="N26" s="3996"/>
    </row>
    <row r="27" spans="1:19" ht="39" customHeight="1">
      <c r="A27" s="2"/>
      <c r="B27" s="23">
        <v>1</v>
      </c>
      <c r="C27" s="57" t="s">
        <v>649</v>
      </c>
      <c r="D27" s="35">
        <v>606</v>
      </c>
      <c r="E27" s="35">
        <v>1016</v>
      </c>
      <c r="F27" s="55" t="s">
        <v>586</v>
      </c>
      <c r="G27" s="47"/>
      <c r="H27" s="48"/>
      <c r="I27" s="49" t="s">
        <v>587</v>
      </c>
      <c r="J27" s="50" t="s">
        <v>650</v>
      </c>
      <c r="K27" s="35" t="s">
        <v>81</v>
      </c>
      <c r="L27" s="51">
        <v>8</v>
      </c>
      <c r="M27" s="52">
        <v>3500</v>
      </c>
      <c r="N27" s="3996"/>
    </row>
    <row r="28" spans="1:19" ht="39" customHeight="1">
      <c r="A28" s="2"/>
      <c r="B28" s="23">
        <v>1</v>
      </c>
      <c r="C28" s="57" t="s">
        <v>651</v>
      </c>
      <c r="D28" s="35">
        <v>606</v>
      </c>
      <c r="E28" s="35">
        <v>1016</v>
      </c>
      <c r="F28" s="55" t="s">
        <v>586</v>
      </c>
      <c r="G28" s="47"/>
      <c r="H28" s="48"/>
      <c r="I28" s="49" t="s">
        <v>587</v>
      </c>
      <c r="J28" s="50" t="s">
        <v>652</v>
      </c>
      <c r="K28" s="35" t="s">
        <v>278</v>
      </c>
      <c r="L28" s="51">
        <v>8</v>
      </c>
      <c r="M28" s="52">
        <v>3500</v>
      </c>
      <c r="N28" s="3996"/>
    </row>
    <row r="29" spans="1:19" ht="39" customHeight="1">
      <c r="A29" s="2"/>
      <c r="B29" s="36">
        <v>1</v>
      </c>
      <c r="C29" s="58" t="s">
        <v>653</v>
      </c>
      <c r="D29" s="39">
        <v>606</v>
      </c>
      <c r="E29" s="35" t="s">
        <v>590</v>
      </c>
      <c r="F29" s="59" t="s">
        <v>586</v>
      </c>
      <c r="G29" s="60"/>
      <c r="H29" s="61"/>
      <c r="I29" s="62" t="s">
        <v>587</v>
      </c>
      <c r="J29" s="63" t="s">
        <v>654</v>
      </c>
      <c r="K29" s="39" t="s">
        <v>300</v>
      </c>
      <c r="L29" s="64">
        <v>12</v>
      </c>
      <c r="M29" s="65">
        <v>5500</v>
      </c>
      <c r="N29" s="32"/>
    </row>
    <row r="30" spans="1:19" ht="39" customHeight="1">
      <c r="A30" s="2"/>
      <c r="B30" s="36">
        <v>1</v>
      </c>
      <c r="C30" s="58" t="s">
        <v>653</v>
      </c>
      <c r="D30" s="39">
        <v>606</v>
      </c>
      <c r="E30" s="35" t="s">
        <v>620</v>
      </c>
      <c r="F30" s="59" t="s">
        <v>586</v>
      </c>
      <c r="G30" s="60"/>
      <c r="H30" s="61"/>
      <c r="I30" s="62" t="s">
        <v>587</v>
      </c>
      <c r="J30" s="63" t="s">
        <v>654</v>
      </c>
      <c r="K30" s="39" t="s">
        <v>303</v>
      </c>
      <c r="L30" s="64">
        <v>16</v>
      </c>
      <c r="M30" s="65">
        <v>7000</v>
      </c>
      <c r="N30" s="32"/>
    </row>
    <row r="31" spans="1:19" ht="39" customHeight="1">
      <c r="A31" s="2"/>
      <c r="B31" s="66">
        <v>1</v>
      </c>
      <c r="C31" s="34" t="s">
        <v>655</v>
      </c>
      <c r="D31" s="10">
        <v>612</v>
      </c>
      <c r="E31" s="25" t="s">
        <v>590</v>
      </c>
      <c r="F31" s="11" t="s">
        <v>586</v>
      </c>
      <c r="G31" s="12">
        <v>26</v>
      </c>
      <c r="H31" s="13">
        <v>9100</v>
      </c>
      <c r="I31" s="37" t="s">
        <v>587</v>
      </c>
      <c r="J31" s="15" t="s">
        <v>656</v>
      </c>
      <c r="K31" s="39" t="s">
        <v>50</v>
      </c>
      <c r="L31" s="40">
        <v>12</v>
      </c>
      <c r="M31" s="19">
        <v>5500</v>
      </c>
      <c r="N31" s="3996"/>
      <c r="S31" s="67"/>
    </row>
    <row r="32" spans="1:19" ht="39" customHeight="1">
      <c r="A32" s="2"/>
      <c r="B32" s="66">
        <v>1</v>
      </c>
      <c r="C32" s="34" t="s">
        <v>657</v>
      </c>
      <c r="D32" s="10">
        <v>612</v>
      </c>
      <c r="E32" s="25" t="s">
        <v>590</v>
      </c>
      <c r="F32" s="11" t="s">
        <v>586</v>
      </c>
      <c r="G32" s="12"/>
      <c r="H32" s="13"/>
      <c r="I32" s="37" t="s">
        <v>587</v>
      </c>
      <c r="J32" s="15" t="s">
        <v>656</v>
      </c>
      <c r="K32" s="39" t="s">
        <v>155</v>
      </c>
      <c r="L32" s="40">
        <v>12</v>
      </c>
      <c r="M32" s="19">
        <v>5500</v>
      </c>
      <c r="N32" s="3996"/>
    </row>
    <row r="33" spans="1:14" ht="39" customHeight="1">
      <c r="A33" s="2"/>
      <c r="B33" s="66">
        <v>1</v>
      </c>
      <c r="C33" s="34" t="s">
        <v>658</v>
      </c>
      <c r="D33" s="10">
        <v>612</v>
      </c>
      <c r="E33" s="25" t="s">
        <v>590</v>
      </c>
      <c r="F33" s="11" t="s">
        <v>586</v>
      </c>
      <c r="G33" s="12"/>
      <c r="H33" s="13"/>
      <c r="I33" s="37" t="s">
        <v>591</v>
      </c>
      <c r="J33" s="15" t="s">
        <v>656</v>
      </c>
      <c r="K33" s="39" t="s">
        <v>253</v>
      </c>
      <c r="L33" s="40">
        <v>10</v>
      </c>
      <c r="M33" s="19">
        <v>4000</v>
      </c>
      <c r="N33" s="3996"/>
    </row>
    <row r="34" spans="1:14" ht="39" customHeight="1">
      <c r="A34" s="2"/>
      <c r="B34" s="18">
        <v>1</v>
      </c>
      <c r="C34" s="24" t="s">
        <v>659</v>
      </c>
      <c r="D34" s="25">
        <v>633</v>
      </c>
      <c r="E34" s="25" t="s">
        <v>590</v>
      </c>
      <c r="F34" s="26" t="s">
        <v>586</v>
      </c>
      <c r="G34" s="68" t="s">
        <v>660</v>
      </c>
      <c r="H34" s="69" t="s">
        <v>52</v>
      </c>
      <c r="I34" s="70" t="s">
        <v>587</v>
      </c>
      <c r="J34" s="29" t="s">
        <v>661</v>
      </c>
      <c r="K34" s="25" t="s">
        <v>52</v>
      </c>
      <c r="L34" s="30">
        <v>11</v>
      </c>
      <c r="M34" s="31">
        <v>5500</v>
      </c>
      <c r="N34" s="3996"/>
    </row>
    <row r="35" spans="1:14" ht="39" customHeight="1">
      <c r="A35" s="2"/>
      <c r="B35" s="23">
        <v>1</v>
      </c>
      <c r="C35" s="24" t="s">
        <v>662</v>
      </c>
      <c r="D35" s="25">
        <v>642</v>
      </c>
      <c r="E35" s="25">
        <v>1016</v>
      </c>
      <c r="F35" s="26" t="s">
        <v>586</v>
      </c>
      <c r="G35" s="27"/>
      <c r="H35" s="28"/>
      <c r="I35" s="14" t="s">
        <v>587</v>
      </c>
      <c r="J35" s="29" t="s">
        <v>663</v>
      </c>
      <c r="K35" s="25" t="s">
        <v>79</v>
      </c>
      <c r="L35" s="30">
        <v>9</v>
      </c>
      <c r="M35" s="31">
        <v>3800</v>
      </c>
      <c r="N35" s="3996"/>
    </row>
    <row r="36" spans="1:14" ht="39" customHeight="1">
      <c r="A36" s="2"/>
      <c r="B36" s="36">
        <v>1</v>
      </c>
      <c r="C36" s="8" t="s">
        <v>664</v>
      </c>
      <c r="D36" s="10">
        <v>642</v>
      </c>
      <c r="E36" s="10">
        <v>1016</v>
      </c>
      <c r="F36" s="71" t="s">
        <v>586</v>
      </c>
      <c r="G36" s="72"/>
      <c r="H36" s="73"/>
      <c r="I36" s="14" t="s">
        <v>617</v>
      </c>
      <c r="J36" s="15" t="s">
        <v>665</v>
      </c>
      <c r="K36" s="10" t="s">
        <v>150</v>
      </c>
      <c r="L36" s="40">
        <v>8</v>
      </c>
      <c r="M36" s="19">
        <v>3500</v>
      </c>
      <c r="N36" s="3996"/>
    </row>
    <row r="37" spans="1:14" ht="39" customHeight="1">
      <c r="A37" s="2"/>
      <c r="B37" s="36">
        <v>1</v>
      </c>
      <c r="C37" s="8" t="s">
        <v>666</v>
      </c>
      <c r="D37" s="10">
        <v>655</v>
      </c>
      <c r="E37" s="10">
        <v>1016</v>
      </c>
      <c r="F37" s="71" t="s">
        <v>586</v>
      </c>
      <c r="G37" s="72"/>
      <c r="H37" s="73"/>
      <c r="I37" s="14" t="s">
        <v>587</v>
      </c>
      <c r="J37" s="15" t="s">
        <v>667</v>
      </c>
      <c r="K37" s="10" t="s">
        <v>83</v>
      </c>
      <c r="L37" s="40">
        <v>6</v>
      </c>
      <c r="M37" s="19">
        <v>3000</v>
      </c>
      <c r="N37" s="3996"/>
    </row>
    <row r="38" spans="1:14" ht="39" customHeight="1">
      <c r="A38" s="2"/>
      <c r="B38" s="36">
        <v>1</v>
      </c>
      <c r="C38" s="8" t="s">
        <v>668</v>
      </c>
      <c r="D38" s="10">
        <v>663</v>
      </c>
      <c r="E38" s="10">
        <v>710</v>
      </c>
      <c r="F38" s="71" t="s">
        <v>586</v>
      </c>
      <c r="G38" s="72"/>
      <c r="H38" s="73"/>
      <c r="I38" s="14" t="s">
        <v>617</v>
      </c>
      <c r="J38" s="15" t="s">
        <v>669</v>
      </c>
      <c r="K38" s="10" t="s">
        <v>56</v>
      </c>
      <c r="L38" s="40">
        <v>7</v>
      </c>
      <c r="M38" s="19">
        <v>3500</v>
      </c>
      <c r="N38" s="3996"/>
    </row>
    <row r="39" spans="1:14" ht="39" customHeight="1">
      <c r="A39" s="2"/>
      <c r="B39" s="36">
        <v>1</v>
      </c>
      <c r="C39" s="8" t="s">
        <v>670</v>
      </c>
      <c r="D39" s="10">
        <v>664</v>
      </c>
      <c r="E39" s="10" t="s">
        <v>590</v>
      </c>
      <c r="F39" s="71" t="s">
        <v>586</v>
      </c>
      <c r="G39" s="72"/>
      <c r="H39" s="73"/>
      <c r="I39" s="14" t="s">
        <v>587</v>
      </c>
      <c r="J39" s="15" t="s">
        <v>671</v>
      </c>
      <c r="K39" s="10" t="s">
        <v>153</v>
      </c>
      <c r="L39" s="40">
        <v>12</v>
      </c>
      <c r="M39" s="19">
        <v>5500</v>
      </c>
      <c r="N39" s="3996"/>
    </row>
    <row r="40" spans="1:14" ht="39" customHeight="1">
      <c r="A40" s="2"/>
      <c r="B40" s="18">
        <v>1</v>
      </c>
      <c r="C40" s="41" t="s">
        <v>672</v>
      </c>
      <c r="D40" s="25">
        <v>668</v>
      </c>
      <c r="E40" s="25">
        <v>1016</v>
      </c>
      <c r="F40" s="26" t="s">
        <v>586</v>
      </c>
      <c r="G40" s="27"/>
      <c r="H40" s="28"/>
      <c r="I40" s="14" t="s">
        <v>587</v>
      </c>
      <c r="J40" s="29" t="s">
        <v>673</v>
      </c>
      <c r="K40" s="25" t="s">
        <v>674</v>
      </c>
      <c r="L40" s="30">
        <v>10</v>
      </c>
      <c r="M40" s="31">
        <v>4000</v>
      </c>
      <c r="N40" s="3996"/>
    </row>
    <row r="41" spans="1:14" ht="39" customHeight="1">
      <c r="A41" s="2"/>
      <c r="B41" s="18">
        <v>1</v>
      </c>
      <c r="C41" s="41" t="s">
        <v>675</v>
      </c>
      <c r="D41" s="25">
        <v>668</v>
      </c>
      <c r="E41" s="25" t="s">
        <v>590</v>
      </c>
      <c r="F41" s="26" t="s">
        <v>586</v>
      </c>
      <c r="G41" s="27"/>
      <c r="H41" s="28"/>
      <c r="I41" s="14" t="s">
        <v>587</v>
      </c>
      <c r="J41" s="29" t="s">
        <v>676</v>
      </c>
      <c r="K41" s="25" t="s">
        <v>677</v>
      </c>
      <c r="L41" s="30">
        <v>12</v>
      </c>
      <c r="M41" s="31">
        <v>5500</v>
      </c>
      <c r="N41" s="3996"/>
    </row>
    <row r="42" spans="1:14" ht="39" customHeight="1">
      <c r="A42" s="2"/>
      <c r="B42" s="18">
        <v>1</v>
      </c>
      <c r="C42" s="24" t="s">
        <v>678</v>
      </c>
      <c r="D42" s="25">
        <v>674</v>
      </c>
      <c r="E42" s="25">
        <v>710</v>
      </c>
      <c r="F42" s="26" t="s">
        <v>586</v>
      </c>
      <c r="G42" s="27"/>
      <c r="H42" s="28"/>
      <c r="I42" s="14" t="s">
        <v>587</v>
      </c>
      <c r="J42" s="29" t="s">
        <v>679</v>
      </c>
      <c r="K42" s="25" t="s">
        <v>90</v>
      </c>
      <c r="L42" s="30">
        <v>8</v>
      </c>
      <c r="M42" s="31">
        <v>3500</v>
      </c>
      <c r="N42" s="3996"/>
    </row>
    <row r="43" spans="1:14" ht="39" customHeight="1">
      <c r="A43" s="2"/>
      <c r="B43" s="18">
        <v>1</v>
      </c>
      <c r="C43" s="24" t="s">
        <v>680</v>
      </c>
      <c r="D43" s="25">
        <v>674</v>
      </c>
      <c r="E43" s="25">
        <v>915</v>
      </c>
      <c r="F43" s="26" t="s">
        <v>586</v>
      </c>
      <c r="G43" s="27"/>
      <c r="H43" s="28"/>
      <c r="I43" s="14" t="s">
        <v>587</v>
      </c>
      <c r="J43" s="29" t="s">
        <v>681</v>
      </c>
      <c r="K43" s="25" t="s">
        <v>44</v>
      </c>
      <c r="L43" s="30">
        <v>8</v>
      </c>
      <c r="M43" s="31">
        <v>3500</v>
      </c>
      <c r="N43" s="3996"/>
    </row>
    <row r="44" spans="1:14" ht="40.5" customHeight="1">
      <c r="A44" s="2"/>
      <c r="B44" s="66">
        <v>1</v>
      </c>
      <c r="C44" s="74" t="s">
        <v>682</v>
      </c>
      <c r="D44" s="10">
        <v>700</v>
      </c>
      <c r="E44" s="10" t="s">
        <v>590</v>
      </c>
      <c r="F44" s="11" t="s">
        <v>586</v>
      </c>
      <c r="G44" s="12"/>
      <c r="H44" s="13"/>
      <c r="I44" s="37" t="s">
        <v>587</v>
      </c>
      <c r="J44" s="15" t="s">
        <v>683</v>
      </c>
      <c r="K44" s="10" t="s">
        <v>285</v>
      </c>
      <c r="L44" s="40">
        <v>11</v>
      </c>
      <c r="M44" s="19">
        <v>5000</v>
      </c>
      <c r="N44" s="3996"/>
    </row>
    <row r="45" spans="1:14" ht="39" customHeight="1">
      <c r="A45" s="2"/>
      <c r="B45" s="66">
        <v>1</v>
      </c>
      <c r="C45" s="74" t="s">
        <v>684</v>
      </c>
      <c r="D45" s="10">
        <v>700</v>
      </c>
      <c r="E45" s="10" t="s">
        <v>620</v>
      </c>
      <c r="F45" s="11" t="s">
        <v>586</v>
      </c>
      <c r="G45" s="72"/>
      <c r="H45" s="73"/>
      <c r="I45" s="37" t="s">
        <v>587</v>
      </c>
      <c r="J45" s="15" t="s">
        <v>685</v>
      </c>
      <c r="K45" s="10" t="s">
        <v>143</v>
      </c>
      <c r="L45" s="40">
        <v>16</v>
      </c>
      <c r="M45" s="19">
        <v>7000</v>
      </c>
      <c r="N45" s="3996"/>
    </row>
    <row r="46" spans="1:14" ht="39" customHeight="1">
      <c r="A46" s="2"/>
      <c r="B46" s="66">
        <v>1</v>
      </c>
      <c r="C46" s="75" t="s">
        <v>686</v>
      </c>
      <c r="D46" s="10">
        <v>714</v>
      </c>
      <c r="E46" s="10">
        <v>1016</v>
      </c>
      <c r="F46" s="11" t="s">
        <v>586</v>
      </c>
      <c r="G46" s="12"/>
      <c r="H46" s="13"/>
      <c r="I46" s="37" t="s">
        <v>587</v>
      </c>
      <c r="J46" s="15" t="s">
        <v>687</v>
      </c>
      <c r="K46" s="10"/>
      <c r="L46" s="40">
        <v>5</v>
      </c>
      <c r="M46" s="19">
        <v>2000</v>
      </c>
      <c r="N46" s="3996"/>
    </row>
    <row r="47" spans="1:14" ht="39" customHeight="1">
      <c r="A47" s="2"/>
      <c r="B47" s="66">
        <v>1</v>
      </c>
      <c r="C47" s="74" t="s">
        <v>600</v>
      </c>
      <c r="D47" s="10">
        <v>73</v>
      </c>
      <c r="E47" s="10">
        <v>1016</v>
      </c>
      <c r="F47" s="11" t="s">
        <v>586</v>
      </c>
      <c r="G47" s="12"/>
      <c r="H47" s="13"/>
      <c r="I47" s="37" t="s">
        <v>587</v>
      </c>
      <c r="J47" s="15" t="s">
        <v>688</v>
      </c>
      <c r="K47" s="10" t="s">
        <v>689</v>
      </c>
      <c r="L47" s="40">
        <v>7</v>
      </c>
      <c r="M47" s="19">
        <v>3500</v>
      </c>
      <c r="N47" s="3996"/>
    </row>
    <row r="48" spans="1:14" ht="39" customHeight="1">
      <c r="A48" s="2"/>
      <c r="B48" s="66">
        <v>1</v>
      </c>
      <c r="C48" s="74" t="s">
        <v>690</v>
      </c>
      <c r="D48" s="10">
        <v>740</v>
      </c>
      <c r="E48" s="10">
        <v>1016</v>
      </c>
      <c r="F48" s="11" t="s">
        <v>586</v>
      </c>
      <c r="G48" s="12"/>
      <c r="H48" s="13"/>
      <c r="I48" s="37" t="s">
        <v>587</v>
      </c>
      <c r="J48" s="15" t="s">
        <v>691</v>
      </c>
      <c r="K48" s="76" t="s">
        <v>62</v>
      </c>
      <c r="L48" s="77">
        <v>12</v>
      </c>
      <c r="M48" s="19">
        <v>5500</v>
      </c>
      <c r="N48" s="3996"/>
    </row>
    <row r="49" spans="1:14" ht="39" customHeight="1">
      <c r="A49" s="2"/>
      <c r="B49" s="66">
        <v>1</v>
      </c>
      <c r="C49" s="78" t="s">
        <v>692</v>
      </c>
      <c r="D49" s="10">
        <v>743</v>
      </c>
      <c r="E49" s="10">
        <v>1016</v>
      </c>
      <c r="F49" s="11" t="s">
        <v>586</v>
      </c>
      <c r="G49" s="12"/>
      <c r="H49" s="13"/>
      <c r="I49" s="37" t="s">
        <v>617</v>
      </c>
      <c r="J49" s="15" t="s">
        <v>693</v>
      </c>
      <c r="K49" s="76" t="s">
        <v>694</v>
      </c>
      <c r="L49" s="79" t="s">
        <v>695</v>
      </c>
      <c r="M49" s="19">
        <v>3500</v>
      </c>
      <c r="N49" s="3996"/>
    </row>
    <row r="50" spans="1:14" ht="39" customHeight="1">
      <c r="A50" s="2"/>
      <c r="B50" s="66">
        <v>1</v>
      </c>
      <c r="C50" s="78" t="s">
        <v>692</v>
      </c>
      <c r="D50" s="10">
        <v>743</v>
      </c>
      <c r="E50" s="10">
        <v>1016</v>
      </c>
      <c r="F50" s="11" t="s">
        <v>586</v>
      </c>
      <c r="G50" s="12"/>
      <c r="H50" s="13"/>
      <c r="I50" s="37" t="s">
        <v>587</v>
      </c>
      <c r="J50" s="15" t="s">
        <v>693</v>
      </c>
      <c r="K50" s="76" t="s">
        <v>696</v>
      </c>
      <c r="L50" s="79" t="s">
        <v>695</v>
      </c>
      <c r="M50" s="19">
        <v>3500</v>
      </c>
      <c r="N50" s="3996"/>
    </row>
    <row r="51" spans="1:14" ht="39" customHeight="1">
      <c r="A51" s="2"/>
      <c r="B51" s="66">
        <v>1</v>
      </c>
      <c r="C51" s="74" t="s">
        <v>697</v>
      </c>
      <c r="D51" s="10">
        <v>751</v>
      </c>
      <c r="E51" s="10" t="s">
        <v>604</v>
      </c>
      <c r="F51" s="11" t="s">
        <v>586</v>
      </c>
      <c r="G51" s="12"/>
      <c r="H51" s="13"/>
      <c r="I51" s="37" t="s">
        <v>591</v>
      </c>
      <c r="J51" s="15" t="s">
        <v>698</v>
      </c>
      <c r="K51" s="76" t="s">
        <v>699</v>
      </c>
      <c r="L51" s="80" t="s">
        <v>700</v>
      </c>
      <c r="M51" s="19">
        <v>1500</v>
      </c>
      <c r="N51" s="3996"/>
    </row>
    <row r="52" spans="1:14" ht="39" customHeight="1">
      <c r="A52" s="2"/>
      <c r="B52" s="66">
        <v>1</v>
      </c>
      <c r="C52" s="74" t="s">
        <v>701</v>
      </c>
      <c r="D52" s="10">
        <v>782</v>
      </c>
      <c r="E52" s="10" t="s">
        <v>590</v>
      </c>
      <c r="F52" s="11" t="s">
        <v>586</v>
      </c>
      <c r="G52" s="12"/>
      <c r="H52" s="13"/>
      <c r="I52" s="37" t="s">
        <v>587</v>
      </c>
      <c r="J52" s="15" t="s">
        <v>702</v>
      </c>
      <c r="K52" s="76" t="s">
        <v>224</v>
      </c>
      <c r="L52" s="79">
        <v>12</v>
      </c>
      <c r="M52" s="19">
        <v>5500</v>
      </c>
      <c r="N52" s="3996"/>
    </row>
    <row r="53" spans="1:14" ht="39" customHeight="1">
      <c r="A53" s="2"/>
      <c r="B53" s="66">
        <v>1</v>
      </c>
      <c r="C53" s="74" t="s">
        <v>703</v>
      </c>
      <c r="D53" s="10">
        <v>799</v>
      </c>
      <c r="E53" s="10">
        <v>1016</v>
      </c>
      <c r="F53" s="11" t="s">
        <v>586</v>
      </c>
      <c r="G53" s="12"/>
      <c r="H53" s="13"/>
      <c r="I53" s="37" t="s">
        <v>587</v>
      </c>
      <c r="J53" s="15" t="s">
        <v>704</v>
      </c>
      <c r="K53" s="76" t="s">
        <v>88</v>
      </c>
      <c r="L53" s="79" t="s">
        <v>695</v>
      </c>
      <c r="M53" s="19">
        <v>3500</v>
      </c>
      <c r="N53" s="3996"/>
    </row>
    <row r="54" spans="1:14" ht="39" customHeight="1">
      <c r="A54" s="2"/>
      <c r="B54" s="66">
        <v>1</v>
      </c>
      <c r="C54" s="74" t="s">
        <v>705</v>
      </c>
      <c r="D54" s="10">
        <v>799</v>
      </c>
      <c r="E54" s="10">
        <v>1016</v>
      </c>
      <c r="F54" s="11" t="s">
        <v>586</v>
      </c>
      <c r="G54" s="12"/>
      <c r="H54" s="13"/>
      <c r="I54" s="37" t="s">
        <v>587</v>
      </c>
      <c r="J54" s="15" t="s">
        <v>706</v>
      </c>
      <c r="K54" s="76" t="s">
        <v>707</v>
      </c>
      <c r="L54" s="79" t="s">
        <v>695</v>
      </c>
      <c r="M54" s="19">
        <v>3500</v>
      </c>
      <c r="N54" s="3996"/>
    </row>
    <row r="55" spans="1:14" ht="39" customHeight="1">
      <c r="A55" s="2"/>
      <c r="B55" s="66">
        <v>1</v>
      </c>
      <c r="C55" s="74" t="s">
        <v>708</v>
      </c>
      <c r="D55" s="10">
        <v>804</v>
      </c>
      <c r="E55" s="10" t="s">
        <v>590</v>
      </c>
      <c r="F55" s="11" t="s">
        <v>586</v>
      </c>
      <c r="G55" s="12"/>
      <c r="H55" s="13"/>
      <c r="I55" s="37" t="s">
        <v>587</v>
      </c>
      <c r="J55" s="15" t="s">
        <v>709</v>
      </c>
      <c r="K55" s="81" t="s">
        <v>199</v>
      </c>
      <c r="L55" s="79">
        <v>12</v>
      </c>
      <c r="M55" s="19">
        <v>5500</v>
      </c>
      <c r="N55" s="3996"/>
    </row>
    <row r="56" spans="1:14" ht="42" customHeight="1">
      <c r="A56" s="2"/>
      <c r="B56" s="66">
        <v>1</v>
      </c>
      <c r="C56" s="75" t="s">
        <v>710</v>
      </c>
      <c r="D56" s="10">
        <v>808</v>
      </c>
      <c r="E56" s="10" t="s">
        <v>590</v>
      </c>
      <c r="F56" s="11" t="s">
        <v>586</v>
      </c>
      <c r="G56" s="12"/>
      <c r="H56" s="13"/>
      <c r="I56" s="37" t="s">
        <v>587</v>
      </c>
      <c r="J56" s="15" t="s">
        <v>711</v>
      </c>
      <c r="K56" s="10" t="s">
        <v>68</v>
      </c>
      <c r="L56" s="30">
        <v>12</v>
      </c>
      <c r="M56" s="31">
        <v>5000</v>
      </c>
      <c r="N56" s="3996"/>
    </row>
    <row r="57" spans="1:14" ht="42" customHeight="1">
      <c r="A57" s="2"/>
      <c r="B57" s="66">
        <v>1</v>
      </c>
      <c r="C57" s="74" t="s">
        <v>712</v>
      </c>
      <c r="D57" s="10">
        <v>809</v>
      </c>
      <c r="E57" s="10">
        <v>1016</v>
      </c>
      <c r="F57" s="11" t="s">
        <v>586</v>
      </c>
      <c r="G57" s="12"/>
      <c r="H57" s="13"/>
      <c r="I57" s="37" t="s">
        <v>587</v>
      </c>
      <c r="J57" s="15" t="s">
        <v>713</v>
      </c>
      <c r="K57" s="10" t="s">
        <v>139</v>
      </c>
      <c r="L57" s="30">
        <v>6</v>
      </c>
      <c r="M57" s="31">
        <v>3000</v>
      </c>
      <c r="N57" s="3996"/>
    </row>
    <row r="58" spans="1:14" ht="42" customHeight="1">
      <c r="A58" s="2"/>
      <c r="B58" s="66">
        <v>1</v>
      </c>
      <c r="C58" s="78" t="s">
        <v>714</v>
      </c>
      <c r="D58" s="10">
        <v>833</v>
      </c>
      <c r="E58" s="10">
        <v>1016</v>
      </c>
      <c r="F58" s="11" t="s">
        <v>586</v>
      </c>
      <c r="G58" s="12"/>
      <c r="H58" s="13"/>
      <c r="I58" s="37" t="s">
        <v>587</v>
      </c>
      <c r="J58" s="15"/>
      <c r="K58" s="10" t="s">
        <v>715</v>
      </c>
      <c r="L58" s="30">
        <v>8</v>
      </c>
      <c r="M58" s="31">
        <v>3500</v>
      </c>
      <c r="N58" s="3996"/>
    </row>
    <row r="59" spans="1:14" ht="42" customHeight="1">
      <c r="A59" s="2"/>
      <c r="B59" s="66">
        <v>1</v>
      </c>
      <c r="C59" s="78" t="s">
        <v>714</v>
      </c>
      <c r="D59" s="10">
        <v>833</v>
      </c>
      <c r="E59" s="10" t="s">
        <v>590</v>
      </c>
      <c r="F59" s="11" t="s">
        <v>586</v>
      </c>
      <c r="G59" s="12"/>
      <c r="H59" s="13"/>
      <c r="I59" s="37" t="s">
        <v>587</v>
      </c>
      <c r="J59" s="15"/>
      <c r="K59" s="10" t="s">
        <v>716</v>
      </c>
      <c r="L59" s="30">
        <v>12</v>
      </c>
      <c r="M59" s="31">
        <v>5500</v>
      </c>
      <c r="N59" s="3996"/>
    </row>
    <row r="60" spans="1:14" ht="42" customHeight="1">
      <c r="A60" s="2"/>
      <c r="B60" s="66">
        <v>1</v>
      </c>
      <c r="C60" s="78" t="s">
        <v>714</v>
      </c>
      <c r="D60" s="10">
        <v>833</v>
      </c>
      <c r="E60" s="10" t="s">
        <v>620</v>
      </c>
      <c r="F60" s="11" t="s">
        <v>586</v>
      </c>
      <c r="G60" s="12"/>
      <c r="H60" s="13"/>
      <c r="I60" s="37" t="s">
        <v>587</v>
      </c>
      <c r="J60" s="15"/>
      <c r="K60" s="10" t="s">
        <v>717</v>
      </c>
      <c r="L60" s="30">
        <v>14</v>
      </c>
      <c r="M60" s="31">
        <v>6500</v>
      </c>
      <c r="N60" s="3996"/>
    </row>
    <row r="61" spans="1:14" ht="39" customHeight="1">
      <c r="A61" s="53"/>
      <c r="B61" s="82">
        <v>1</v>
      </c>
      <c r="C61" s="83" t="s">
        <v>718</v>
      </c>
      <c r="D61" s="84">
        <v>184027</v>
      </c>
      <c r="E61" s="84" t="s">
        <v>604</v>
      </c>
      <c r="F61" s="85" t="s">
        <v>586</v>
      </c>
      <c r="G61" s="84"/>
      <c r="H61" s="86"/>
      <c r="I61" s="87" t="s">
        <v>591</v>
      </c>
      <c r="J61" s="88" t="s">
        <v>719</v>
      </c>
      <c r="K61" s="84" t="s">
        <v>720</v>
      </c>
      <c r="L61" s="89">
        <v>6</v>
      </c>
      <c r="M61" s="90">
        <v>3000</v>
      </c>
      <c r="N61" s="3996"/>
    </row>
    <row r="62" spans="1:14" ht="31.5" customHeight="1">
      <c r="A62" s="2"/>
      <c r="B62" s="91"/>
      <c r="C62" s="92"/>
      <c r="D62" s="93"/>
      <c r="E62" s="94"/>
      <c r="F62" s="95"/>
      <c r="G62" s="94"/>
      <c r="H62" s="96"/>
      <c r="I62" s="97"/>
      <c r="J62" s="98"/>
      <c r="K62" s="94"/>
      <c r="L62" s="99"/>
      <c r="M62" s="100"/>
      <c r="N62" s="32"/>
    </row>
    <row r="63" spans="1:14" ht="31.5" customHeight="1">
      <c r="A63" s="2"/>
      <c r="B63" s="101"/>
      <c r="C63" s="102"/>
      <c r="D63" s="103"/>
      <c r="E63" s="103"/>
      <c r="F63" s="104"/>
      <c r="G63" s="105"/>
      <c r="H63" s="106"/>
      <c r="I63" s="107"/>
      <c r="J63" s="102"/>
      <c r="K63" s="108"/>
      <c r="L63" s="109"/>
      <c r="M63" s="110"/>
      <c r="N63" s="111"/>
    </row>
    <row r="64" spans="1:14" ht="6" customHeight="1">
      <c r="A64" s="2"/>
      <c r="B64" s="3989"/>
      <c r="C64" s="3990"/>
      <c r="D64" s="3990"/>
      <c r="E64" s="3990"/>
      <c r="F64" s="3990"/>
      <c r="G64" s="3990"/>
      <c r="H64" s="3990"/>
      <c r="I64" s="3990"/>
      <c r="J64" s="3990"/>
      <c r="K64" s="3990"/>
      <c r="L64" s="3990"/>
      <c r="M64" s="3991"/>
      <c r="N64" s="32"/>
    </row>
    <row r="65" spans="1:13" ht="27.75" customHeight="1">
      <c r="A65" s="2"/>
      <c r="B65" s="112">
        <f>SUM(B4:B63)</f>
        <v>58</v>
      </c>
      <c r="C65" s="3992" t="s">
        <v>721</v>
      </c>
      <c r="D65" s="3993"/>
      <c r="E65" s="3993"/>
      <c r="F65" s="3992" t="s">
        <v>722</v>
      </c>
      <c r="G65" s="3993"/>
      <c r="H65" s="3993"/>
      <c r="I65" s="3993"/>
      <c r="J65" s="3994">
        <f ca="1">K2</f>
        <v>46162</v>
      </c>
      <c r="K65" s="3994"/>
      <c r="L65" s="3994"/>
      <c r="M65" s="3995"/>
    </row>
  </sheetData>
  <autoFilter ref="B3:M61" xr:uid="{00000000-0009-0000-0000-000007000000}"/>
  <mergeCells count="9">
    <mergeCell ref="N8:N17"/>
    <mergeCell ref="N18:N28"/>
    <mergeCell ref="N31:N39"/>
    <mergeCell ref="N40:N61"/>
    <mergeCell ref="K2:M2"/>
    <mergeCell ref="B64:M64"/>
    <mergeCell ref="C65:E65"/>
    <mergeCell ref="F65:I65"/>
    <mergeCell ref="J65:M65"/>
  </mergeCells>
  <conditionalFormatting sqref="I4:I18">
    <cfRule type="cellIs" dxfId="7" priority="3" operator="equal">
      <formula>"Não"</formula>
    </cfRule>
    <cfRule type="cellIs" dxfId="6" priority="4" operator="equal">
      <formula>"Sim"</formula>
    </cfRule>
  </conditionalFormatting>
  <conditionalFormatting sqref="I21:I52">
    <cfRule type="cellIs" dxfId="5" priority="1" operator="equal">
      <formula>"Não"</formula>
    </cfRule>
    <cfRule type="cellIs" dxfId="4" priority="2" operator="equal">
      <formula>"Sim"</formula>
    </cfRule>
  </conditionalFormatting>
  <conditionalFormatting sqref="I56:I63">
    <cfRule type="cellIs" dxfId="3" priority="5" operator="equal">
      <formula>"Não"</formula>
    </cfRule>
    <cfRule type="cellIs" dxfId="2" priority="6" operator="equal">
      <formula>"Sim"</formula>
    </cfRule>
  </conditionalFormatting>
  <conditionalFormatting sqref="J65">
    <cfRule type="cellIs" dxfId="1" priority="7" operator="equal">
      <formula>"Não"</formula>
    </cfRule>
    <cfRule type="cellIs" dxfId="0" priority="8" operator="equal">
      <formula>"Sim"</formula>
    </cfRule>
  </conditionalFormatting>
  <printOptions horizontalCentered="1" verticalCentered="1"/>
  <pageMargins left="0" right="0" top="0" bottom="0" header="0" footer="0"/>
  <pageSetup paperSize="9" scale="62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5</vt:i4>
      </vt:variant>
    </vt:vector>
  </HeadingPairs>
  <TitlesOfParts>
    <vt:vector size="13" baseType="lpstr">
      <vt:lpstr>TABELA FRETE</vt:lpstr>
      <vt:lpstr>MATRIZ</vt:lpstr>
      <vt:lpstr>CTRL+C</vt:lpstr>
      <vt:lpstr>ENDEREÇO - FILIAIS</vt:lpstr>
      <vt:lpstr>CONTATOS</vt:lpstr>
      <vt:lpstr>TONELAGEM</vt:lpstr>
      <vt:lpstr>RELAÇÃO (CARROS - DOCAS)</vt:lpstr>
      <vt:lpstr>DIÁRIA (MOTORISTAS)</vt:lpstr>
      <vt:lpstr>'DIÁRIA (MOTORISTAS)'!Area_de_impressao</vt:lpstr>
      <vt:lpstr>'ENDEREÇO - FILIAIS'!Area_de_impressao</vt:lpstr>
      <vt:lpstr>MATRIZ!Area_de_impressao</vt:lpstr>
      <vt:lpstr>'RELAÇÃO (CARROS - DOCAS)'!Area_de_impressao</vt:lpstr>
      <vt:lpstr>'TABELA FRETE'!Area_de_impressao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</dc:creator>
  <cp:lastModifiedBy>Hlog Logistica</cp:lastModifiedBy>
  <cp:lastPrinted>2026-05-20T14:51:27Z</cp:lastPrinted>
  <dcterms:created xsi:type="dcterms:W3CDTF">2026-04-30T20:07:00Z</dcterms:created>
  <dcterms:modified xsi:type="dcterms:W3CDTF">2026-05-20T14:51:29Z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14B59202366D4F3588D24FC82D5ECEB5_11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