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288A1842-C37B-4FD4-A67F-61B9183E6C32}" xr6:coauthVersionLast="47" xr6:coauthVersionMax="47" xr10:uidLastSave="{00000000-0000-0000-0000-000000000000}"/>
  <bookViews>
    <workbookView xWindow="14295" yWindow="0" windowWidth="14610" windowHeight="15585" firstSheet="7" activeTab="14" xr2:uid="{00000000-000D-0000-FFFF-FFFF00000000}"/>
  </bookViews>
  <sheets>
    <sheet name="02" sheetId="19" r:id="rId1"/>
    <sheet name="04" sheetId="20" r:id="rId2"/>
    <sheet name="05" sheetId="21" r:id="rId3"/>
    <sheet name="06" sheetId="22" r:id="rId4"/>
    <sheet name="07" sheetId="23" r:id="rId5"/>
    <sheet name="08" sheetId="24" r:id="rId6"/>
    <sheet name="09" sheetId="25" r:id="rId7"/>
    <sheet name="11" sheetId="26" r:id="rId8"/>
    <sheet name="12" sheetId="27" r:id="rId9"/>
    <sheet name="13" sheetId="28" r:id="rId10"/>
    <sheet name="14" sheetId="29" r:id="rId11"/>
    <sheet name="15" sheetId="30" r:id="rId12"/>
    <sheet name="18" sheetId="31" r:id="rId13"/>
    <sheet name="19" sheetId="32" r:id="rId14"/>
    <sheet name="20" sheetId="33" r:id="rId15"/>
    <sheet name="matriz" sheetId="16" r:id="rId16"/>
    <sheet name="ENDEREÇOS" sheetId="18" r:id="rId17"/>
  </sheets>
  <definedNames>
    <definedName name="_xlnm._FilterDatabase" localSheetId="0" hidden="1">'02'!$A$2:$I$40</definedName>
    <definedName name="_xlnm._FilterDatabase" localSheetId="1" hidden="1">'04'!$A$2:$I$40</definedName>
    <definedName name="_xlnm._FilterDatabase" localSheetId="2" hidden="1">'05'!$A$2:$I$40</definedName>
    <definedName name="_xlnm._FilterDatabase" localSheetId="3" hidden="1">'06'!$A$2:$I$40</definedName>
    <definedName name="_xlnm._FilterDatabase" localSheetId="4" hidden="1">'07'!$A$2:$I$40</definedName>
    <definedName name="_xlnm._FilterDatabase" localSheetId="5" hidden="1">'08'!$A$2:$I$40</definedName>
    <definedName name="_xlnm._FilterDatabase" localSheetId="6" hidden="1">'09'!$A$2:$I$40</definedName>
    <definedName name="_xlnm._FilterDatabase" localSheetId="7" hidden="1">'11'!$A$2:$I$40</definedName>
    <definedName name="_xlnm._FilterDatabase" localSheetId="8" hidden="1">'12'!$A$2:$I$40</definedName>
    <definedName name="_xlnm._FilterDatabase" localSheetId="9" hidden="1">'13'!$A$2:$I$40</definedName>
    <definedName name="_xlnm._FilterDatabase" localSheetId="10" hidden="1">'14'!$A$2:$I$40</definedName>
    <definedName name="_xlnm._FilterDatabase" localSheetId="11" hidden="1">'15'!$A$2:$I$40</definedName>
    <definedName name="_xlnm._FilterDatabase" localSheetId="12" hidden="1">'18'!$A$2:$I$40</definedName>
    <definedName name="_xlnm._FilterDatabase" localSheetId="13" hidden="1">'19'!$A$2:$I$40</definedName>
    <definedName name="_xlnm._FilterDatabase" localSheetId="14" hidden="1">'20'!$A$2:$I$40</definedName>
    <definedName name="_xlnm._FilterDatabase" localSheetId="15" hidden="1">matriz!$A$2:$I$40</definedName>
    <definedName name="_xlnm.Print_Area" localSheetId="0">'02'!$A$2:$D$2</definedName>
    <definedName name="_xlnm.Print_Area" localSheetId="1">'04'!$A$2:$D$2</definedName>
    <definedName name="_xlnm.Print_Area" localSheetId="2">'05'!$A$2:$D$2</definedName>
    <definedName name="_xlnm.Print_Area" localSheetId="3">'06'!$A$2:$D$2</definedName>
    <definedName name="_xlnm.Print_Area" localSheetId="4">'07'!$A$2:$D$2</definedName>
    <definedName name="_xlnm.Print_Area" localSheetId="5">'08'!$A$2:$D$2</definedName>
    <definedName name="_xlnm.Print_Area" localSheetId="6">'09'!$A$2:$D$2</definedName>
    <definedName name="_xlnm.Print_Area" localSheetId="7">'11'!$A$2:$D$2</definedName>
    <definedName name="_xlnm.Print_Area" localSheetId="8">'12'!$A$2:$D$2</definedName>
    <definedName name="_xlnm.Print_Area" localSheetId="9">'13'!$A$2:$D$2</definedName>
    <definedName name="_xlnm.Print_Area" localSheetId="10">'14'!$A$2:$D$2</definedName>
    <definedName name="_xlnm.Print_Area" localSheetId="11">'15'!$A$2:$D$2</definedName>
    <definedName name="_xlnm.Print_Area" localSheetId="12">'18'!$A$2:$D$2</definedName>
    <definedName name="_xlnm.Print_Area" localSheetId="13">'19'!$A$2:$D$2</definedName>
    <definedName name="_xlnm.Print_Area" localSheetId="14">'20'!$A$2:$D$2</definedName>
    <definedName name="_xlnm.Print_Area" localSheetId="15">matriz!$A$2:$D$2</definedName>
    <definedName name="CalendárioAno1">#REF!</definedName>
    <definedName name="CalendárioAno10">#REF!</definedName>
    <definedName name="CalendárioAno11">#REF!</definedName>
    <definedName name="CalendárioAno12">#REF!</definedName>
    <definedName name="CalendárioAno2">#REF!</definedName>
    <definedName name="CalendárioAno3">#REF!</definedName>
    <definedName name="CalendárioAno4">#REF!</definedName>
    <definedName name="CalendárioAno5">#REF!</definedName>
    <definedName name="CalendárioAno6">#REF!</definedName>
    <definedName name="CalendárioAno7">#REF!</definedName>
    <definedName name="CalendárioAno8">#REF!</definedName>
    <definedName name="CalendárioAno9">#REF!</definedName>
    <definedName name="CaléndárioMês1">#REF!</definedName>
    <definedName name="CaléndárioMês10">#REF!</definedName>
    <definedName name="CaléndárioMês10Opção" localSheetId="0">MATCH([0]!CaléndárioMês10,[0]!Meses,0)</definedName>
    <definedName name="CaléndárioMês10Opção" localSheetId="1">MATCH([0]!CaléndárioMês10,[0]!Meses,0)</definedName>
    <definedName name="CaléndárioMês10Opção" localSheetId="2">MATCH([0]!CaléndárioMês10,[0]!Meses,0)</definedName>
    <definedName name="CaléndárioMês10Opção" localSheetId="3">MATCH([0]!CaléndárioMês10,[0]!Meses,0)</definedName>
    <definedName name="CaléndárioMês10Opção" localSheetId="4">MATCH([0]!CaléndárioMês10,[0]!Meses,0)</definedName>
    <definedName name="CaléndárioMês10Opção" localSheetId="5">MATCH([0]!CaléndárioMês10,[0]!Meses,0)</definedName>
    <definedName name="CaléndárioMês10Opção" localSheetId="6">MATCH([0]!CaléndárioMês10,[0]!Meses,0)</definedName>
    <definedName name="CaléndárioMês10Opção" localSheetId="7">MATCH([0]!CaléndárioMês10,[0]!Meses,0)</definedName>
    <definedName name="CaléndárioMês10Opção" localSheetId="8">MATCH([0]!CaléndárioMês10,[0]!Meses,0)</definedName>
    <definedName name="CaléndárioMês10Opção" localSheetId="9">MATCH([0]!CaléndárioMês10,[0]!Meses,0)</definedName>
    <definedName name="CaléndárioMês10Opção" localSheetId="10">MATCH([0]!CaléndárioMês10,[0]!Meses,0)</definedName>
    <definedName name="CaléndárioMês10Opção" localSheetId="11">MATCH([0]!CaléndárioMês10,[0]!Meses,0)</definedName>
    <definedName name="CaléndárioMês10Opção" localSheetId="12">MATCH([0]!CaléndárioMês10,[0]!Meses,0)</definedName>
    <definedName name="CaléndárioMês10Opção" localSheetId="13">MATCH([0]!CaléndárioMês10,[0]!Meses,0)</definedName>
    <definedName name="CaléndárioMês10Opção" localSheetId="14">MATCH([0]!CaléndárioMês10,[0]!Meses,0)</definedName>
    <definedName name="CaléndárioMês10Opção" localSheetId="15">MATCH([0]!CaléndárioMês10,[0]!Meses,0)</definedName>
    <definedName name="CaléndárioMês10Opção">MATCH(CaléndárioMês10,Meses,0)</definedName>
    <definedName name="CaléndárioMês11">#REF!</definedName>
    <definedName name="CaléndárioMês11Opção" localSheetId="0">MATCH([0]!CaléndárioMês11,[0]!Meses,0)</definedName>
    <definedName name="CaléndárioMês11Opção" localSheetId="1">MATCH([0]!CaléndárioMês11,[0]!Meses,0)</definedName>
    <definedName name="CaléndárioMês11Opção" localSheetId="2">MATCH([0]!CaléndárioMês11,[0]!Meses,0)</definedName>
    <definedName name="CaléndárioMês11Opção" localSheetId="3">MATCH([0]!CaléndárioMês11,[0]!Meses,0)</definedName>
    <definedName name="CaléndárioMês11Opção" localSheetId="4">MATCH([0]!CaléndárioMês11,[0]!Meses,0)</definedName>
    <definedName name="CaléndárioMês11Opção" localSheetId="5">MATCH([0]!CaléndárioMês11,[0]!Meses,0)</definedName>
    <definedName name="CaléndárioMês11Opção" localSheetId="6">MATCH([0]!CaléndárioMês11,[0]!Meses,0)</definedName>
    <definedName name="CaléndárioMês11Opção" localSheetId="7">MATCH([0]!CaléndárioMês11,[0]!Meses,0)</definedName>
    <definedName name="CaléndárioMês11Opção" localSheetId="8">MATCH([0]!CaléndárioMês11,[0]!Meses,0)</definedName>
    <definedName name="CaléndárioMês11Opção" localSheetId="9">MATCH([0]!CaléndárioMês11,[0]!Meses,0)</definedName>
    <definedName name="CaléndárioMês11Opção" localSheetId="10">MATCH([0]!CaléndárioMês11,[0]!Meses,0)</definedName>
    <definedName name="CaléndárioMês11Opção" localSheetId="11">MATCH([0]!CaléndárioMês11,[0]!Meses,0)</definedName>
    <definedName name="CaléndárioMês11Opção" localSheetId="12">MATCH([0]!CaléndárioMês11,[0]!Meses,0)</definedName>
    <definedName name="CaléndárioMês11Opção" localSheetId="13">MATCH([0]!CaléndárioMês11,[0]!Meses,0)</definedName>
    <definedName name="CaléndárioMês11Opção" localSheetId="14">MATCH([0]!CaléndárioMês11,[0]!Meses,0)</definedName>
    <definedName name="CaléndárioMês11Opção" localSheetId="15">MATCH([0]!CaléndárioMês11,[0]!Meses,0)</definedName>
    <definedName name="CaléndárioMês11Opção">MATCH(CaléndárioMês11,Meses,0)</definedName>
    <definedName name="CaléndárioMês12">#REF!</definedName>
    <definedName name="CaléndárioMês12Opção" localSheetId="0">MATCH([0]!CaléndárioMês12,[0]!Meses,0)</definedName>
    <definedName name="CaléndárioMês12Opção" localSheetId="1">MATCH([0]!CaléndárioMês12,[0]!Meses,0)</definedName>
    <definedName name="CaléndárioMês12Opção" localSheetId="2">MATCH([0]!CaléndárioMês12,[0]!Meses,0)</definedName>
    <definedName name="CaléndárioMês12Opção" localSheetId="3">MATCH([0]!CaléndárioMês12,[0]!Meses,0)</definedName>
    <definedName name="CaléndárioMês12Opção" localSheetId="4">MATCH([0]!CaléndárioMês12,[0]!Meses,0)</definedName>
    <definedName name="CaléndárioMês12Opção" localSheetId="5">MATCH([0]!CaléndárioMês12,[0]!Meses,0)</definedName>
    <definedName name="CaléndárioMês12Opção" localSheetId="6">MATCH([0]!CaléndárioMês12,[0]!Meses,0)</definedName>
    <definedName name="CaléndárioMês12Opção" localSheetId="7">MATCH([0]!CaléndárioMês12,[0]!Meses,0)</definedName>
    <definedName name="CaléndárioMês12Opção" localSheetId="8">MATCH([0]!CaléndárioMês12,[0]!Meses,0)</definedName>
    <definedName name="CaléndárioMês12Opção" localSheetId="9">MATCH([0]!CaléndárioMês12,[0]!Meses,0)</definedName>
    <definedName name="CaléndárioMês12Opção" localSheetId="10">MATCH([0]!CaléndárioMês12,[0]!Meses,0)</definedName>
    <definedName name="CaléndárioMês12Opção" localSheetId="11">MATCH([0]!CaléndárioMês12,[0]!Meses,0)</definedName>
    <definedName name="CaléndárioMês12Opção" localSheetId="12">MATCH([0]!CaléndárioMês12,[0]!Meses,0)</definedName>
    <definedName name="CaléndárioMês12Opção" localSheetId="13">MATCH([0]!CaléndárioMês12,[0]!Meses,0)</definedName>
    <definedName name="CaléndárioMês12Opção" localSheetId="14">MATCH([0]!CaléndárioMês12,[0]!Meses,0)</definedName>
    <definedName name="CaléndárioMês12Opção" localSheetId="15">MATCH([0]!CaléndárioMês12,[0]!Meses,0)</definedName>
    <definedName name="CaléndárioMês12Opção">MATCH(CaléndárioMês12,Meses,0)</definedName>
    <definedName name="CaléndárioMês1Opção" localSheetId="0">MATCH([0]!CaléndárioMês1,[0]!Meses,0)</definedName>
    <definedName name="CaléndárioMês1Opção" localSheetId="1">MATCH([0]!CaléndárioMês1,[0]!Meses,0)</definedName>
    <definedName name="CaléndárioMês1Opção" localSheetId="2">MATCH([0]!CaléndárioMês1,[0]!Meses,0)</definedName>
    <definedName name="CaléndárioMês1Opção" localSheetId="3">MATCH([0]!CaléndárioMês1,[0]!Meses,0)</definedName>
    <definedName name="CaléndárioMês1Opção" localSheetId="4">MATCH([0]!CaléndárioMês1,[0]!Meses,0)</definedName>
    <definedName name="CaléndárioMês1Opção" localSheetId="5">MATCH([0]!CaléndárioMês1,[0]!Meses,0)</definedName>
    <definedName name="CaléndárioMês1Opção" localSheetId="6">MATCH([0]!CaléndárioMês1,[0]!Meses,0)</definedName>
    <definedName name="CaléndárioMês1Opção" localSheetId="7">MATCH([0]!CaléndárioMês1,[0]!Meses,0)</definedName>
    <definedName name="CaléndárioMês1Opção" localSheetId="8">MATCH([0]!CaléndárioMês1,[0]!Meses,0)</definedName>
    <definedName name="CaléndárioMês1Opção" localSheetId="9">MATCH([0]!CaléndárioMês1,[0]!Meses,0)</definedName>
    <definedName name="CaléndárioMês1Opção" localSheetId="10">MATCH([0]!CaléndárioMês1,[0]!Meses,0)</definedName>
    <definedName name="CaléndárioMês1Opção" localSheetId="11">MATCH([0]!CaléndárioMês1,[0]!Meses,0)</definedName>
    <definedName name="CaléndárioMês1Opção" localSheetId="12">MATCH([0]!CaléndárioMês1,[0]!Meses,0)</definedName>
    <definedName name="CaléndárioMês1Opção" localSheetId="13">MATCH([0]!CaléndárioMês1,[0]!Meses,0)</definedName>
    <definedName name="CaléndárioMês1Opção" localSheetId="14">MATCH([0]!CaléndárioMês1,[0]!Meses,0)</definedName>
    <definedName name="CaléndárioMês1Opção" localSheetId="15">MATCH([0]!CaléndárioMês1,[0]!Meses,0)</definedName>
    <definedName name="CaléndárioMês1Opção">MATCH(CaléndárioMês1,Meses,0)</definedName>
    <definedName name="CaléndárioMês2">#REF!</definedName>
    <definedName name="CaléndárioMês2Opção" localSheetId="0">MATCH([0]!CaléndárioMês2,[0]!Meses,0)</definedName>
    <definedName name="CaléndárioMês2Opção" localSheetId="1">MATCH([0]!CaléndárioMês2,[0]!Meses,0)</definedName>
    <definedName name="CaléndárioMês2Opção" localSheetId="2">MATCH([0]!CaléndárioMês2,[0]!Meses,0)</definedName>
    <definedName name="CaléndárioMês2Opção" localSheetId="3">MATCH([0]!CaléndárioMês2,[0]!Meses,0)</definedName>
    <definedName name="CaléndárioMês2Opção" localSheetId="4">MATCH([0]!CaléndárioMês2,[0]!Meses,0)</definedName>
    <definedName name="CaléndárioMês2Opção" localSheetId="5">MATCH([0]!CaléndárioMês2,[0]!Meses,0)</definedName>
    <definedName name="CaléndárioMês2Opção" localSheetId="6">MATCH([0]!CaléndárioMês2,[0]!Meses,0)</definedName>
    <definedName name="CaléndárioMês2Opção" localSheetId="7">MATCH([0]!CaléndárioMês2,[0]!Meses,0)</definedName>
    <definedName name="CaléndárioMês2Opção" localSheetId="8">MATCH([0]!CaléndárioMês2,[0]!Meses,0)</definedName>
    <definedName name="CaléndárioMês2Opção" localSheetId="9">MATCH([0]!CaléndárioMês2,[0]!Meses,0)</definedName>
    <definedName name="CaléndárioMês2Opção" localSheetId="10">MATCH([0]!CaléndárioMês2,[0]!Meses,0)</definedName>
    <definedName name="CaléndárioMês2Opção" localSheetId="11">MATCH([0]!CaléndárioMês2,[0]!Meses,0)</definedName>
    <definedName name="CaléndárioMês2Opção" localSheetId="12">MATCH([0]!CaléndárioMês2,[0]!Meses,0)</definedName>
    <definedName name="CaléndárioMês2Opção" localSheetId="13">MATCH([0]!CaléndárioMês2,[0]!Meses,0)</definedName>
    <definedName name="CaléndárioMês2Opção" localSheetId="14">MATCH([0]!CaléndárioMês2,[0]!Meses,0)</definedName>
    <definedName name="CaléndárioMês2Opção" localSheetId="15">MATCH([0]!CaléndárioMês2,[0]!Meses,0)</definedName>
    <definedName name="CaléndárioMês2Opção">MATCH(CaléndárioMês2,Meses,0)</definedName>
    <definedName name="CaléndárioMês3">#REF!</definedName>
    <definedName name="CaléndárioMês3Opção" localSheetId="0">MATCH([0]!CaléndárioMês3,[0]!Meses,0)</definedName>
    <definedName name="CaléndárioMês3Opção" localSheetId="1">MATCH([0]!CaléndárioMês3,[0]!Meses,0)</definedName>
    <definedName name="CaléndárioMês3Opção" localSheetId="2">MATCH([0]!CaléndárioMês3,[0]!Meses,0)</definedName>
    <definedName name="CaléndárioMês3Opção" localSheetId="3">MATCH([0]!CaléndárioMês3,[0]!Meses,0)</definedName>
    <definedName name="CaléndárioMês3Opção" localSheetId="4">MATCH([0]!CaléndárioMês3,[0]!Meses,0)</definedName>
    <definedName name="CaléndárioMês3Opção" localSheetId="5">MATCH([0]!CaléndárioMês3,[0]!Meses,0)</definedName>
    <definedName name="CaléndárioMês3Opção" localSheetId="6">MATCH([0]!CaléndárioMês3,[0]!Meses,0)</definedName>
    <definedName name="CaléndárioMês3Opção" localSheetId="7">MATCH([0]!CaléndárioMês3,[0]!Meses,0)</definedName>
    <definedName name="CaléndárioMês3Opção" localSheetId="8">MATCH([0]!CaléndárioMês3,[0]!Meses,0)</definedName>
    <definedName name="CaléndárioMês3Opção" localSheetId="9">MATCH([0]!CaléndárioMês3,[0]!Meses,0)</definedName>
    <definedName name="CaléndárioMês3Opção" localSheetId="10">MATCH([0]!CaléndárioMês3,[0]!Meses,0)</definedName>
    <definedName name="CaléndárioMês3Opção" localSheetId="11">MATCH([0]!CaléndárioMês3,[0]!Meses,0)</definedName>
    <definedName name="CaléndárioMês3Opção" localSheetId="12">MATCH([0]!CaléndárioMês3,[0]!Meses,0)</definedName>
    <definedName name="CaléndárioMês3Opção" localSheetId="13">MATCH([0]!CaléndárioMês3,[0]!Meses,0)</definedName>
    <definedName name="CaléndárioMês3Opção" localSheetId="14">MATCH([0]!CaléndárioMês3,[0]!Meses,0)</definedName>
    <definedName name="CaléndárioMês3Opção" localSheetId="15">MATCH([0]!CaléndárioMês3,[0]!Meses,0)</definedName>
    <definedName name="CaléndárioMês3Opção">MATCH(CaléndárioMês3,Meses,0)</definedName>
    <definedName name="CaléndárioMês4">#REF!</definedName>
    <definedName name="CaléndárioMês4Opção" localSheetId="0">MATCH([0]!CaléndárioMês4,[0]!Meses,0)</definedName>
    <definedName name="CaléndárioMês4Opção" localSheetId="1">MATCH([0]!CaléndárioMês4,[0]!Meses,0)</definedName>
    <definedName name="CaléndárioMês4Opção" localSheetId="2">MATCH([0]!CaléndárioMês4,[0]!Meses,0)</definedName>
    <definedName name="CaléndárioMês4Opção" localSheetId="3">MATCH([0]!CaléndárioMês4,[0]!Meses,0)</definedName>
    <definedName name="CaléndárioMês4Opção" localSheetId="4">MATCH([0]!CaléndárioMês4,[0]!Meses,0)</definedName>
    <definedName name="CaléndárioMês4Opção" localSheetId="5">MATCH([0]!CaléndárioMês4,[0]!Meses,0)</definedName>
    <definedName name="CaléndárioMês4Opção" localSheetId="6">MATCH([0]!CaléndárioMês4,[0]!Meses,0)</definedName>
    <definedName name="CaléndárioMês4Opção" localSheetId="7">MATCH([0]!CaléndárioMês4,[0]!Meses,0)</definedName>
    <definedName name="CaléndárioMês4Opção" localSheetId="8">MATCH([0]!CaléndárioMês4,[0]!Meses,0)</definedName>
    <definedName name="CaléndárioMês4Opção" localSheetId="9">MATCH([0]!CaléndárioMês4,[0]!Meses,0)</definedName>
    <definedName name="CaléndárioMês4Opção" localSheetId="10">MATCH([0]!CaléndárioMês4,[0]!Meses,0)</definedName>
    <definedName name="CaléndárioMês4Opção" localSheetId="11">MATCH([0]!CaléndárioMês4,[0]!Meses,0)</definedName>
    <definedName name="CaléndárioMês4Opção" localSheetId="12">MATCH([0]!CaléndárioMês4,[0]!Meses,0)</definedName>
    <definedName name="CaléndárioMês4Opção" localSheetId="13">MATCH([0]!CaléndárioMês4,[0]!Meses,0)</definedName>
    <definedName name="CaléndárioMês4Opção" localSheetId="14">MATCH([0]!CaléndárioMês4,[0]!Meses,0)</definedName>
    <definedName name="CaléndárioMês4Opção" localSheetId="15">MATCH([0]!CaléndárioMês4,[0]!Meses,0)</definedName>
    <definedName name="CaléndárioMês4Opção">MATCH(CaléndárioMês4,Meses,0)</definedName>
    <definedName name="CaléndárioMês5">#REF!</definedName>
    <definedName name="CaléndárioMês5Opção" localSheetId="0">MATCH([0]!CaléndárioMês5,[0]!Meses,0)</definedName>
    <definedName name="CaléndárioMês5Opção" localSheetId="1">MATCH([0]!CaléndárioMês5,[0]!Meses,0)</definedName>
    <definedName name="CaléndárioMês5Opção" localSheetId="2">MATCH([0]!CaléndárioMês5,[0]!Meses,0)</definedName>
    <definedName name="CaléndárioMês5Opção" localSheetId="3">MATCH([0]!CaléndárioMês5,[0]!Meses,0)</definedName>
    <definedName name="CaléndárioMês5Opção" localSheetId="4">MATCH([0]!CaléndárioMês5,[0]!Meses,0)</definedName>
    <definedName name="CaléndárioMês5Opção" localSheetId="5">MATCH([0]!CaléndárioMês5,[0]!Meses,0)</definedName>
    <definedName name="CaléndárioMês5Opção" localSheetId="6">MATCH([0]!CaléndárioMês5,[0]!Meses,0)</definedName>
    <definedName name="CaléndárioMês5Opção" localSheetId="7">MATCH([0]!CaléndárioMês5,[0]!Meses,0)</definedName>
    <definedName name="CaléndárioMês5Opção" localSheetId="8">MATCH([0]!CaléndárioMês5,[0]!Meses,0)</definedName>
    <definedName name="CaléndárioMês5Opção" localSheetId="9">MATCH([0]!CaléndárioMês5,[0]!Meses,0)</definedName>
    <definedName name="CaléndárioMês5Opção" localSheetId="10">MATCH([0]!CaléndárioMês5,[0]!Meses,0)</definedName>
    <definedName name="CaléndárioMês5Opção" localSheetId="11">MATCH([0]!CaléndárioMês5,[0]!Meses,0)</definedName>
    <definedName name="CaléndárioMês5Opção" localSheetId="12">MATCH([0]!CaléndárioMês5,[0]!Meses,0)</definedName>
    <definedName name="CaléndárioMês5Opção" localSheetId="13">MATCH([0]!CaléndárioMês5,[0]!Meses,0)</definedName>
    <definedName name="CaléndárioMês5Opção" localSheetId="14">MATCH([0]!CaléndárioMês5,[0]!Meses,0)</definedName>
    <definedName name="CaléndárioMês5Opção" localSheetId="15">MATCH([0]!CaléndárioMês5,[0]!Meses,0)</definedName>
    <definedName name="CaléndárioMês5Opção">MATCH(CaléndárioMês5,Meses,0)</definedName>
    <definedName name="CaléndárioMês6">#REF!</definedName>
    <definedName name="CaléndárioMês6Opção" localSheetId="0">MATCH([0]!CaléndárioMês6,[0]!Meses,0)</definedName>
    <definedName name="CaléndárioMês6Opção" localSheetId="1">MATCH([0]!CaléndárioMês6,[0]!Meses,0)</definedName>
    <definedName name="CaléndárioMês6Opção" localSheetId="2">MATCH([0]!CaléndárioMês6,[0]!Meses,0)</definedName>
    <definedName name="CaléndárioMês6Opção" localSheetId="3">MATCH([0]!CaléndárioMês6,[0]!Meses,0)</definedName>
    <definedName name="CaléndárioMês6Opção" localSheetId="4">MATCH([0]!CaléndárioMês6,[0]!Meses,0)</definedName>
    <definedName name="CaléndárioMês6Opção" localSheetId="5">MATCH([0]!CaléndárioMês6,[0]!Meses,0)</definedName>
    <definedName name="CaléndárioMês6Opção" localSheetId="6">MATCH([0]!CaléndárioMês6,[0]!Meses,0)</definedName>
    <definedName name="CaléndárioMês6Opção" localSheetId="7">MATCH([0]!CaléndárioMês6,[0]!Meses,0)</definedName>
    <definedName name="CaléndárioMês6Opção" localSheetId="8">MATCH([0]!CaléndárioMês6,[0]!Meses,0)</definedName>
    <definedName name="CaléndárioMês6Opção" localSheetId="9">MATCH([0]!CaléndárioMês6,[0]!Meses,0)</definedName>
    <definedName name="CaléndárioMês6Opção" localSheetId="10">MATCH([0]!CaléndárioMês6,[0]!Meses,0)</definedName>
    <definedName name="CaléndárioMês6Opção" localSheetId="11">MATCH([0]!CaléndárioMês6,[0]!Meses,0)</definedName>
    <definedName name="CaléndárioMês6Opção" localSheetId="12">MATCH([0]!CaléndárioMês6,[0]!Meses,0)</definedName>
    <definedName name="CaléndárioMês6Opção" localSheetId="13">MATCH([0]!CaléndárioMês6,[0]!Meses,0)</definedName>
    <definedName name="CaléndárioMês6Opção" localSheetId="14">MATCH([0]!CaléndárioMês6,[0]!Meses,0)</definedName>
    <definedName name="CaléndárioMês6Opção" localSheetId="15">MATCH([0]!CaléndárioMês6,[0]!Meses,0)</definedName>
    <definedName name="CaléndárioMês6Opção">MATCH(CaléndárioMês6,Meses,0)</definedName>
    <definedName name="CaléndárioMês7">#REF!</definedName>
    <definedName name="CaléndárioMês7Opção" localSheetId="0">MATCH([0]!CaléndárioMês7,[0]!Meses,0)</definedName>
    <definedName name="CaléndárioMês7Opção" localSheetId="1">MATCH([0]!CaléndárioMês7,[0]!Meses,0)</definedName>
    <definedName name="CaléndárioMês7Opção" localSheetId="2">MATCH([0]!CaléndárioMês7,[0]!Meses,0)</definedName>
    <definedName name="CaléndárioMês7Opção" localSheetId="3">MATCH([0]!CaléndárioMês7,[0]!Meses,0)</definedName>
    <definedName name="CaléndárioMês7Opção" localSheetId="4">MATCH([0]!CaléndárioMês7,[0]!Meses,0)</definedName>
    <definedName name="CaléndárioMês7Opção" localSheetId="5">MATCH([0]!CaléndárioMês7,[0]!Meses,0)</definedName>
    <definedName name="CaléndárioMês7Opção" localSheetId="6">MATCH([0]!CaléndárioMês7,[0]!Meses,0)</definedName>
    <definedName name="CaléndárioMês7Opção" localSheetId="7">MATCH([0]!CaléndárioMês7,[0]!Meses,0)</definedName>
    <definedName name="CaléndárioMês7Opção" localSheetId="8">MATCH([0]!CaléndárioMês7,[0]!Meses,0)</definedName>
    <definedName name="CaléndárioMês7Opção" localSheetId="9">MATCH([0]!CaléndárioMês7,[0]!Meses,0)</definedName>
    <definedName name="CaléndárioMês7Opção" localSheetId="10">MATCH([0]!CaléndárioMês7,[0]!Meses,0)</definedName>
    <definedName name="CaléndárioMês7Opção" localSheetId="11">MATCH([0]!CaléndárioMês7,[0]!Meses,0)</definedName>
    <definedName name="CaléndárioMês7Opção" localSheetId="12">MATCH([0]!CaléndárioMês7,[0]!Meses,0)</definedName>
    <definedName name="CaléndárioMês7Opção" localSheetId="13">MATCH([0]!CaléndárioMês7,[0]!Meses,0)</definedName>
    <definedName name="CaléndárioMês7Opção" localSheetId="14">MATCH([0]!CaléndárioMês7,[0]!Meses,0)</definedName>
    <definedName name="CaléndárioMês7Opção" localSheetId="15">MATCH([0]!CaléndárioMês7,[0]!Meses,0)</definedName>
    <definedName name="CaléndárioMês7Opção">MATCH(CaléndárioMês7,Meses,0)</definedName>
    <definedName name="CaléndárioMês8">#REF!</definedName>
    <definedName name="CaléndárioMês8Opção" localSheetId="0">MATCH([0]!CaléndárioMês8,[0]!Meses,0)</definedName>
    <definedName name="CaléndárioMês8Opção" localSheetId="1">MATCH([0]!CaléndárioMês8,[0]!Meses,0)</definedName>
    <definedName name="CaléndárioMês8Opção" localSheetId="2">MATCH([0]!CaléndárioMês8,[0]!Meses,0)</definedName>
    <definedName name="CaléndárioMês8Opção" localSheetId="3">MATCH([0]!CaléndárioMês8,[0]!Meses,0)</definedName>
    <definedName name="CaléndárioMês8Opção" localSheetId="4">MATCH([0]!CaléndárioMês8,[0]!Meses,0)</definedName>
    <definedName name="CaléndárioMês8Opção" localSheetId="5">MATCH([0]!CaléndárioMês8,[0]!Meses,0)</definedName>
    <definedName name="CaléndárioMês8Opção" localSheetId="6">MATCH([0]!CaléndárioMês8,[0]!Meses,0)</definedName>
    <definedName name="CaléndárioMês8Opção" localSheetId="7">MATCH([0]!CaléndárioMês8,[0]!Meses,0)</definedName>
    <definedName name="CaléndárioMês8Opção" localSheetId="8">MATCH([0]!CaléndárioMês8,[0]!Meses,0)</definedName>
    <definedName name="CaléndárioMês8Opção" localSheetId="9">MATCH([0]!CaléndárioMês8,[0]!Meses,0)</definedName>
    <definedName name="CaléndárioMês8Opção" localSheetId="10">MATCH([0]!CaléndárioMês8,[0]!Meses,0)</definedName>
    <definedName name="CaléndárioMês8Opção" localSheetId="11">MATCH([0]!CaléndárioMês8,[0]!Meses,0)</definedName>
    <definedName name="CaléndárioMês8Opção" localSheetId="12">MATCH([0]!CaléndárioMês8,[0]!Meses,0)</definedName>
    <definedName name="CaléndárioMês8Opção" localSheetId="13">MATCH([0]!CaléndárioMês8,[0]!Meses,0)</definedName>
    <definedName name="CaléndárioMês8Opção" localSheetId="14">MATCH([0]!CaléndárioMês8,[0]!Meses,0)</definedName>
    <definedName name="CaléndárioMês8Opção" localSheetId="15">MATCH([0]!CaléndárioMês8,[0]!Meses,0)</definedName>
    <definedName name="CaléndárioMês8Opção">MATCH(CaléndárioMês8,Meses,0)</definedName>
    <definedName name="CaléndárioMês9">#REF!</definedName>
    <definedName name="CaléndárioMês9Opção" localSheetId="0">MATCH([0]!CaléndárioMês9,[0]!Meses,0)</definedName>
    <definedName name="CaléndárioMês9Opção" localSheetId="1">MATCH([0]!CaléndárioMês9,[0]!Meses,0)</definedName>
    <definedName name="CaléndárioMês9Opção" localSheetId="2">MATCH([0]!CaléndárioMês9,[0]!Meses,0)</definedName>
    <definedName name="CaléndárioMês9Opção" localSheetId="3">MATCH([0]!CaléndárioMês9,[0]!Meses,0)</definedName>
    <definedName name="CaléndárioMês9Opção" localSheetId="4">MATCH([0]!CaléndárioMês9,[0]!Meses,0)</definedName>
    <definedName name="CaléndárioMês9Opção" localSheetId="5">MATCH([0]!CaléndárioMês9,[0]!Meses,0)</definedName>
    <definedName name="CaléndárioMês9Opção" localSheetId="6">MATCH([0]!CaléndárioMês9,[0]!Meses,0)</definedName>
    <definedName name="CaléndárioMês9Opção" localSheetId="7">MATCH([0]!CaléndárioMês9,[0]!Meses,0)</definedName>
    <definedName name="CaléndárioMês9Opção" localSheetId="8">MATCH([0]!CaléndárioMês9,[0]!Meses,0)</definedName>
    <definedName name="CaléndárioMês9Opção" localSheetId="9">MATCH([0]!CaléndárioMês9,[0]!Meses,0)</definedName>
    <definedName name="CaléndárioMês9Opção" localSheetId="10">MATCH([0]!CaléndárioMês9,[0]!Meses,0)</definedName>
    <definedName name="CaléndárioMês9Opção" localSheetId="11">MATCH([0]!CaléndárioMês9,[0]!Meses,0)</definedName>
    <definedName name="CaléndárioMês9Opção" localSheetId="12">MATCH([0]!CaléndárioMês9,[0]!Meses,0)</definedName>
    <definedName name="CaléndárioMês9Opção" localSheetId="13">MATCH([0]!CaléndárioMês9,[0]!Meses,0)</definedName>
    <definedName name="CaléndárioMês9Opção" localSheetId="14">MATCH([0]!CaléndárioMês9,[0]!Meses,0)</definedName>
    <definedName name="CaléndárioMês9Opção" localSheetId="15">MATCH([0]!CaléndárioMês9,[0]!Meses,0)</definedName>
    <definedName name="CaléndárioMês9Opção">MATCH(CaléndárioMês9,Meses,0)</definedName>
    <definedName name="DiaDaSemanaOpção" localSheetId="0">MATCH([0]!InícioDaSemana,[0]!DiasDaSemana,0)+10</definedName>
    <definedName name="DiaDaSemanaOpção" localSheetId="1">MATCH([0]!InícioDaSemana,[0]!DiasDaSemana,0)+10</definedName>
    <definedName name="DiaDaSemanaOpção" localSheetId="2">MATCH([0]!InícioDaSemana,[0]!DiasDaSemana,0)+10</definedName>
    <definedName name="DiaDaSemanaOpção" localSheetId="3">MATCH([0]!InícioDaSemana,[0]!DiasDaSemana,0)+10</definedName>
    <definedName name="DiaDaSemanaOpção" localSheetId="4">MATCH([0]!InícioDaSemana,[0]!DiasDaSemana,0)+10</definedName>
    <definedName name="DiaDaSemanaOpção" localSheetId="5">MATCH([0]!InícioDaSemana,[0]!DiasDaSemana,0)+10</definedName>
    <definedName name="DiaDaSemanaOpção" localSheetId="6">MATCH([0]!InícioDaSemana,[0]!DiasDaSemana,0)+10</definedName>
    <definedName name="DiaDaSemanaOpção" localSheetId="7">MATCH([0]!InícioDaSemana,[0]!DiasDaSemana,0)+10</definedName>
    <definedName name="DiaDaSemanaOpção" localSheetId="8">MATCH([0]!InícioDaSemana,[0]!DiasDaSemana,0)+10</definedName>
    <definedName name="DiaDaSemanaOpção" localSheetId="9">MATCH([0]!InícioDaSemana,[0]!DiasDaSemana,0)+10</definedName>
    <definedName name="DiaDaSemanaOpção" localSheetId="10">MATCH([0]!InícioDaSemana,[0]!DiasDaSemana,0)+10</definedName>
    <definedName name="DiaDaSemanaOpção" localSheetId="11">MATCH([0]!InícioDaSemana,[0]!DiasDaSemana,0)+10</definedName>
    <definedName name="DiaDaSemanaOpção" localSheetId="12">MATCH([0]!InícioDaSemana,[0]!DiasDaSemana,0)+10</definedName>
    <definedName name="DiaDaSemanaOpção" localSheetId="13">MATCH([0]!InícioDaSemana,[0]!DiasDaSemana,0)+10</definedName>
    <definedName name="DiaDaSemanaOpção" localSheetId="14">MATCH([0]!InícioDaSemana,[0]!DiasDaSemana,0)+10</definedName>
    <definedName name="DiaDaSemanaOpção" localSheetId="15">MATCH([0]!InícioDaSemana,[0]!DiasDaSemana,0)+10</definedName>
    <definedName name="DiaDaSemanaOpção">MATCH(InícioDaSemana,DiasDaSemana,0)+10</definedName>
    <definedName name="Dias">{0,1,2,3,4,5,6}</definedName>
    <definedName name="DiasDaSemana">{"SEGUNDA-FEIRA","TERÇA-FEIRA","QUARTA-FEIRA","QUINTA-FEIRA","SEXTA-FEIRA","SÁBADO","DOMINGO"}</definedName>
    <definedName name="InícioDaSemana">#REF!</definedName>
    <definedName name="Meses">{"Janeiro","Fevereiro","Março","Abril","Maio","Junho","Julho","Agosto","Setembro","Outubro","Novembro","Dezembro"}</definedName>
    <definedName name="ValorDoInícioDaSemana" localSheetId="0">IF([0]!InícioDaSemana="SEGUNDA-FEIRA",2,1)</definedName>
    <definedName name="ValorDoInícioDaSemana" localSheetId="1">IF([0]!InícioDaSemana="SEGUNDA-FEIRA",2,1)</definedName>
    <definedName name="ValorDoInícioDaSemana" localSheetId="2">IF([0]!InícioDaSemana="SEGUNDA-FEIRA",2,1)</definedName>
    <definedName name="ValorDoInícioDaSemana" localSheetId="3">IF([0]!InícioDaSemana="SEGUNDA-FEIRA",2,1)</definedName>
    <definedName name="ValorDoInícioDaSemana" localSheetId="4">IF([0]!InícioDaSemana="SEGUNDA-FEIRA",2,1)</definedName>
    <definedName name="ValorDoInícioDaSemana" localSheetId="5">IF([0]!InícioDaSemana="SEGUNDA-FEIRA",2,1)</definedName>
    <definedName name="ValorDoInícioDaSemana" localSheetId="6">IF([0]!InícioDaSemana="SEGUNDA-FEIRA",2,1)</definedName>
    <definedName name="ValorDoInícioDaSemana" localSheetId="7">IF([0]!InícioDaSemana="SEGUNDA-FEIRA",2,1)</definedName>
    <definedName name="ValorDoInícioDaSemana" localSheetId="8">IF([0]!InícioDaSemana="SEGUNDA-FEIRA",2,1)</definedName>
    <definedName name="ValorDoInícioDaSemana" localSheetId="9">IF([0]!InícioDaSemana="SEGUNDA-FEIRA",2,1)</definedName>
    <definedName name="ValorDoInícioDaSemana" localSheetId="10">IF([0]!InícioDaSemana="SEGUNDA-FEIRA",2,1)</definedName>
    <definedName name="ValorDoInícioDaSemana" localSheetId="11">IF([0]!InícioDaSemana="SEGUNDA-FEIRA",2,1)</definedName>
    <definedName name="ValorDoInícioDaSemana" localSheetId="12">IF([0]!InícioDaSemana="SEGUNDA-FEIRA",2,1)</definedName>
    <definedName name="ValorDoInícioDaSemana" localSheetId="13">IF([0]!InícioDaSemana="SEGUNDA-FEIRA",2,1)</definedName>
    <definedName name="ValorDoInícioDaSemana" localSheetId="14">IF([0]!InícioDaSemana="SEGUNDA-FEIRA",2,1)</definedName>
    <definedName name="ValorDoInícioDaSemana" localSheetId="15">IF([0]!InícioDaSemana="SEGUNDA-FEIRA",2,1)</definedName>
    <definedName name="ValorDoInícioDaSemana">IF(InícioDaSemana="SEGUNDA-FEIRA",2,1)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3" l="1"/>
  <c r="J16" i="33"/>
  <c r="J15" i="33"/>
  <c r="J14" i="33"/>
  <c r="J13" i="33"/>
  <c r="J12" i="33"/>
  <c r="J11" i="33"/>
  <c r="J10" i="33"/>
  <c r="J9" i="33"/>
  <c r="J8" i="33"/>
  <c r="J7" i="33"/>
  <c r="J6" i="33"/>
  <c r="J5" i="33"/>
  <c r="J4" i="33"/>
  <c r="J17" i="32" l="1"/>
  <c r="J16" i="32"/>
  <c r="J15" i="32"/>
  <c r="J14" i="32"/>
  <c r="J13" i="32"/>
  <c r="J12" i="32"/>
  <c r="J11" i="32"/>
  <c r="J10" i="32"/>
  <c r="J9" i="32"/>
  <c r="J8" i="32"/>
  <c r="J7" i="32"/>
  <c r="J6" i="32"/>
  <c r="J5" i="32"/>
  <c r="J4" i="32"/>
  <c r="J17" i="31" l="1"/>
  <c r="J16" i="31"/>
  <c r="J15" i="31"/>
  <c r="J14" i="31"/>
  <c r="J13" i="31"/>
  <c r="J12" i="31"/>
  <c r="J11" i="31"/>
  <c r="J10" i="31"/>
  <c r="J9" i="31"/>
  <c r="J8" i="31"/>
  <c r="J7" i="31"/>
  <c r="J6" i="31"/>
  <c r="J5" i="31"/>
  <c r="J4" i="31"/>
  <c r="J17" i="30"/>
  <c r="J16" i="30"/>
  <c r="J15" i="30"/>
  <c r="J14" i="30"/>
  <c r="J13" i="30"/>
  <c r="J12" i="30"/>
  <c r="J11" i="30"/>
  <c r="J10" i="30"/>
  <c r="J9" i="30"/>
  <c r="J8" i="30"/>
  <c r="J7" i="30"/>
  <c r="J6" i="30"/>
  <c r="J5" i="30"/>
  <c r="J4" i="30"/>
  <c r="J17" i="29"/>
  <c r="J16" i="29"/>
  <c r="J15" i="29"/>
  <c r="J14" i="29"/>
  <c r="J13" i="29"/>
  <c r="J12" i="29"/>
  <c r="J11" i="29"/>
  <c r="J10" i="29"/>
  <c r="J9" i="29"/>
  <c r="J8" i="29"/>
  <c r="J7" i="29"/>
  <c r="J6" i="29"/>
  <c r="J5" i="29"/>
  <c r="J4" i="29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J17" i="27" l="1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17" i="26"/>
  <c r="J16" i="26"/>
  <c r="J15" i="26"/>
  <c r="J14" i="26"/>
  <c r="J13" i="26"/>
  <c r="J12" i="26"/>
  <c r="J11" i="26"/>
  <c r="J10" i="26"/>
  <c r="J9" i="26"/>
  <c r="J8" i="26"/>
  <c r="J7" i="26"/>
  <c r="J6" i="26"/>
  <c r="J5" i="26"/>
  <c r="J4" i="26"/>
  <c r="J17" i="25"/>
  <c r="J16" i="25"/>
  <c r="J15" i="25"/>
  <c r="J14" i="25"/>
  <c r="J13" i="25"/>
  <c r="J12" i="25"/>
  <c r="J11" i="25"/>
  <c r="J10" i="25"/>
  <c r="J9" i="25"/>
  <c r="J8" i="25"/>
  <c r="J7" i="25"/>
  <c r="J6" i="25"/>
  <c r="J5" i="25"/>
  <c r="J4" i="25"/>
  <c r="J17" i="24"/>
  <c r="J16" i="24"/>
  <c r="J15" i="24"/>
  <c r="J14" i="24"/>
  <c r="J13" i="24"/>
  <c r="J12" i="24"/>
  <c r="J11" i="24"/>
  <c r="J10" i="24"/>
  <c r="J9" i="24"/>
  <c r="J8" i="24"/>
  <c r="J7" i="24"/>
  <c r="J6" i="24"/>
  <c r="J5" i="24"/>
  <c r="J4" i="24"/>
  <c r="J17" i="23" l="1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5" i="16" l="1"/>
  <c r="J6" i="16"/>
  <c r="J7" i="16"/>
  <c r="J8" i="16"/>
  <c r="J9" i="16"/>
  <c r="J10" i="16"/>
  <c r="J11" i="16"/>
  <c r="J12" i="16"/>
  <c r="J13" i="16"/>
  <c r="J14" i="16"/>
  <c r="J15" i="16"/>
  <c r="J16" i="16"/>
  <c r="J17" i="16"/>
  <c r="J4" i="16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4" i="22"/>
  <c r="J12" i="21" l="1"/>
  <c r="J11" i="21"/>
  <c r="J10" i="21"/>
  <c r="J9" i="21"/>
  <c r="J8" i="21"/>
  <c r="J7" i="21"/>
  <c r="J6" i="21"/>
  <c r="J5" i="21"/>
  <c r="J4" i="21"/>
  <c r="J16" i="20"/>
  <c r="J15" i="20"/>
  <c r="J14" i="20"/>
  <c r="J13" i="20"/>
  <c r="J12" i="20"/>
  <c r="J11" i="20"/>
  <c r="J10" i="20"/>
  <c r="J9" i="20"/>
  <c r="J8" i="20"/>
  <c r="J7" i="20"/>
  <c r="J6" i="20"/>
  <c r="J5" i="20"/>
  <c r="J4" i="20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</calcChain>
</file>

<file path=xl/sharedStrings.xml><?xml version="1.0" encoding="utf-8"?>
<sst xmlns="http://schemas.openxmlformats.org/spreadsheetml/2006/main" count="1199" uniqueCount="218">
  <si>
    <t>REDES / FILIAIS</t>
  </si>
  <si>
    <t>MOTORISTA</t>
  </si>
  <si>
    <t>PLACA</t>
  </si>
  <si>
    <t>SAIDA CD</t>
  </si>
  <si>
    <t>SAIDA LOJA 2</t>
  </si>
  <si>
    <t>SAIDA LOJA 1</t>
  </si>
  <si>
    <r>
      <t xml:space="preserve">RELATÓRIO KPI - Armazém do Grão
</t>
    </r>
    <r>
      <rPr>
        <b/>
        <sz val="20"/>
        <color theme="0"/>
        <rFont val="Arial"/>
        <family val="2"/>
      </rPr>
      <t>BENASSI</t>
    </r>
  </si>
  <si>
    <t>Armazem Do Grão (Itaipava)</t>
  </si>
  <si>
    <t>Armazem Do Grao (Correas)</t>
  </si>
  <si>
    <t>Armazém Do Grão ( Boa Vista)</t>
  </si>
  <si>
    <t>Armazém Do Grão Matriz ( Posse)</t>
  </si>
  <si>
    <t>Armazem Do Grão (Capela)</t>
  </si>
  <si>
    <t>Armazem Do Grao (16 De Março)</t>
  </si>
  <si>
    <t>Armazem Do Grão (Valparaíso)</t>
  </si>
  <si>
    <t>Armazem Do Grão (Quitandinha)</t>
  </si>
  <si>
    <t>Armazem Do Grão  (Mosela)</t>
  </si>
  <si>
    <t>Armazem Do Grão (Central)</t>
  </si>
  <si>
    <t>Codigo Filial</t>
  </si>
  <si>
    <t>Filial</t>
  </si>
  <si>
    <t>Razao Social</t>
  </si>
  <si>
    <t>CNPJ</t>
  </si>
  <si>
    <t>Logradouro</t>
  </si>
  <si>
    <t>Numero</t>
  </si>
  <si>
    <t>Complemento</t>
  </si>
  <si>
    <t>Bairro</t>
  </si>
  <si>
    <t>Cidade</t>
  </si>
  <si>
    <t>Pais</t>
  </si>
  <si>
    <t>CEP</t>
  </si>
  <si>
    <t>Estado</t>
  </si>
  <si>
    <t>Municipio</t>
  </si>
  <si>
    <t>A.Correas</t>
  </si>
  <si>
    <t>Armazem do Grao Ltda</t>
  </si>
  <si>
    <t>09.336.989/0009-30</t>
  </si>
  <si>
    <t>RUA CASTRO ALVES</t>
  </si>
  <si>
    <t>112</t>
  </si>
  <si>
    <t>134</t>
  </si>
  <si>
    <t>CORREAS</t>
  </si>
  <si>
    <t>Petrópolis</t>
  </si>
  <si>
    <t>Brasil</t>
  </si>
  <si>
    <t>25730730</t>
  </si>
  <si>
    <t>RJ</t>
  </si>
  <si>
    <t>A.Itaipava</t>
  </si>
  <si>
    <t>09.336.989/0002-64</t>
  </si>
  <si>
    <t xml:space="preserve">Estrada uniao e industria </t>
  </si>
  <si>
    <t>8461</t>
  </si>
  <si>
    <t>null</t>
  </si>
  <si>
    <t>Bonsucesso</t>
  </si>
  <si>
    <t>25730736</t>
  </si>
  <si>
    <t>A.Boa Vista</t>
  </si>
  <si>
    <t>Armazém do Grão LTDA</t>
  </si>
  <si>
    <t>09.336.989/0017-40</t>
  </si>
  <si>
    <t>Estrada União e Indústria</t>
  </si>
  <si>
    <t>12235</t>
  </si>
  <si>
    <t>Loja</t>
  </si>
  <si>
    <t>Itaipava</t>
  </si>
  <si>
    <t>25730770</t>
  </si>
  <si>
    <t>A.Posse</t>
  </si>
  <si>
    <t>ABASTECEDORA GRAO DA SERRA LTDA</t>
  </si>
  <si>
    <t>04.970.169/0013-69</t>
  </si>
  <si>
    <t>33735</t>
  </si>
  <si>
    <t>Posse</t>
  </si>
  <si>
    <t>25770000</t>
  </si>
  <si>
    <t>A.Valparaiso</t>
  </si>
  <si>
    <t>09.336.989/0005-07</t>
  </si>
  <si>
    <t>Rua Goncalves Dias</t>
  </si>
  <si>
    <t>290</t>
  </si>
  <si>
    <t>Valparaiso</t>
  </si>
  <si>
    <t>25655122</t>
  </si>
  <si>
    <t>A.Quitandinha</t>
  </si>
  <si>
    <t>09.336.989/0012-36</t>
  </si>
  <si>
    <t>Rua General Rondon</t>
  </si>
  <si>
    <t>550</t>
  </si>
  <si>
    <t>Galpão 02 Modulo 209</t>
  </si>
  <si>
    <t>Quitandinha</t>
  </si>
  <si>
    <t>25650028</t>
  </si>
  <si>
    <t>A.Capela</t>
  </si>
  <si>
    <t>09.336.989/0006-98</t>
  </si>
  <si>
    <t>Rua Dr. Paulo Herve</t>
  </si>
  <si>
    <t>955</t>
  </si>
  <si>
    <t>Bingen</t>
  </si>
  <si>
    <t>25665134</t>
  </si>
  <si>
    <t>A.Mosela</t>
  </si>
  <si>
    <t>09.336.989/0008-50</t>
  </si>
  <si>
    <t>RUA MOSELA</t>
  </si>
  <si>
    <t>983</t>
  </si>
  <si>
    <t>MOSELA</t>
  </si>
  <si>
    <t>25675016</t>
  </si>
  <si>
    <t>A.16 de Março</t>
  </si>
  <si>
    <t>09.336.989/0013-17</t>
  </si>
  <si>
    <t>Rua Dezesseis de Março</t>
  </si>
  <si>
    <t>195</t>
  </si>
  <si>
    <t>ACS R.Imperador 884</t>
  </si>
  <si>
    <t>Centro</t>
  </si>
  <si>
    <t>25620040</t>
  </si>
  <si>
    <t>A.Barra da Tijuca</t>
  </si>
  <si>
    <t>Armazem do Grao LTDA</t>
  </si>
  <si>
    <t>09.336.989/0016-60</t>
  </si>
  <si>
    <t>Avenida das Américas</t>
  </si>
  <si>
    <t>11.599</t>
  </si>
  <si>
    <t>Lojas</t>
  </si>
  <si>
    <t>Barra da Tijuca</t>
  </si>
  <si>
    <t>Rio de Janeiro</t>
  </si>
  <si>
    <t>22793082</t>
  </si>
  <si>
    <t>A.Maio</t>
  </si>
  <si>
    <t>ABASTECEDORA GRAO DA SERRA LTDA.</t>
  </si>
  <si>
    <t>04.970.169/0004-78</t>
  </si>
  <si>
    <t>Rua Doutor Waldir Barbosa Moreira</t>
  </si>
  <si>
    <t>257</t>
  </si>
  <si>
    <t>Várzea</t>
  </si>
  <si>
    <t>Teresópolis</t>
  </si>
  <si>
    <t>25955010</t>
  </si>
  <si>
    <t>A.Barra do Imbui</t>
  </si>
  <si>
    <t>04.970.169/0005-59</t>
  </si>
  <si>
    <t>Avenida Presidente Roosevelt</t>
  </si>
  <si>
    <t>1360</t>
  </si>
  <si>
    <t>Paineira</t>
  </si>
  <si>
    <t>25965001</t>
  </si>
  <si>
    <t>A.Lucio Meira</t>
  </si>
  <si>
    <t>04.970.169/0002-06</t>
  </si>
  <si>
    <t>AV LUCIO MEIRA</t>
  </si>
  <si>
    <t>85</t>
  </si>
  <si>
    <t>VARZEA</t>
  </si>
  <si>
    <t>25953000</t>
  </si>
  <si>
    <t>A.Alto</t>
  </si>
  <si>
    <t>04.970.169/0010-16</t>
  </si>
  <si>
    <t>Avenida Oliveira Botelho</t>
  </si>
  <si>
    <t>328</t>
  </si>
  <si>
    <t>Galpao</t>
  </si>
  <si>
    <t>Alto</t>
  </si>
  <si>
    <t>25961146</t>
  </si>
  <si>
    <t>Armazém Do Grão (Regina  Barra Do Imbuy)</t>
  </si>
  <si>
    <t>Armazém Do Grão (Regina  1 De Maio)</t>
  </si>
  <si>
    <t>Armazem Do Grao (A. Barra Da Tijuca)</t>
  </si>
  <si>
    <t>COD</t>
  </si>
  <si>
    <t>Armazé Do Grão (Regina  Lucio Meira)</t>
  </si>
  <si>
    <t>CHD LOJA 1</t>
  </si>
  <si>
    <t>CHD LOJA 2</t>
  </si>
  <si>
    <t>TEMPOI EM LOJA</t>
  </si>
  <si>
    <t>GILSON</t>
  </si>
  <si>
    <t>35399</t>
  </si>
  <si>
    <t>JAIRO</t>
  </si>
  <si>
    <t>29499</t>
  </si>
  <si>
    <t>TML2D79</t>
  </si>
  <si>
    <t>ROBERTO</t>
  </si>
  <si>
    <t>QSW3B65</t>
  </si>
  <si>
    <t>JEFERSON</t>
  </si>
  <si>
    <t>QSS1E48</t>
  </si>
  <si>
    <t>RAFAEL</t>
  </si>
  <si>
    <t>LSL9670</t>
  </si>
  <si>
    <t>ARNALDO</t>
  </si>
  <si>
    <t>67499</t>
  </si>
  <si>
    <t>LQE5E01</t>
  </si>
  <si>
    <t>TML5I70</t>
  </si>
  <si>
    <t>FKY8H51</t>
  </si>
  <si>
    <t>ANTUNES</t>
  </si>
  <si>
    <t>UGA1D55</t>
  </si>
  <si>
    <t>TML3B11</t>
  </si>
  <si>
    <t>TJQ-6J26</t>
  </si>
  <si>
    <t>WILLIAM FEREZ</t>
  </si>
  <si>
    <t>LKR5990</t>
  </si>
  <si>
    <t>NÃO</t>
  </si>
  <si>
    <t>FOI  AO</t>
  </si>
  <si>
    <t>CLIENTE</t>
  </si>
  <si>
    <t>51699</t>
  </si>
  <si>
    <t>SIDNEI</t>
  </si>
  <si>
    <t>TJX-6F34</t>
  </si>
  <si>
    <t>UBO-5E01</t>
  </si>
  <si>
    <t xml:space="preserve">NÃO </t>
  </si>
  <si>
    <t>JULIO</t>
  </si>
  <si>
    <t>184212</t>
  </si>
  <si>
    <t>KNC5J75</t>
  </si>
  <si>
    <t>UBO5E05</t>
  </si>
  <si>
    <t>UBO5E01</t>
  </si>
  <si>
    <t>TML-2D79</t>
  </si>
  <si>
    <t>EDUARDO</t>
  </si>
  <si>
    <t>808</t>
  </si>
  <si>
    <t>CZB9J19</t>
  </si>
  <si>
    <t>UBO0B68</t>
  </si>
  <si>
    <t>363</t>
  </si>
  <si>
    <t>ERALDO</t>
  </si>
  <si>
    <t>ROBERTA</t>
  </si>
  <si>
    <t>SILVIO</t>
  </si>
  <si>
    <t>TML7D21</t>
  </si>
  <si>
    <t>353</t>
  </si>
  <si>
    <t>REGINA  BARRA DO IMBUY</t>
  </si>
  <si>
    <t>UGA-1D55</t>
  </si>
  <si>
    <t>REGINA  1 DE MAIO</t>
  </si>
  <si>
    <t>REGINA  LUCIO MEIRA</t>
  </si>
  <si>
    <t>ABASTECEDORA GRÃO DA SERRA (ALTO)</t>
  </si>
  <si>
    <t>ARMAZÉM DO GRÃO ( BOA VISTA)</t>
  </si>
  <si>
    <t>ARMAZÉM DO GRÃO MATRIZ ( POSSE)</t>
  </si>
  <si>
    <t>ARMAZEM DO GRÃO (ITAIPAVA)</t>
  </si>
  <si>
    <t xml:space="preserve">ROBERTO </t>
  </si>
  <si>
    <t>ARMAZEM DO GRAO (CORREAS)</t>
  </si>
  <si>
    <t>ARMAZEM DO GRÃO (VALPARAÍSO)</t>
  </si>
  <si>
    <t>TML-9I75</t>
  </si>
  <si>
    <t>ARMAZEM DO GRÃO  (MOSELA)</t>
  </si>
  <si>
    <t>ARMAZEM DO GRÃO (QUITANDINHA)</t>
  </si>
  <si>
    <t>ARMAZEM DO GRÃO (CAPELA)</t>
  </si>
  <si>
    <t>SILVIO ALVES</t>
  </si>
  <si>
    <t>UBG-7F79</t>
  </si>
  <si>
    <t>ARMAZEM DO GRAO (16 DE MARÇO)</t>
  </si>
  <si>
    <t>ARMAZEM DO GRAO A. BARRA DA TIJUCA</t>
  </si>
  <si>
    <t>LQE-5E01</t>
  </si>
  <si>
    <t>UEH-9I93</t>
  </si>
  <si>
    <t>UBO-5E05</t>
  </si>
  <si>
    <t>SEM</t>
  </si>
  <si>
    <t>RASTREADOR</t>
  </si>
  <si>
    <t>QSZ-9A20</t>
  </si>
  <si>
    <t>QSW-3B65</t>
  </si>
  <si>
    <t>QST-4C52</t>
  </si>
  <si>
    <t>QSS-1E48</t>
  </si>
  <si>
    <t>14:55</t>
  </si>
  <si>
    <t>TML-6D96</t>
  </si>
  <si>
    <t>UDC-6I03</t>
  </si>
  <si>
    <t>KPT-5B20</t>
  </si>
  <si>
    <t>UBO-0B68</t>
  </si>
  <si>
    <t>TML-7D21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</si>
</sst>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8"/>
      <color rgb="FFFF0000"/>
      <name val="Arial"/>
      <family val="2"/>
    </font>
    <font>
      <b/>
      <sz val="15"/>
      <color indexed="8"/>
      <name val="Calibri"/>
      <family val="2"/>
    </font>
    <font>
      <sz val="11"/>
      <color indexed="8"/>
      <name val="Calibri"/>
      <family val="2"/>
    </font>
    <font>
      <b/>
      <sz val="16"/>
      <color theme="0"/>
      <name val="Arial Narrow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8" borderId="3" applyNumberFormat="0" applyFont="0" applyAlignment="0" applyProtection="0"/>
  </cellStyleXfs>
  <cellXfs count="33">
    <xf numFmtId="0" fontId="0" fillId="0" borderId="0" xfId="0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10" fillId="0" borderId="0" xfId="1" applyFont="1"/>
    <xf numFmtId="164" fontId="7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164" fontId="7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3" fillId="9" borderId="0" xfId="1" applyFont="1" applyFill="1" applyAlignment="1">
      <alignment horizontal="centerContinuous" vertical="center" wrapText="1"/>
    </xf>
    <xf numFmtId="0" fontId="3" fillId="9" borderId="0" xfId="1" applyFont="1" applyFill="1" applyAlignment="1">
      <alignment horizontal="centerContinuous" vertical="center"/>
    </xf>
    <xf numFmtId="0" fontId="5" fillId="9" borderId="0" xfId="1" applyFont="1" applyFill="1" applyAlignment="1">
      <alignment horizontal="centerContinuous" vertical="center"/>
    </xf>
    <xf numFmtId="164" fontId="6" fillId="9" borderId="0" xfId="1" applyNumberFormat="1" applyFont="1" applyFill="1" applyAlignment="1">
      <alignment horizontal="centerContinuous" vertical="center"/>
    </xf>
    <xf numFmtId="0" fontId="6" fillId="9" borderId="0" xfId="1" applyFont="1" applyFill="1" applyAlignment="1">
      <alignment horizontal="centerContinuous" vertical="center"/>
    </xf>
    <xf numFmtId="0" fontId="7" fillId="9" borderId="0" xfId="1" applyFont="1" applyFill="1" applyAlignment="1">
      <alignment horizontal="centerContinuous"/>
    </xf>
    <xf numFmtId="0" fontId="8" fillId="8" borderId="3" xfId="7" applyFont="1" applyAlignment="1">
      <alignment horizontal="left" vertical="center"/>
    </xf>
    <xf numFmtId="0" fontId="13" fillId="9" borderId="2" xfId="1" applyFont="1" applyFill="1" applyBorder="1" applyAlignment="1">
      <alignment horizontal="center" vertical="center"/>
    </xf>
    <xf numFmtId="164" fontId="13" fillId="9" borderId="2" xfId="1" applyNumberFormat="1" applyFont="1" applyFill="1" applyBorder="1" applyAlignment="1">
      <alignment horizontal="center" vertical="center"/>
    </xf>
    <xf numFmtId="0" fontId="14" fillId="8" borderId="3" xfId="7" applyFont="1" applyAlignment="1">
      <alignment horizontal="left" vertical="center"/>
    </xf>
    <xf numFmtId="0" fontId="14" fillId="8" borderId="4" xfId="7" applyFont="1" applyBorder="1" applyAlignment="1">
      <alignment horizontal="left" vertical="center"/>
    </xf>
    <xf numFmtId="49" fontId="14" fillId="8" borderId="3" xfId="7" applyNumberFormat="1" applyFont="1" applyAlignment="1">
      <alignment horizontal="center" vertical="center"/>
    </xf>
    <xf numFmtId="49" fontId="14" fillId="8" borderId="4" xfId="7" applyNumberFormat="1" applyFont="1" applyBorder="1" applyAlignment="1">
      <alignment horizontal="center" vertical="center"/>
    </xf>
    <xf numFmtId="165" fontId="14" fillId="8" borderId="5" xfId="7" applyNumberFormat="1" applyFont="1" applyBorder="1" applyAlignment="1">
      <alignment horizontal="center" vertical="center"/>
    </xf>
  </cellXfs>
  <cellStyles count="8">
    <cellStyle name="Normal" xfId="0" builtinId="0"/>
    <cellStyle name="Normal 2 2" xfId="1" xr:uid="{00000000-0005-0000-0000-000001000000}"/>
    <cellStyle name="Normal 2 2 3 2" xfId="6" xr:uid="{D92F8435-6631-4054-9806-E0750BE89C07}"/>
    <cellStyle name="Normal 2 3 2 2 2 2 2 2 2" xfId="3" xr:uid="{E4AF4FF0-130D-45CB-878A-430F6A1F9B76}"/>
    <cellStyle name="Normal 2 3 2 2 2 2 2 2 2 2" xfId="4" xr:uid="{6F18961C-0AEF-4444-8F18-1EAAFACA0D0F}"/>
    <cellStyle name="Normal 3 2 2 2 2 2 2 2 2" xfId="5" xr:uid="{B636456D-F9BB-49F2-8C2D-8B8A8F6B570D}"/>
    <cellStyle name="Normal 3 2 2 2 2 2 2 2 3" xfId="2" xr:uid="{00000000-0005-0000-0000-000002000000}"/>
    <cellStyle name="Nota" xfId="7" builtinId="10"/>
  </cellStyles>
  <dxfs count="2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/>
        <bottom style="thin">
          <color rgb="FFB2B2B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outline="0"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rgb="FFB2B2B2"/>
        </right>
      </border>
    </dxf>
    <dxf>
      <border outline="0">
        <top style="thin">
          <color auto="1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numFmt numFmtId="164" formatCode="[$-F400]h:mm:ss\ AM/PM"/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B23F29-AC81-4121-82CB-407849C34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468B36-7723-4A4A-8FF8-49CC51627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0525" y="0"/>
          <a:ext cx="1423147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57F4DE-78F8-4BBE-958B-86340B33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3010A3-6228-4A8A-874F-69DD8CC94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0525" y="0"/>
          <a:ext cx="1423147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BE50B8-7393-498E-9E30-52294B4E6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5009E0-8BF6-4EF1-98D2-3C7B8E45B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0525" y="0"/>
          <a:ext cx="1423147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5A33D2-1724-4C6C-99A5-1E0AF2F5F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A41053-30FA-4C8B-8AF7-D58668BDE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0525" y="0"/>
          <a:ext cx="1423147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8DDF6F-8AF3-44C6-9A0A-6761679F1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D75C6D-8BFD-4911-A1AC-CFA7A90A5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A6445C-48DD-443F-A375-E30538ACA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107A81-2E8F-4A82-BB57-2EF4BECE0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6BF09B-0171-4CA4-815C-1F3DF94A6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62DDFB-E676-4B1E-A7F6-09B26BBA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7BA745-2D87-4A05-A0C0-8A3BAF364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529BB7-39A3-47F3-BAEB-8C2D25CF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66C129-0202-4824-A605-F89C310AA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6EC3D97-D721-40A9-9874-D6FBF7284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9B439A-FF25-45B8-9E0F-8CF5574D9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B788E0-04AC-4F49-8749-30CC65103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64ADAF-0B64-46DA-842D-9091687D7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D4719A-C219-4FD9-8E7A-E08EEFFDF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FE90B7-BB55-459F-9ED9-9CEB1AEAC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E6F9F1-8900-4253-BAC8-4AB89EC9E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EAC844-ED9E-4F03-BE58-14094A3D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0F6109-D659-406F-9AEC-67B01928A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225965-2CB4-4DEC-A61B-468DE752A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4985BBB-F58F-45DF-8283-379415D73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022071-6D0C-48F9-9E67-67981CD42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37B7DB-6C34-4534-BF0F-13B59B9B9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250" y="0"/>
          <a:ext cx="1423147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0</xdr:rowOff>
    </xdr:from>
    <xdr:to>
      <xdr:col>0</xdr:col>
      <xdr:colOff>1568824</xdr:colOff>
      <xdr:row>0</xdr:row>
      <xdr:rowOff>1033008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E0EF628-B7AC-72FA-36BC-742A91129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9</xdr:col>
      <xdr:colOff>425825</xdr:colOff>
      <xdr:row>0</xdr:row>
      <xdr:rowOff>0</xdr:rowOff>
    </xdr:from>
    <xdr:to>
      <xdr:col>9</xdr:col>
      <xdr:colOff>1848972</xdr:colOff>
      <xdr:row>0</xdr:row>
      <xdr:rowOff>1024937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17CFD77-AE49-C61E-765D-87B56A05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8031" y="0"/>
          <a:ext cx="1423147" cy="10249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E3D15-F1F7-48D1-8F4A-ED025ABEA83F}" name="Tabela32" displayName="Tabela32" ref="A2:J18" totalsRowShown="0" headerRowDxfId="209" dataDxfId="208" tableBorderDxfId="207" headerRowCellStyle="Normal 2 2" dataCellStyle="Nota">
  <tableColumns count="10">
    <tableColumn id="1" xr3:uid="{8C591262-17EF-454B-ABAF-B2888934B664}" name="REDES / FILIAIS" dataDxfId="206" dataCellStyle="Nota"/>
    <tableColumn id="2" xr3:uid="{AD1D2994-DF9C-45A0-8DAA-503AEF6DFA64}" name="MOTORISTA" dataDxfId="205" dataCellStyle="Nota"/>
    <tableColumn id="3" xr3:uid="{D736FED6-6C6B-46EE-B9EC-2CF2F12BF8C2}" name="COD" dataDxfId="204" dataCellStyle="Nota"/>
    <tableColumn id="4" xr3:uid="{A36663CD-3F65-40EF-9150-16C7CD13FCF2}" name="PLACA" dataDxfId="203" dataCellStyle="Nota"/>
    <tableColumn id="5" xr3:uid="{67B029AA-4D8C-4621-A1CA-5934C3B0CF21}" name="SAIDA CD" dataDxfId="202" dataCellStyle="Nota"/>
    <tableColumn id="6" xr3:uid="{8EE8D526-05CF-4D32-B1D1-83A00E77FED4}" name="CHD LOJA 1" dataDxfId="201" dataCellStyle="Nota"/>
    <tableColumn id="7" xr3:uid="{DCCC7B46-C83B-4B94-9786-85503C94A2A2}" name="SAIDA LOJA 1" dataDxfId="200" dataCellStyle="Nota"/>
    <tableColumn id="8" xr3:uid="{0ECC306F-1BC1-42C6-B5B4-750E692897E4}" name="CHD LOJA 2" dataDxfId="199" dataCellStyle="Nota"/>
    <tableColumn id="9" xr3:uid="{4F7724A7-5AD4-4357-8181-356811640BDB}" name="SAIDA LOJA 2" dataDxfId="198" dataCellStyle="Nota"/>
    <tableColumn id="10" xr3:uid="{31416E8A-3A25-47AE-9696-FB75EF10818A}" name="TEMPOI EM LOJA" dataDxfId="197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79E58B-153D-4178-B8A8-77DE1EB5E001}" name="Tabela33" displayName="Tabela33" ref="A2:J18" totalsRowShown="0" headerRowDxfId="196" dataDxfId="195" tableBorderDxfId="194" headerRowCellStyle="Normal 2 2" dataCellStyle="Nota">
  <tableColumns count="10">
    <tableColumn id="1" xr3:uid="{9AD0A7E2-326E-4D10-B282-F79A0FBE6470}" name="REDES / FILIAIS" dataDxfId="193" dataCellStyle="Nota"/>
    <tableColumn id="2" xr3:uid="{D76051C1-01D1-4FAA-8DED-068EF4CE9ED4}" name="MOTORISTA" dataDxfId="192" dataCellStyle="Nota"/>
    <tableColumn id="3" xr3:uid="{10B418D8-F46E-4A37-9BDF-C6A4C9513877}" name="COD" dataDxfId="191" dataCellStyle="Nota"/>
    <tableColumn id="4" xr3:uid="{7752C467-66F5-4337-80AB-BE0F24FFC6EE}" name="PLACA" dataDxfId="190" dataCellStyle="Nota"/>
    <tableColumn id="5" xr3:uid="{67BB4626-44EF-4418-BFA4-14A8356925E3}" name="SAIDA CD" dataDxfId="189" dataCellStyle="Nota"/>
    <tableColumn id="6" xr3:uid="{7FEC36D0-319B-440B-A6C4-546026FB1C88}" name="CHD LOJA 1" dataDxfId="188" dataCellStyle="Nota"/>
    <tableColumn id="7" xr3:uid="{41E4EA5E-1408-4E9A-AF75-071499C4EABD}" name="SAIDA LOJA 1" dataDxfId="187" dataCellStyle="Nota"/>
    <tableColumn id="8" xr3:uid="{D95B3974-1E68-47C6-8ED3-88F043F083A1}" name="CHD LOJA 2" dataDxfId="186" dataCellStyle="Nota"/>
    <tableColumn id="9" xr3:uid="{A80D8E22-C885-4FE5-AD92-03C70DB9D8A8}" name="SAIDA LOJA 2" dataDxfId="185" dataCellStyle="Nota"/>
    <tableColumn id="10" xr3:uid="{B6B0F431-FD3F-4B92-9FB5-DEEBDC09941D}" name="TEMPOI EM LOJA" dataDxfId="184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0C48B6-9BC2-425F-A670-8E2A91FB0D67}" name="Tabela35" displayName="Tabela35" ref="A2:J18" totalsRowShown="0" headerRowDxfId="183" dataDxfId="182" tableBorderDxfId="181" headerRowCellStyle="Normal 2 2" dataCellStyle="Nota">
  <autoFilter ref="A2:J18" xr:uid="{FA0C48B6-9BC2-425F-A670-8E2A91FB0D67}"/>
  <tableColumns count="10">
    <tableColumn id="1" xr3:uid="{7DF3213E-606B-4BFE-B39B-82A0FBFDC85D}" name="REDES / FILIAIS" dataDxfId="180" dataCellStyle="Nota"/>
    <tableColumn id="2" xr3:uid="{0B9763C0-E490-426E-9F95-990D2B26A145}" name="MOTORISTA" dataDxfId="179" dataCellStyle="Nota"/>
    <tableColumn id="3" xr3:uid="{E9A1A25E-EBBE-43C6-9F73-A96D36AB42AC}" name="COD" dataDxfId="178" dataCellStyle="Nota"/>
    <tableColumn id="4" xr3:uid="{901903ED-490D-42AE-B553-2A140F189446}" name="PLACA" dataDxfId="177" dataCellStyle="Nota"/>
    <tableColumn id="5" xr3:uid="{4D57BFB2-C8CA-46C3-A98F-FF515C1CCD19}" name="SAIDA CD" dataDxfId="176" dataCellStyle="Nota"/>
    <tableColumn id="6" xr3:uid="{614D31EF-99D6-41E6-8972-D29AE73E0B91}" name="CHD LOJA 1" dataDxfId="175" dataCellStyle="Nota"/>
    <tableColumn id="7" xr3:uid="{A2DB72CA-D214-4D00-AA87-8BE8ECE4C522}" name="SAIDA LOJA 1" dataDxfId="174" dataCellStyle="Nota"/>
    <tableColumn id="8" xr3:uid="{B0476365-EF33-4E02-8440-A271D574ED37}" name="CHD LOJA 2" dataDxfId="173" dataCellStyle="Nota"/>
    <tableColumn id="9" xr3:uid="{FD673067-F6A3-4231-8E2B-C1E7E83A405B}" name="SAIDA LOJA 2" dataDxfId="172" dataCellStyle="Nota"/>
    <tableColumn id="10" xr3:uid="{62F3DFE7-CC83-4CB6-BA9E-B046F9F72F81}" name="TEMPOI EM LOJA" dataDxfId="171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E4CB68-6DF3-493C-9DA1-08482C9C7287}" name="Tabela36" displayName="Tabela36" ref="A2:J18" totalsRowShown="0" headerRowDxfId="170" dataDxfId="169" tableBorderDxfId="168" headerRowCellStyle="Normal 2 2" dataCellStyle="Nota">
  <tableColumns count="10">
    <tableColumn id="1" xr3:uid="{20912241-2B53-4D05-B9DE-51AFDA54BFA1}" name="REDES / FILIAIS" dataDxfId="167" dataCellStyle="Nota"/>
    <tableColumn id="2" xr3:uid="{725F64AA-BBB2-4D61-8B48-BDAB89EF72A7}" name="MOTORISTA" dataDxfId="166" dataCellStyle="Nota"/>
    <tableColumn id="3" xr3:uid="{76E5E207-0393-4996-A180-3B8DD0686C4E}" name="COD" dataDxfId="165" dataCellStyle="Nota"/>
    <tableColumn id="4" xr3:uid="{4A2B0E7A-5B4B-4B53-A594-19E71CD0F641}" name="PLACA" dataDxfId="164" dataCellStyle="Nota"/>
    <tableColumn id="5" xr3:uid="{7A0BC0FB-BAB7-4F1A-A5C9-79349E615A87}" name="SAIDA CD" dataDxfId="163" dataCellStyle="Nota"/>
    <tableColumn id="6" xr3:uid="{45F0B84F-868D-41D1-B3A8-F46D6DF5ABB1}" name="CHD LOJA 1" dataDxfId="162" dataCellStyle="Nota"/>
    <tableColumn id="7" xr3:uid="{4870CF72-A803-4C9F-9A7D-B5ABC03699DE}" name="SAIDA LOJA 1" dataDxfId="161" dataCellStyle="Nota"/>
    <tableColumn id="8" xr3:uid="{1A1F9242-8624-472D-953C-221E75DBB65C}" name="CHD LOJA 2" dataDxfId="160" dataCellStyle="Nota"/>
    <tableColumn id="9" xr3:uid="{74597C8A-9FAC-4E0E-A84B-4520220FD4D7}" name="SAIDA LOJA 2" dataDxfId="159" dataCellStyle="Nota"/>
    <tableColumn id="10" xr3:uid="{1816A1F6-555A-4CBB-9BF6-373158399C4D}" name="TEMPOI EM LOJA" dataDxfId="158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9C1EB4-ED22-4607-B22A-5C0087220F7C}" name="Tabela37" displayName="Tabela37" ref="A2:J18" totalsRowShown="0" headerRowDxfId="157" dataDxfId="156" tableBorderDxfId="155" headerRowCellStyle="Normal 2 2" dataCellStyle="Nota">
  <tableColumns count="10">
    <tableColumn id="1" xr3:uid="{D7733D19-0B7B-4B9D-8162-BFD7567F1284}" name="REDES / FILIAIS" dataDxfId="154" dataCellStyle="Nota"/>
    <tableColumn id="2" xr3:uid="{C8CBCC22-4FF6-4B00-A550-2A073996A303}" name="MOTORISTA" dataDxfId="153" dataCellStyle="Nota"/>
    <tableColumn id="3" xr3:uid="{BEE98A86-D364-4802-90EF-53F9C246DB93}" name="COD" dataDxfId="152" dataCellStyle="Nota"/>
    <tableColumn id="4" xr3:uid="{30F997D5-D140-4B40-BB04-0CA99A355DA9}" name="PLACA" dataDxfId="151" dataCellStyle="Nota"/>
    <tableColumn id="5" xr3:uid="{6CFD4880-8DD4-493C-87C1-E53B8B1BD623}" name="SAIDA CD" dataDxfId="150" dataCellStyle="Nota"/>
    <tableColumn id="6" xr3:uid="{776EBA35-EF46-420A-97BF-3017E767A6F9}" name="CHD LOJA 1" dataDxfId="149" dataCellStyle="Nota"/>
    <tableColumn id="7" xr3:uid="{2F3C8652-5011-463F-AB04-704BC6017AD8}" name="SAIDA LOJA 1" dataDxfId="148" dataCellStyle="Nota"/>
    <tableColumn id="8" xr3:uid="{3926F656-4656-4A31-A50D-9884F3B93C88}" name="CHD LOJA 2" dataDxfId="147" dataCellStyle="Nota"/>
    <tableColumn id="9" xr3:uid="{9C4F06EA-315F-464F-872D-3DB3E3629493}" name="SAIDA LOJA 2" dataDxfId="146" dataCellStyle="Nota"/>
    <tableColumn id="10" xr3:uid="{D591AE10-B525-46A9-B053-8FDBEA294739}" name="TEMPOI EM LOJA" dataDxfId="145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BEDB9C-E5E7-499F-AC91-3CD0F623073C}" name="Tabela38" displayName="Tabela38" ref="A2:J18" totalsRowShown="0" headerRowDxfId="144" dataDxfId="143" tableBorderDxfId="142" headerRowCellStyle="Normal 2 2" dataCellStyle="Nota">
  <tableColumns count="10">
    <tableColumn id="1" xr3:uid="{0087D7D3-4CA4-4EAA-8B5B-33419FDFD52A}" name="REDES / FILIAIS" dataDxfId="141" dataCellStyle="Nota"/>
    <tableColumn id="2" xr3:uid="{6B491CAF-AB51-44F3-B090-4CA387F0FD7C}" name="MOTORISTA" dataDxfId="140" dataCellStyle="Nota"/>
    <tableColumn id="3" xr3:uid="{FA24FF32-E2CE-4F4E-80E2-2B40C3F08242}" name="COD" dataDxfId="139" dataCellStyle="Nota"/>
    <tableColumn id="4" xr3:uid="{770993B0-B446-4337-B476-CF8B1DC3DB03}" name="PLACA" dataDxfId="138" dataCellStyle="Nota"/>
    <tableColumn id="5" xr3:uid="{5D2D0AAE-9644-43AE-BF08-7FDFE03ED394}" name="SAIDA CD" dataDxfId="137" dataCellStyle="Nota"/>
    <tableColumn id="6" xr3:uid="{10EA59BF-EF39-4221-9769-580D7D903523}" name="CHD LOJA 1" dataDxfId="136" dataCellStyle="Nota"/>
    <tableColumn id="7" xr3:uid="{B1B2676F-D1FA-41F4-9D3F-9C9A85898A6C}" name="SAIDA LOJA 1" dataDxfId="135" dataCellStyle="Nota"/>
    <tableColumn id="8" xr3:uid="{70A52C71-1820-40DE-B00A-D4EAC3C78E52}" name="CHD LOJA 2" dataDxfId="134" dataCellStyle="Nota"/>
    <tableColumn id="9" xr3:uid="{ADBA6AB2-AF0B-40BD-86EC-D1A3C004B6BD}" name="SAIDA LOJA 2" dataDxfId="133" dataCellStyle="Nota"/>
    <tableColumn id="10" xr3:uid="{503B1589-441B-4D9F-A5FA-3E1F6356ED3A}" name="TEMPOI EM LOJA" dataDxfId="132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390C66-582A-4861-866E-2423D96F5ED1}" name="Tabela39" displayName="Tabela39" ref="A2:J18" totalsRowShown="0" headerRowDxfId="131" dataDxfId="130" tableBorderDxfId="129" headerRowCellStyle="Normal 2 2" dataCellStyle="Nota">
  <tableColumns count="10">
    <tableColumn id="1" xr3:uid="{A91AC8E4-E729-4D8B-AB84-1F304C8AF827}" name="REDES / FILIAIS" dataDxfId="128" dataCellStyle="Nota"/>
    <tableColumn id="2" xr3:uid="{E3C85A30-B7AB-4FF2-A38D-BCE1457D328D}" name="MOTORISTA" dataDxfId="127" dataCellStyle="Nota"/>
    <tableColumn id="3" xr3:uid="{C91D8D91-BC40-448B-B5F0-7DEF2D3E3E55}" name="COD" dataDxfId="126" dataCellStyle="Nota"/>
    <tableColumn id="4" xr3:uid="{435E6363-E4F7-4520-B9B4-160B049BB74D}" name="PLACA" dataDxfId="125" dataCellStyle="Nota"/>
    <tableColumn id="5" xr3:uid="{9949626E-7D94-4219-BB80-3DCEA9DC7F5D}" name="SAIDA CD" dataDxfId="124" dataCellStyle="Nota"/>
    <tableColumn id="6" xr3:uid="{C069B098-7887-4A99-B9FB-8BAA83D7153D}" name="CHD LOJA 1" dataDxfId="123" dataCellStyle="Nota"/>
    <tableColumn id="7" xr3:uid="{27A6073B-7D47-46B3-9EBC-BD900308D634}" name="SAIDA LOJA 1" dataDxfId="122" dataCellStyle="Nota"/>
    <tableColumn id="8" xr3:uid="{0DB24C8A-37B6-48E4-81B9-CE35D0426D83}" name="CHD LOJA 2" dataDxfId="121" dataCellStyle="Nota"/>
    <tableColumn id="9" xr3:uid="{759F250F-4478-4017-AD81-F419E37EB2CC}" name="SAIDA LOJA 2" dataDxfId="120" dataCellStyle="Nota"/>
    <tableColumn id="10" xr3:uid="{5AEF1D59-AB19-458D-BF02-C65F88A559DA}" name="TEMPOI EM LOJA" dataDxfId="119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DCEACC-0FA6-4E1D-9B23-A9C23B54DCDD}" name="Tabela310" displayName="Tabela310" ref="A2:J18" totalsRowShown="0" headerRowDxfId="118" dataDxfId="117" tableBorderDxfId="116" headerRowCellStyle="Normal 2 2" dataCellStyle="Nota">
  <tableColumns count="10">
    <tableColumn id="1" xr3:uid="{FB0D7FD6-52FD-4BD7-B489-864775F5D94A}" name="REDES / FILIAIS" dataDxfId="115" dataCellStyle="Nota"/>
    <tableColumn id="2" xr3:uid="{2D02F494-3FDC-4788-89C0-1AAA70D2D385}" name="MOTORISTA" dataDxfId="114" dataCellStyle="Nota"/>
    <tableColumn id="3" xr3:uid="{6EF5B4B0-AEF6-4DB7-82D6-EB3F823960CA}" name="COD" dataDxfId="113" dataCellStyle="Nota"/>
    <tableColumn id="4" xr3:uid="{2ED2674A-A461-465A-8A42-ED52B1566EF9}" name="PLACA" dataDxfId="112" dataCellStyle="Nota"/>
    <tableColumn id="5" xr3:uid="{5665B3F9-20C0-4603-8CE2-3DB38A9F675D}" name="SAIDA CD" dataDxfId="111" dataCellStyle="Nota"/>
    <tableColumn id="6" xr3:uid="{9BA4EB9D-2F33-4212-91D9-CEE447A8FF30}" name="CHD LOJA 1" dataDxfId="110" dataCellStyle="Nota"/>
    <tableColumn id="7" xr3:uid="{1A32DB25-96E0-4FC6-AE88-0B7A8AE99687}" name="SAIDA LOJA 1" dataDxfId="109" dataCellStyle="Nota"/>
    <tableColumn id="8" xr3:uid="{E7BD505A-71F1-415B-A039-F538F81C2BE8}" name="CHD LOJA 2" dataDxfId="108" dataCellStyle="Nota"/>
    <tableColumn id="9" xr3:uid="{6ED61C4A-336F-497D-A15D-EA72B94A2FB4}" name="SAIDA LOJA 2" dataDxfId="107" dataCellStyle="Nota"/>
    <tableColumn id="10" xr3:uid="{163B518B-90B5-43DA-8433-6E39164BE2D5}" name="TEMPOI EM LOJA" dataDxfId="106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BE66FED-0253-4E73-981A-D796B6C66A85}" name="Tabela311" displayName="Tabela311" ref="A2:J18" totalsRowShown="0" headerRowDxfId="105" dataDxfId="104" tableBorderDxfId="103" headerRowCellStyle="Normal 2 2" dataCellStyle="Nota">
  <tableColumns count="10">
    <tableColumn id="1" xr3:uid="{8076C639-54D7-4A50-8845-62F70B0EE6A9}" name="REDES / FILIAIS" dataDxfId="102" dataCellStyle="Nota"/>
    <tableColumn id="2" xr3:uid="{D16BEB8C-20AD-4DD7-9F3E-2B24E8199A30}" name="MOTORISTA" dataDxfId="101" dataCellStyle="Nota"/>
    <tableColumn id="3" xr3:uid="{4C64A8A4-411A-485F-ADA1-70EA08409DE2}" name="COD" dataDxfId="100" dataCellStyle="Nota"/>
    <tableColumn id="4" xr3:uid="{BBE72E61-7CF7-43BB-A067-D37738B9B85B}" name="PLACA" dataDxfId="99" dataCellStyle="Nota"/>
    <tableColumn id="5" xr3:uid="{FF596794-6D3F-4DBB-B66B-8173893776CC}" name="SAIDA CD" dataDxfId="98" dataCellStyle="Nota"/>
    <tableColumn id="6" xr3:uid="{DAB0F28D-FABD-42F2-BD8E-906ADEB81E08}" name="CHD LOJA 1" dataDxfId="97" dataCellStyle="Nota"/>
    <tableColumn id="7" xr3:uid="{1C5956C0-66AC-4227-933E-0133936FD5E1}" name="SAIDA LOJA 1" dataDxfId="96" dataCellStyle="Nota"/>
    <tableColumn id="8" xr3:uid="{04705E99-250D-4DEC-8FA0-66F2B6D2AEC7}" name="CHD LOJA 2" dataDxfId="95" dataCellStyle="Nota"/>
    <tableColumn id="9" xr3:uid="{1333CABD-C840-42B4-8454-4BAE1D3832D5}" name="SAIDA LOJA 2" dataDxfId="94" dataCellStyle="Nota"/>
    <tableColumn id="10" xr3:uid="{08827E15-5AD8-4BA1-8743-E56D01299D2E}" name="TEMPOI EM LOJA" dataDxfId="93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D23AC8-5020-4352-B814-FD9CAC2A48BC}" name="Tabela312" displayName="Tabela312" ref="A2:J18" totalsRowShown="0" headerRowDxfId="92" dataDxfId="91" tableBorderDxfId="90" headerRowCellStyle="Normal 2 2" dataCellStyle="Nota">
  <tableColumns count="10">
    <tableColumn id="1" xr3:uid="{A9A367A8-CA11-4390-8971-C7CAE5DD79EB}" name="REDES / FILIAIS" dataDxfId="89" dataCellStyle="Nota"/>
    <tableColumn id="2" xr3:uid="{7067A292-C938-40D3-B251-23C6DDF305E5}" name="MOTORISTA" dataDxfId="88" dataCellStyle="Nota"/>
    <tableColumn id="3" xr3:uid="{55775117-8509-4E94-A04D-C3531E1EA188}" name="COD" dataDxfId="87" dataCellStyle="Nota"/>
    <tableColumn id="4" xr3:uid="{2824A743-6DF9-4F0F-8D34-B9D281C4AEFF}" name="PLACA" dataDxfId="86" dataCellStyle="Nota"/>
    <tableColumn id="5" xr3:uid="{C3C42A2F-840F-4A38-80E4-82ADDCF45D5D}" name="SAIDA CD" dataDxfId="85" dataCellStyle="Nota"/>
    <tableColumn id="6" xr3:uid="{6627F2CC-F79C-4B39-9759-0027DCD6B20A}" name="CHD LOJA 1" dataDxfId="84" dataCellStyle="Nota"/>
    <tableColumn id="7" xr3:uid="{036E6266-963A-4621-BAA2-D0CCB21972CB}" name="SAIDA LOJA 1" dataDxfId="83" dataCellStyle="Nota"/>
    <tableColumn id="8" xr3:uid="{4E1D5755-6D65-45AD-A3D0-F12674926FE3}" name="CHD LOJA 2" dataDxfId="82" dataCellStyle="Nota"/>
    <tableColumn id="9" xr3:uid="{F72C98E0-725C-41FE-92BE-27646912DCA2}" name="SAIDA LOJA 2" dataDxfId="81" dataCellStyle="Nota"/>
    <tableColumn id="10" xr3:uid="{404F5B5D-0412-4266-8B97-952EED05D177}" name="TEMPOI EM LOJA" dataDxfId="80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DBE769-FB06-4544-8A7E-A1874F509EFE}" name="Tabela313" displayName="Tabela313" ref="A2:J18" totalsRowShown="0" headerRowDxfId="79" dataDxfId="78" tableBorderDxfId="77" headerRowCellStyle="Normal 2 2" dataCellStyle="Nota">
  <tableColumns count="10">
    <tableColumn id="1" xr3:uid="{A585B86D-BF34-42E8-97C0-09385E6EB2D4}" name="REDES / FILIAIS" dataDxfId="76" dataCellStyle="Nota"/>
    <tableColumn id="2" xr3:uid="{49A81411-0182-4B34-AB0B-B7D6945CEB72}" name="MOTORISTA" dataDxfId="75" dataCellStyle="Nota"/>
    <tableColumn id="3" xr3:uid="{3D5B9E81-C1E6-438A-A68B-BBC699F29470}" name="COD" dataDxfId="74" dataCellStyle="Nota"/>
    <tableColumn id="4" xr3:uid="{BDD9D405-AF39-48E5-85D5-4ED302B5DF6C}" name="PLACA" dataDxfId="73" dataCellStyle="Nota"/>
    <tableColumn id="5" xr3:uid="{94069F16-167A-40E2-9698-DFBFEF1968F6}" name="SAIDA CD" dataDxfId="72" dataCellStyle="Nota"/>
    <tableColumn id="6" xr3:uid="{0E9C4155-A8DC-49DB-83F6-A52B3A3DEDE8}" name="CHD LOJA 1" dataDxfId="71" dataCellStyle="Nota"/>
    <tableColumn id="7" xr3:uid="{CF524F72-7F6E-4AFA-93FE-1A00DB6A97D8}" name="SAIDA LOJA 1" dataDxfId="70" dataCellStyle="Nota"/>
    <tableColumn id="8" xr3:uid="{3F5F223C-F6BC-402F-8875-155EE1C1775B}" name="CHD LOJA 2" dataDxfId="69" dataCellStyle="Nota"/>
    <tableColumn id="9" xr3:uid="{A95EADB1-C992-433D-AEDA-86F800219D11}" name="SAIDA LOJA 2" dataDxfId="68" dataCellStyle="Nota"/>
    <tableColumn id="10" xr3:uid="{96A29E49-77A3-4758-930F-FD9339D59791}" name="TEMPOI EM LOJA" dataDxfId="67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BD722DE-C9FB-44C3-89D3-949CD6DF7C9D}" name="Tabela314" displayName="Tabela314" ref="A2:J18" totalsRowShown="0" headerRowDxfId="66" dataDxfId="65" tableBorderDxfId="64" headerRowCellStyle="Normal 2 2" dataCellStyle="Nota">
  <tableColumns count="10">
    <tableColumn id="1" xr3:uid="{00729971-DFFD-4FD0-8267-D680E7BA2BCA}" name="REDES / FILIAIS" dataDxfId="63" dataCellStyle="Nota"/>
    <tableColumn id="2" xr3:uid="{54AB007E-4052-495F-9FE4-8E6071DE7F07}" name="MOTORISTA" dataDxfId="62" dataCellStyle="Nota"/>
    <tableColumn id="3" xr3:uid="{62A91B9A-38DC-42FE-922C-3C41E498793D}" name="COD" dataDxfId="61" dataCellStyle="Nota"/>
    <tableColumn id="4" xr3:uid="{262EA89C-8E1D-487A-9897-D974E7EB9BBC}" name="PLACA" dataDxfId="60" dataCellStyle="Nota"/>
    <tableColumn id="5" xr3:uid="{76EA7093-6E05-40B6-971B-8E8D2585E4CB}" name="SAIDA CD" dataDxfId="59" dataCellStyle="Nota"/>
    <tableColumn id="6" xr3:uid="{15664DBB-579C-4F4D-B1B9-E699AB714972}" name="CHD LOJA 1" dataDxfId="58" dataCellStyle="Nota"/>
    <tableColumn id="7" xr3:uid="{7749EFD5-74CB-4623-9312-F342C8A65D28}" name="SAIDA LOJA 1" dataDxfId="57" dataCellStyle="Nota"/>
    <tableColumn id="8" xr3:uid="{DB2BA14B-AC06-4017-8A1A-13A8C4350ACF}" name="CHD LOJA 2" dataDxfId="56" dataCellStyle="Nota"/>
    <tableColumn id="9" xr3:uid="{0197F226-2CEB-4B4F-9A39-07ABE205795F}" name="SAIDA LOJA 2" dataDxfId="55" dataCellStyle="Nota"/>
    <tableColumn id="10" xr3:uid="{51851794-87A1-4917-9C33-CA807A992AF1}" name="TEMPOI EM LOJA" dataDxfId="54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764977A-B78A-407B-A119-D0DC49C7A566}" name="Tabela315" displayName="Tabela315" ref="A2:J18" totalsRowShown="0" headerRowDxfId="53" dataDxfId="52" tableBorderDxfId="51" headerRowCellStyle="Normal 2 2" dataCellStyle="Nota">
  <tableColumns count="10">
    <tableColumn id="1" xr3:uid="{679179C6-E685-4913-AE86-31C5BA536E5C}" name="REDES / FILIAIS" dataDxfId="50" dataCellStyle="Nota"/>
    <tableColumn id="2" xr3:uid="{5B71AE2D-D40B-4EFF-ABFB-05B2FC534D75}" name="MOTORISTA" dataDxfId="49" dataCellStyle="Nota"/>
    <tableColumn id="3" xr3:uid="{EBAD397A-2DCD-4726-ABAB-6861C312255E}" name="COD" dataDxfId="48" dataCellStyle="Nota"/>
    <tableColumn id="4" xr3:uid="{4ADCA184-C7CC-47EF-9515-09B727DD638D}" name="PLACA" dataDxfId="47" dataCellStyle="Nota"/>
    <tableColumn id="5" xr3:uid="{E4D36B60-331D-4976-883A-6FA09FEBF64E}" name="SAIDA CD" dataDxfId="46" dataCellStyle="Nota"/>
    <tableColumn id="6" xr3:uid="{4E6D14D1-DD5F-41D6-8C1F-D42F6176E7E5}" name="CHD LOJA 1" dataDxfId="45" dataCellStyle="Nota"/>
    <tableColumn id="7" xr3:uid="{3DF0A62B-3281-458A-B2A1-99D38D7C4246}" name="SAIDA LOJA 1" dataDxfId="44" dataCellStyle="Nota"/>
    <tableColumn id="8" xr3:uid="{21F0F915-ACF6-4D2E-ABFE-D427CE4C9743}" name="CHD LOJA 2" dataDxfId="43" dataCellStyle="Nota"/>
    <tableColumn id="9" xr3:uid="{7DB5D7BF-33CB-4190-9504-B4CC6B2D552A}" name="SAIDA LOJA 2" dataDxfId="42" dataCellStyle="Nota"/>
    <tableColumn id="10" xr3:uid="{5930EE94-02FE-4B44-9356-3B1F10EE0397}" name="TEMPOI EM LOJA" dataDxfId="41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2004FC8-FAE4-40E5-B118-439C63783BE4}" name="Tabela316" displayName="Tabela316" ref="A2:J18" totalsRowShown="0" headerRowDxfId="222" dataDxfId="221" tableBorderDxfId="220" headerRowCellStyle="Normal 2 2" dataCellStyle="Nota">
  <tableColumns count="10">
    <tableColumn id="1" xr3:uid="{415A4F9C-27EB-4FE1-AECC-1C6CD9FB6B98}" name="REDES / FILIAIS" dataDxfId="219" dataCellStyle="Nota"/>
    <tableColumn id="2" xr3:uid="{8D0DCD72-67D4-4422-AF17-132349849297}" name="MOTORISTA" dataDxfId="218" dataCellStyle="Nota"/>
    <tableColumn id="3" xr3:uid="{B5B34FF2-4E52-49CC-A37D-C58A79F886AF}" name="COD" dataDxfId="217" dataCellStyle="Nota"/>
    <tableColumn id="4" xr3:uid="{29B96BC6-5D61-4FF8-8976-9E2B8FFEC78A}" name="PLACA" dataDxfId="216" dataCellStyle="Nota"/>
    <tableColumn id="5" xr3:uid="{C6A1CE33-C908-4A3C-AE75-C6C413484FFF}" name="SAIDA CD" dataDxfId="215" dataCellStyle="Nota"/>
    <tableColumn id="6" xr3:uid="{65E14770-02B8-4933-A942-FE86D4AE3874}" name="CHD LOJA 1" dataDxfId="214" dataCellStyle="Nota"/>
    <tableColumn id="7" xr3:uid="{49610198-7A87-4122-9E9B-7E6B85D04D98}" name="SAIDA LOJA 1" dataDxfId="213" dataCellStyle="Nota"/>
    <tableColumn id="8" xr3:uid="{3E3C944E-4166-4E19-9913-09B031847A9E}" name="CHD LOJA 2" dataDxfId="212" dataCellStyle="Nota"/>
    <tableColumn id="9" xr3:uid="{9CD5FF40-9466-4802-A8E2-DAFFE6CA5064}" name="SAIDA LOJA 2" dataDxfId="211" dataCellStyle="Nota"/>
    <tableColumn id="10" xr3:uid="{663C03D3-D7D5-41D3-ACF1-AB88A6A112CF}" name="TEMPOI EM LOJA" dataDxfId="210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F52A9B8-5AE3-4FA5-9FC2-8E672F253B4E}" name="Tabela317" displayName="Tabela317" ref="A2:J18" totalsRowShown="0" headerRowDxfId="12" dataDxfId="11" tableBorderDxfId="10" headerRowCellStyle="Normal 2 2" dataCellStyle="Nota">
  <tableColumns count="10">
    <tableColumn id="1" xr3:uid="{E1412A51-28A4-4C5E-A5A3-0B326D1755D9}" name="REDES / FILIAIS" dataDxfId="9" dataCellStyle="Nota"/>
    <tableColumn id="2" xr3:uid="{7C7F78A1-4BBD-43AD-A6A1-1E3F6D8261DD}" name="MOTORISTA" dataDxfId="8" dataCellStyle="Nota"/>
    <tableColumn id="3" xr3:uid="{A9E4806B-958E-4B4E-B604-80BC00235985}" name="COD" dataDxfId="7" dataCellStyle="Nota"/>
    <tableColumn id="4" xr3:uid="{DCCE8FC8-1654-45A6-8E88-F3BE0EB2E367}" name="PLACA" dataDxfId="6" dataCellStyle="Nota"/>
    <tableColumn id="5" xr3:uid="{B24E2016-FC75-402B-8EFF-BAA55A61A313}" name="SAIDA CD" dataDxfId="5" dataCellStyle="Nota"/>
    <tableColumn id="6" xr3:uid="{4E773BA3-E57D-42BC-8F47-6FE38F5A63D7}" name="CHD LOJA 1" dataDxfId="4" dataCellStyle="Nota"/>
    <tableColumn id="7" xr3:uid="{8A904811-827A-41DC-B97D-D501BAE32D65}" name="SAIDA LOJA 1" dataDxfId="3" dataCellStyle="Nota"/>
    <tableColumn id="8" xr3:uid="{8A078F59-4E17-46F7-AD5C-29D920DD476A}" name="CHD LOJA 2" dataDxfId="2" dataCellStyle="Nota"/>
    <tableColumn id="9" xr3:uid="{F6AD0DE0-6D05-4063-8B9A-EC387CBFFC19}" name="SAIDA LOJA 2" dataDxfId="1" dataCellStyle="Nota"/>
    <tableColumn id="10" xr3:uid="{29D7A087-C4CD-4EC7-AD3A-CCEECCF91CC4}" name="TEMPOI EM LOJA" dataDxfId="0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43AC5C-2874-43AA-8AE3-A337FC3672CF}" name="Tabela3" displayName="Tabela3" ref="A2:J18" totalsRowShown="0" headerRowDxfId="40" dataDxfId="39" tableBorderDxfId="38" headerRowCellStyle="Normal 2 2" dataCellStyle="Nota">
  <tableColumns count="10">
    <tableColumn id="1" xr3:uid="{1FD96921-1F8D-4DE3-9C15-1A02940CE43C}" name="REDES / FILIAIS" dataDxfId="37" dataCellStyle="Nota"/>
    <tableColumn id="2" xr3:uid="{14FF3731-8FCB-4E9C-B412-EA7221C8659C}" name="MOTORISTA" dataDxfId="36" dataCellStyle="Nota"/>
    <tableColumn id="3" xr3:uid="{2F5CC341-4CE1-4A22-B69A-E3B53692B690}" name="COD" dataDxfId="35" dataCellStyle="Nota"/>
    <tableColumn id="4" xr3:uid="{8A89A41A-2198-4F01-9D93-38B6E0142434}" name="PLACA" dataDxfId="34" dataCellStyle="Nota"/>
    <tableColumn id="5" xr3:uid="{3AD69126-F6F2-4972-A1A3-DA1CE7573A95}" name="SAIDA CD" dataDxfId="33" dataCellStyle="Nota"/>
    <tableColumn id="6" xr3:uid="{6BA311E0-76F4-4E04-8F55-DC98DAE78865}" name="CHD LOJA 1" dataDxfId="32" dataCellStyle="Nota"/>
    <tableColumn id="7" xr3:uid="{D5EDB654-F18D-4DF9-8918-074E7ABF42FE}" name="SAIDA LOJA 1" dataDxfId="31" dataCellStyle="Nota"/>
    <tableColumn id="8" xr3:uid="{46A81115-0DDE-44D7-AA34-6D871A380A16}" name="CHD LOJA 2" dataDxfId="30" dataCellStyle="Nota"/>
    <tableColumn id="9" xr3:uid="{24F959DA-06DA-4B25-B705-783B12B95718}" name="SAIDA LOJA 2" dataDxfId="29" dataCellStyle="Nota"/>
    <tableColumn id="10" xr3:uid="{E5BAD458-7BA8-4809-9B02-0D46FAD2351D}" name="TEMPOI EM LOJA" dataDxfId="28" dataCellStyle="Nota">
      <calculatedColumnFormula>MOD(F3-E3, 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85D6-C608-4D55-A015-9275210271F1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C22" sqref="C22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21.7109375" style="5" bestFit="1" customWidth="1"/>
    <col min="7" max="7" width="24.140625" style="3" bestFit="1" customWidth="1"/>
    <col min="8" max="8" width="21.7109375" style="1" bestFit="1" customWidth="1"/>
    <col min="9" max="9" width="24.140625" style="1" bestFit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143</v>
      </c>
      <c r="C4" s="30" t="s">
        <v>139</v>
      </c>
      <c r="D4" s="30" t="s">
        <v>148</v>
      </c>
      <c r="E4" s="32">
        <v>0.59722222222222221</v>
      </c>
      <c r="F4" s="32">
        <v>0.65277777777777779</v>
      </c>
      <c r="G4" s="32">
        <v>0.67013888888888884</v>
      </c>
      <c r="H4" s="32"/>
      <c r="I4" s="32"/>
      <c r="J4" s="32">
        <f t="shared" ref="J4:J17" si="0">MOD(F4-E4, 1)</f>
        <v>5.555555555555558E-2</v>
      </c>
    </row>
    <row r="5" spans="1:13" x14ac:dyDescent="0.35">
      <c r="A5" s="28" t="s">
        <v>8</v>
      </c>
      <c r="B5" s="30" t="s">
        <v>143</v>
      </c>
      <c r="C5" s="30" t="s">
        <v>139</v>
      </c>
      <c r="D5" s="30" t="s">
        <v>148</v>
      </c>
      <c r="E5" s="32">
        <v>0.59722222222222221</v>
      </c>
      <c r="F5" s="32">
        <v>0.67708333333333337</v>
      </c>
      <c r="G5" s="32">
        <v>0.69444444444444442</v>
      </c>
      <c r="H5" s="32"/>
      <c r="I5" s="32"/>
      <c r="J5" s="32">
        <f t="shared" si="0"/>
        <v>7.986111111111116E-2</v>
      </c>
    </row>
    <row r="6" spans="1:13" s="4" customFormat="1" x14ac:dyDescent="0.35">
      <c r="A6" s="28" t="s">
        <v>9</v>
      </c>
      <c r="B6" s="30" t="s">
        <v>140</v>
      </c>
      <c r="C6" s="30" t="s">
        <v>141</v>
      </c>
      <c r="D6" s="30" t="s">
        <v>142</v>
      </c>
      <c r="E6" s="32">
        <v>0.62152777777777779</v>
      </c>
      <c r="F6" s="32">
        <v>0.67013888888888884</v>
      </c>
      <c r="G6" s="32">
        <v>0.68402777777777779</v>
      </c>
      <c r="H6" s="32"/>
      <c r="I6" s="32"/>
      <c r="J6" s="32">
        <f t="shared" si="0"/>
        <v>4.8611111111111049E-2</v>
      </c>
      <c r="K6" s="1"/>
    </row>
    <row r="7" spans="1:13" s="4" customFormat="1" x14ac:dyDescent="0.35">
      <c r="A7" s="28" t="s">
        <v>10</v>
      </c>
      <c r="B7" s="30" t="s">
        <v>140</v>
      </c>
      <c r="C7" s="30" t="s">
        <v>141</v>
      </c>
      <c r="D7" s="30" t="s">
        <v>142</v>
      </c>
      <c r="E7" s="32">
        <v>0.62152777777777779</v>
      </c>
      <c r="F7" s="32">
        <v>0.70833333333333337</v>
      </c>
      <c r="G7" s="32">
        <v>0.72222222222222221</v>
      </c>
      <c r="H7" s="32"/>
      <c r="I7" s="32"/>
      <c r="J7" s="32">
        <f t="shared" si="0"/>
        <v>8.680555555555558E-2</v>
      </c>
      <c r="K7" s="1"/>
    </row>
    <row r="8" spans="1:13" x14ac:dyDescent="0.35">
      <c r="A8" s="28" t="s">
        <v>11</v>
      </c>
      <c r="B8" s="30" t="s">
        <v>147</v>
      </c>
      <c r="C8" s="30" t="s">
        <v>139</v>
      </c>
      <c r="D8" s="30" t="s">
        <v>144</v>
      </c>
      <c r="E8" s="32">
        <v>0.60763888888888884</v>
      </c>
      <c r="F8" s="32">
        <v>0.67708333333333337</v>
      </c>
      <c r="G8" s="32">
        <v>0.71180555555555558</v>
      </c>
      <c r="H8" s="32"/>
      <c r="I8" s="32"/>
      <c r="J8" s="32">
        <f t="shared" si="0"/>
        <v>6.9444444444444531E-2</v>
      </c>
    </row>
    <row r="9" spans="1:13" x14ac:dyDescent="0.35">
      <c r="A9" s="28" t="s">
        <v>12</v>
      </c>
      <c r="B9" s="30" t="s">
        <v>147</v>
      </c>
      <c r="C9" s="30" t="s">
        <v>139</v>
      </c>
      <c r="D9" s="30" t="s">
        <v>144</v>
      </c>
      <c r="E9" s="32">
        <v>0.60763888888888884</v>
      </c>
      <c r="F9" s="32">
        <v>0.66319444444444442</v>
      </c>
      <c r="G9" s="32">
        <v>0.67013888888888884</v>
      </c>
      <c r="H9" s="32"/>
      <c r="I9" s="32"/>
      <c r="J9" s="32">
        <f t="shared" si="0"/>
        <v>5.555555555555558E-2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146</v>
      </c>
      <c r="E10" s="32">
        <v>0.62152777777777779</v>
      </c>
      <c r="F10" s="32">
        <v>0.67708333333333337</v>
      </c>
      <c r="G10" s="32">
        <v>0.70486111111111116</v>
      </c>
      <c r="H10" s="32"/>
      <c r="I10" s="32"/>
      <c r="J10" s="32">
        <f t="shared" si="0"/>
        <v>5.555555555555558E-2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146</v>
      </c>
      <c r="E11" s="32">
        <v>0.62152777777777779</v>
      </c>
      <c r="F11" s="32">
        <v>0.70833333333333337</v>
      </c>
      <c r="G11" s="32">
        <v>0.72222222222222221</v>
      </c>
      <c r="H11" s="32"/>
      <c r="I11" s="32"/>
      <c r="J11" s="32">
        <f t="shared" si="0"/>
        <v>8.680555555555558E-2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146</v>
      </c>
      <c r="E12" s="32">
        <v>0.62152777777777779</v>
      </c>
      <c r="F12" s="32">
        <v>0.73611111111111116</v>
      </c>
      <c r="G12" s="32">
        <v>0.77083333333333337</v>
      </c>
      <c r="H12" s="32"/>
      <c r="I12" s="32"/>
      <c r="J12" s="32">
        <f t="shared" si="0"/>
        <v>0.11458333333333337</v>
      </c>
      <c r="K12" s="9"/>
      <c r="L12" s="8"/>
      <c r="M12" s="8"/>
    </row>
    <row r="13" spans="1:13" x14ac:dyDescent="0.35">
      <c r="A13" s="28" t="s">
        <v>16</v>
      </c>
      <c r="B13" s="30" t="s">
        <v>138</v>
      </c>
      <c r="C13" s="30" t="s">
        <v>139</v>
      </c>
      <c r="D13" s="30" t="s">
        <v>152</v>
      </c>
      <c r="E13" s="32">
        <v>0.60763888888888884</v>
      </c>
      <c r="F13" s="32">
        <v>0.65972222222222221</v>
      </c>
      <c r="G13" s="32">
        <v>0.67708333333333337</v>
      </c>
      <c r="H13" s="32"/>
      <c r="I13" s="32"/>
      <c r="J13" s="32">
        <f t="shared" si="0"/>
        <v>5.208333333333337E-2</v>
      </c>
      <c r="K13" s="9"/>
      <c r="L13" s="8"/>
      <c r="M13" s="8"/>
    </row>
    <row r="14" spans="1:13" x14ac:dyDescent="0.35">
      <c r="A14" s="28" t="s">
        <v>130</v>
      </c>
      <c r="B14" s="30" t="s">
        <v>138</v>
      </c>
      <c r="C14" s="30" t="s">
        <v>139</v>
      </c>
      <c r="D14" s="30" t="s">
        <v>152</v>
      </c>
      <c r="E14" s="32">
        <v>0.60763888888888884</v>
      </c>
      <c r="F14" s="32">
        <v>0.70833333333333337</v>
      </c>
      <c r="G14" s="32">
        <v>0.73263888888888884</v>
      </c>
      <c r="H14" s="32"/>
      <c r="I14" s="32"/>
      <c r="J14" s="32">
        <f t="shared" si="0"/>
        <v>0.10069444444444453</v>
      </c>
      <c r="K14" s="9"/>
    </row>
    <row r="15" spans="1:13" x14ac:dyDescent="0.35">
      <c r="A15" s="28" t="s">
        <v>131</v>
      </c>
      <c r="B15" s="30" t="s">
        <v>138</v>
      </c>
      <c r="C15" s="30" t="s">
        <v>139</v>
      </c>
      <c r="D15" s="30" t="s">
        <v>152</v>
      </c>
      <c r="E15" s="32">
        <v>0.60763888888888884</v>
      </c>
      <c r="F15" s="32">
        <v>0.69791666666666663</v>
      </c>
      <c r="G15" s="32">
        <v>0.70486111111111116</v>
      </c>
      <c r="H15" s="32"/>
      <c r="I15" s="32"/>
      <c r="J15" s="32">
        <f t="shared" si="0"/>
        <v>9.027777777777779E-2</v>
      </c>
    </row>
    <row r="16" spans="1:13" x14ac:dyDescent="0.35">
      <c r="A16" s="28" t="s">
        <v>134</v>
      </c>
      <c r="B16" s="30" t="s">
        <v>138</v>
      </c>
      <c r="C16" s="30" t="s">
        <v>139</v>
      </c>
      <c r="D16" s="30" t="s">
        <v>152</v>
      </c>
      <c r="E16" s="32">
        <v>0.60763888888888884</v>
      </c>
      <c r="F16" s="32">
        <v>0.6875</v>
      </c>
      <c r="G16" s="32">
        <v>0.69444444444444442</v>
      </c>
      <c r="H16" s="32"/>
      <c r="I16" s="32"/>
      <c r="J16" s="32">
        <f t="shared" si="0"/>
        <v>7.986111111111116E-2</v>
      </c>
    </row>
    <row r="17" spans="1:14" x14ac:dyDescent="0.35">
      <c r="A17" s="28" t="s">
        <v>132</v>
      </c>
      <c r="B17" s="30" t="s">
        <v>149</v>
      </c>
      <c r="C17" s="30" t="s">
        <v>150</v>
      </c>
      <c r="D17" s="30" t="s">
        <v>151</v>
      </c>
      <c r="E17" s="32">
        <v>0.60069444444444442</v>
      </c>
      <c r="F17" s="32">
        <v>0.63194444444444442</v>
      </c>
      <c r="G17" s="32">
        <v>0.66666666666666663</v>
      </c>
      <c r="H17" s="32"/>
      <c r="I17" s="32"/>
      <c r="J17" s="32">
        <f t="shared" si="0"/>
        <v>3.125E-2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printOptions horizontalCentered="1" verticalCentered="1"/>
  <pageMargins left="0.7" right="0.7" top="0.75" bottom="0.75" header="0.3" footer="0.3"/>
  <pageSetup paperSize="9" scale="20" fitToHeight="0" orientation="landscape" r:id="rId1"/>
  <ignoredErrors>
    <ignoredError sqref="C4:C17" numberStoredAsText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FDD5-D0B2-466E-BA52-8D54E990E6A5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A18" sqref="A18"/>
    </sheetView>
  </sheetViews>
  <sheetFormatPr defaultColWidth="9" defaultRowHeight="23.25" x14ac:dyDescent="0.35"/>
  <cols>
    <col min="1" max="1" width="49.85546875" style="10" bestFit="1" customWidth="1"/>
    <col min="2" max="2" width="19" style="7" bestFit="1" customWidth="1"/>
    <col min="3" max="3" width="7.85546875" style="7" bestFit="1" customWidth="1"/>
    <col min="4" max="4" width="12.28515625" style="6" bestFit="1" customWidth="1"/>
    <col min="5" max="5" width="19" style="5" bestFit="1" customWidth="1"/>
    <col min="6" max="6" width="21.7109375" style="5" bestFit="1" customWidth="1"/>
    <col min="7" max="7" width="24.140625" style="3" bestFit="1" customWidth="1"/>
    <col min="8" max="8" width="21.7109375" style="1" hidden="1" customWidth="1"/>
    <col min="9" max="9" width="24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154</v>
      </c>
      <c r="C4" s="30" t="s">
        <v>139</v>
      </c>
      <c r="D4" s="30" t="s">
        <v>155</v>
      </c>
      <c r="E4" s="32">
        <v>0.5625</v>
      </c>
      <c r="F4" s="32">
        <v>0.60416666666666663</v>
      </c>
      <c r="G4" s="32">
        <v>0.61805555555555558</v>
      </c>
      <c r="H4" s="32"/>
      <c r="I4" s="32"/>
      <c r="J4" s="32">
        <f t="shared" ref="J4:J16" si="0">MOD(F4-E4, 1)</f>
        <v>4.166666666666663E-2</v>
      </c>
    </row>
    <row r="5" spans="1:13" x14ac:dyDescent="0.35">
      <c r="A5" s="28" t="s">
        <v>8</v>
      </c>
      <c r="B5" s="30" t="s">
        <v>154</v>
      </c>
      <c r="C5" s="30" t="s">
        <v>139</v>
      </c>
      <c r="D5" s="30" t="s">
        <v>155</v>
      </c>
      <c r="E5" s="32">
        <v>0.5625</v>
      </c>
      <c r="F5" s="32">
        <v>0.65972222222222221</v>
      </c>
      <c r="G5" s="32">
        <v>0.68055555555555558</v>
      </c>
      <c r="H5" s="32"/>
      <c r="I5" s="32"/>
      <c r="J5" s="32">
        <f t="shared" si="0"/>
        <v>9.722222222222221E-2</v>
      </c>
    </row>
    <row r="6" spans="1:13" s="4" customFormat="1" x14ac:dyDescent="0.35">
      <c r="A6" s="28" t="s">
        <v>9</v>
      </c>
      <c r="B6" s="30" t="s">
        <v>140</v>
      </c>
      <c r="C6" s="30" t="s">
        <v>139</v>
      </c>
      <c r="D6" s="30" t="s">
        <v>156</v>
      </c>
      <c r="E6" s="32">
        <v>0.60416666666666663</v>
      </c>
      <c r="F6" s="32">
        <v>0.67708333333333337</v>
      </c>
      <c r="G6" s="32">
        <v>0.69791666666666663</v>
      </c>
      <c r="H6" s="32"/>
      <c r="I6" s="32"/>
      <c r="J6" s="32">
        <f t="shared" si="0"/>
        <v>7.2916666666666741E-2</v>
      </c>
      <c r="K6" s="1"/>
    </row>
    <row r="7" spans="1:13" s="4" customFormat="1" x14ac:dyDescent="0.35">
      <c r="A7" s="28" t="s">
        <v>10</v>
      </c>
      <c r="B7" s="30" t="s">
        <v>140</v>
      </c>
      <c r="C7" s="30" t="s">
        <v>139</v>
      </c>
      <c r="D7" s="30" t="s">
        <v>156</v>
      </c>
      <c r="E7" s="32">
        <v>0.60416666666666663</v>
      </c>
      <c r="F7" s="32">
        <v>0.72222222222222221</v>
      </c>
      <c r="G7" s="32">
        <v>0.73611111111111116</v>
      </c>
      <c r="H7" s="32"/>
      <c r="I7" s="32"/>
      <c r="J7" s="32">
        <f t="shared" si="0"/>
        <v>0.11805555555555558</v>
      </c>
      <c r="K7" s="1"/>
    </row>
    <row r="8" spans="1:13" x14ac:dyDescent="0.35">
      <c r="A8" s="28" t="s">
        <v>11</v>
      </c>
      <c r="B8" s="30" t="s">
        <v>147</v>
      </c>
      <c r="C8" s="30" t="s">
        <v>139</v>
      </c>
      <c r="D8" s="30" t="s">
        <v>144</v>
      </c>
      <c r="E8" s="32">
        <v>0.57986111111111116</v>
      </c>
      <c r="F8" s="32">
        <v>0.65625</v>
      </c>
      <c r="G8" s="32">
        <v>0.66666666666666663</v>
      </c>
      <c r="H8" s="32"/>
      <c r="I8" s="32"/>
      <c r="J8" s="32">
        <f t="shared" si="0"/>
        <v>7.638888888888884E-2</v>
      </c>
    </row>
    <row r="9" spans="1:13" x14ac:dyDescent="0.35">
      <c r="A9" s="28" t="s">
        <v>12</v>
      </c>
      <c r="B9" s="30" t="s">
        <v>147</v>
      </c>
      <c r="C9" s="30" t="s">
        <v>139</v>
      </c>
      <c r="D9" s="30" t="s">
        <v>144</v>
      </c>
      <c r="E9" s="32">
        <v>0.57986111111111116</v>
      </c>
      <c r="F9" s="32">
        <v>0.67013888888888884</v>
      </c>
      <c r="G9" s="32">
        <v>0.72222222222222221</v>
      </c>
      <c r="H9" s="32"/>
      <c r="I9" s="32"/>
      <c r="J9" s="32">
        <f t="shared" si="0"/>
        <v>9.0277777777777679E-2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157</v>
      </c>
      <c r="E10" s="32">
        <v>0.57986111111111116</v>
      </c>
      <c r="F10" s="32">
        <v>0.67013888888888884</v>
      </c>
      <c r="G10" s="32">
        <v>0.69097222222222221</v>
      </c>
      <c r="H10" s="32"/>
      <c r="I10" s="32"/>
      <c r="J10" s="32">
        <f t="shared" si="0"/>
        <v>9.0277777777777679E-2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157</v>
      </c>
      <c r="E11" s="32">
        <v>0.57986111111111116</v>
      </c>
      <c r="F11" s="32">
        <v>0.65277777777777779</v>
      </c>
      <c r="G11" s="32">
        <v>0.66319444444444442</v>
      </c>
      <c r="H11" s="32"/>
      <c r="I11" s="32"/>
      <c r="J11" s="32">
        <f t="shared" si="0"/>
        <v>7.291666666666663E-2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157</v>
      </c>
      <c r="E12" s="32">
        <v>0.57986111111111116</v>
      </c>
      <c r="F12" s="32">
        <v>0.70486111111111116</v>
      </c>
      <c r="G12" s="32">
        <v>0.72916666666666663</v>
      </c>
      <c r="H12" s="32"/>
      <c r="I12" s="32"/>
      <c r="J12" s="32">
        <f t="shared" si="0"/>
        <v>0.125</v>
      </c>
      <c r="K12" s="9"/>
      <c r="L12" s="8"/>
      <c r="M12" s="8"/>
    </row>
    <row r="13" spans="1:13" x14ac:dyDescent="0.35">
      <c r="A13" s="28" t="s">
        <v>16</v>
      </c>
      <c r="B13" s="30" t="s">
        <v>138</v>
      </c>
      <c r="C13" s="30" t="s">
        <v>139</v>
      </c>
      <c r="D13" s="30" t="s">
        <v>153</v>
      </c>
      <c r="E13" s="32">
        <v>0.59375</v>
      </c>
      <c r="F13" s="32">
        <v>0.67361111111111116</v>
      </c>
      <c r="G13" s="32">
        <v>0.68055555555555558</v>
      </c>
      <c r="H13" s="32"/>
      <c r="I13" s="32"/>
      <c r="J13" s="32">
        <f t="shared" si="0"/>
        <v>7.986111111111116E-2</v>
      </c>
      <c r="K13" s="9"/>
      <c r="L13" s="8"/>
      <c r="M13" s="8"/>
    </row>
    <row r="14" spans="1:13" x14ac:dyDescent="0.35">
      <c r="A14" s="28" t="s">
        <v>130</v>
      </c>
      <c r="B14" s="30" t="s">
        <v>138</v>
      </c>
      <c r="C14" s="30" t="s">
        <v>139</v>
      </c>
      <c r="D14" s="30" t="s">
        <v>153</v>
      </c>
      <c r="E14" s="32">
        <v>0.59375</v>
      </c>
      <c r="F14" s="32">
        <v>0.70138888888888884</v>
      </c>
      <c r="G14" s="32">
        <v>0.71527777777777779</v>
      </c>
      <c r="H14" s="32"/>
      <c r="I14" s="32"/>
      <c r="J14" s="32">
        <f t="shared" si="0"/>
        <v>0.10763888888888884</v>
      </c>
      <c r="K14" s="9"/>
    </row>
    <row r="15" spans="1:13" x14ac:dyDescent="0.35">
      <c r="A15" s="28" t="s">
        <v>131</v>
      </c>
      <c r="B15" s="30" t="s">
        <v>138</v>
      </c>
      <c r="C15" s="30" t="s">
        <v>139</v>
      </c>
      <c r="D15" s="30" t="s">
        <v>153</v>
      </c>
      <c r="E15" s="32">
        <v>0.59375</v>
      </c>
      <c r="F15" s="32">
        <v>0.68055555555555558</v>
      </c>
      <c r="G15" s="32">
        <v>0.69444444444444442</v>
      </c>
      <c r="H15" s="32"/>
      <c r="I15" s="32"/>
      <c r="J15" s="32">
        <f t="shared" si="0"/>
        <v>8.680555555555558E-2</v>
      </c>
    </row>
    <row r="16" spans="1:13" x14ac:dyDescent="0.35">
      <c r="A16" s="28" t="s">
        <v>134</v>
      </c>
      <c r="B16" s="30" t="s">
        <v>138</v>
      </c>
      <c r="C16" s="30" t="s">
        <v>139</v>
      </c>
      <c r="D16" s="30" t="s">
        <v>153</v>
      </c>
      <c r="E16" s="32">
        <v>0.59375</v>
      </c>
      <c r="F16" s="32">
        <v>0.64930555555555558</v>
      </c>
      <c r="G16" s="32">
        <v>0.66319444444444442</v>
      </c>
      <c r="H16" s="32"/>
      <c r="I16" s="32"/>
      <c r="J16" s="32">
        <f t="shared" si="0"/>
        <v>5.555555555555558E-2</v>
      </c>
    </row>
    <row r="17" spans="1:14" x14ac:dyDescent="0.35">
      <c r="A17" s="28" t="s">
        <v>132</v>
      </c>
      <c r="B17" s="30" t="s">
        <v>158</v>
      </c>
      <c r="C17" s="30" t="s">
        <v>150</v>
      </c>
      <c r="D17" s="30" t="s">
        <v>159</v>
      </c>
      <c r="E17" s="32" t="s">
        <v>160</v>
      </c>
      <c r="F17" s="32" t="s">
        <v>161</v>
      </c>
      <c r="G17" s="32" t="s">
        <v>162</v>
      </c>
      <c r="H17" s="32"/>
      <c r="I17" s="32"/>
      <c r="J17" s="32">
        <v>0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4:J18">
    <cfRule type="cellIs" dxfId="27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ignoredErrors>
    <ignoredError sqref="C4:C17" numberStoredAsText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D1FE-786B-48D1-86F2-A5F693D52337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B19" sqref="B19"/>
    </sheetView>
  </sheetViews>
  <sheetFormatPr defaultColWidth="9" defaultRowHeight="23.25" x14ac:dyDescent="0.35"/>
  <cols>
    <col min="1" max="1" width="47" style="10" bestFit="1" customWidth="1"/>
    <col min="2" max="2" width="23.85546875" style="7" bestFit="1" customWidth="1"/>
    <col min="3" max="3" width="13.5703125" style="7" bestFit="1" customWidth="1"/>
    <col min="4" max="4" width="16.7109375" style="6" bestFit="1" customWidth="1"/>
    <col min="5" max="5" width="20.140625" style="5" bestFit="1" customWidth="1"/>
    <col min="6" max="6" width="23.140625" style="5" bestFit="1" customWidth="1"/>
    <col min="7" max="7" width="25.7109375" style="3" bestFit="1" customWidth="1"/>
    <col min="8" max="8" width="23.140625" style="1" bestFit="1" customWidth="1"/>
    <col min="9" max="9" width="25.7109375" style="1" bestFit="1" customWidth="1"/>
    <col min="10" max="10" width="30.2851562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143</v>
      </c>
      <c r="C4" s="30" t="s">
        <v>163</v>
      </c>
      <c r="D4" s="30" t="s">
        <v>148</v>
      </c>
      <c r="E4" s="32">
        <v>0.65625</v>
      </c>
      <c r="F4" s="32">
        <v>0.72222222222222221</v>
      </c>
      <c r="G4" s="32">
        <v>0.73958333333333337</v>
      </c>
      <c r="H4" s="32"/>
      <c r="I4" s="32"/>
      <c r="J4" s="32">
        <f t="shared" ref="J4:J12" si="0">MOD(F4-E4, 1)</f>
        <v>6.597222222222221E-2</v>
      </c>
    </row>
    <row r="5" spans="1:13" x14ac:dyDescent="0.35">
      <c r="A5" s="28" t="s">
        <v>8</v>
      </c>
      <c r="B5" s="30" t="s">
        <v>143</v>
      </c>
      <c r="C5" s="30" t="s">
        <v>163</v>
      </c>
      <c r="D5" s="30" t="s">
        <v>148</v>
      </c>
      <c r="E5" s="32">
        <v>0.65625</v>
      </c>
      <c r="F5" s="32">
        <v>0.74652777777777779</v>
      </c>
      <c r="G5" s="32">
        <v>0.76388888888888884</v>
      </c>
      <c r="H5" s="32"/>
      <c r="I5" s="32"/>
      <c r="J5" s="32">
        <f t="shared" si="0"/>
        <v>9.027777777777779E-2</v>
      </c>
    </row>
    <row r="6" spans="1:13" s="4" customFormat="1" x14ac:dyDescent="0.35">
      <c r="A6" s="28" t="s">
        <v>9</v>
      </c>
      <c r="B6" s="30" t="s">
        <v>154</v>
      </c>
      <c r="C6" s="30" t="s">
        <v>141</v>
      </c>
      <c r="D6" s="30" t="s">
        <v>165</v>
      </c>
      <c r="E6" s="32">
        <v>0.64930555555555558</v>
      </c>
      <c r="F6" s="32">
        <v>0.73263888888888884</v>
      </c>
      <c r="G6" s="32">
        <v>0.75</v>
      </c>
      <c r="H6" s="32"/>
      <c r="I6" s="32"/>
      <c r="J6" s="32">
        <f t="shared" si="0"/>
        <v>8.3333333333333259E-2</v>
      </c>
      <c r="K6" s="1"/>
    </row>
    <row r="7" spans="1:13" s="4" customFormat="1" x14ac:dyDescent="0.35">
      <c r="A7" s="28" t="s">
        <v>10</v>
      </c>
      <c r="B7" s="30" t="s">
        <v>154</v>
      </c>
      <c r="C7" s="30" t="s">
        <v>141</v>
      </c>
      <c r="D7" s="30" t="s">
        <v>165</v>
      </c>
      <c r="E7" s="32">
        <v>0.64930555555555558</v>
      </c>
      <c r="F7" s="32">
        <v>0.77430555555555558</v>
      </c>
      <c r="G7" s="32">
        <v>0.79861111111111116</v>
      </c>
      <c r="H7" s="32"/>
      <c r="I7" s="32"/>
      <c r="J7" s="32">
        <f t="shared" si="0"/>
        <v>0.125</v>
      </c>
      <c r="K7" s="1"/>
    </row>
    <row r="8" spans="1:13" x14ac:dyDescent="0.35">
      <c r="A8" s="28" t="s">
        <v>11</v>
      </c>
      <c r="B8" s="30" t="s">
        <v>147</v>
      </c>
      <c r="C8" s="30" t="s">
        <v>139</v>
      </c>
      <c r="D8" s="30" t="s">
        <v>144</v>
      </c>
      <c r="E8" s="32">
        <v>0.61805555555555558</v>
      </c>
      <c r="F8" s="32">
        <v>0.67013888888888884</v>
      </c>
      <c r="G8" s="32">
        <v>0.68402777777777779</v>
      </c>
      <c r="H8" s="32"/>
      <c r="I8" s="32"/>
      <c r="J8" s="32">
        <f t="shared" si="0"/>
        <v>5.2083333333333259E-2</v>
      </c>
    </row>
    <row r="9" spans="1:13" x14ac:dyDescent="0.35">
      <c r="A9" s="28" t="s">
        <v>12</v>
      </c>
      <c r="B9" s="30" t="s">
        <v>147</v>
      </c>
      <c r="C9" s="30" t="s">
        <v>139</v>
      </c>
      <c r="D9" s="30" t="s">
        <v>144</v>
      </c>
      <c r="E9" s="32">
        <v>0.61805555555555558</v>
      </c>
      <c r="F9" s="32">
        <v>0.6875</v>
      </c>
      <c r="G9" s="32">
        <v>0.73263888888888884</v>
      </c>
      <c r="H9" s="32"/>
      <c r="I9" s="32"/>
      <c r="J9" s="32">
        <f t="shared" si="0"/>
        <v>6.944444444444442E-2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166</v>
      </c>
      <c r="E10" s="32">
        <v>0.58680555555555558</v>
      </c>
      <c r="F10" s="32">
        <v>0.64930555555555558</v>
      </c>
      <c r="G10" s="32">
        <v>0.66319444444444442</v>
      </c>
      <c r="H10" s="32"/>
      <c r="I10" s="32"/>
      <c r="J10" s="32">
        <f t="shared" si="0"/>
        <v>6.25E-2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166</v>
      </c>
      <c r="E11" s="32">
        <v>0.58680555555555558</v>
      </c>
      <c r="F11" s="32">
        <v>0.71875</v>
      </c>
      <c r="G11" s="32">
        <v>0.73611111111111116</v>
      </c>
      <c r="H11" s="32"/>
      <c r="I11" s="32"/>
      <c r="J11" s="32">
        <f t="shared" si="0"/>
        <v>0.13194444444444442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166</v>
      </c>
      <c r="E12" s="32">
        <v>0.58680555555555558</v>
      </c>
      <c r="F12" s="32">
        <v>0.67361111111111116</v>
      </c>
      <c r="G12" s="32">
        <v>0.70833333333333337</v>
      </c>
      <c r="H12" s="32"/>
      <c r="I12" s="32"/>
      <c r="J12" s="32">
        <f t="shared" si="0"/>
        <v>8.680555555555558E-2</v>
      </c>
      <c r="K12" s="9"/>
      <c r="L12" s="8"/>
      <c r="M12" s="8"/>
    </row>
    <row r="13" spans="1:13" x14ac:dyDescent="0.35">
      <c r="A13" s="28" t="s">
        <v>16</v>
      </c>
      <c r="B13" s="30" t="s">
        <v>138</v>
      </c>
      <c r="C13" s="30" t="s">
        <v>139</v>
      </c>
      <c r="D13" s="30" t="s">
        <v>153</v>
      </c>
      <c r="E13" s="32" t="s">
        <v>167</v>
      </c>
      <c r="F13" s="32" t="s">
        <v>161</v>
      </c>
      <c r="G13" s="32" t="s">
        <v>162</v>
      </c>
      <c r="H13" s="32"/>
      <c r="I13" s="32"/>
      <c r="J13" s="32">
        <v>0</v>
      </c>
      <c r="K13" s="9"/>
      <c r="L13" s="8"/>
      <c r="M13" s="8"/>
    </row>
    <row r="14" spans="1:13" x14ac:dyDescent="0.35">
      <c r="A14" s="28" t="s">
        <v>130</v>
      </c>
      <c r="B14" s="30" t="s">
        <v>138</v>
      </c>
      <c r="C14" s="30" t="s">
        <v>139</v>
      </c>
      <c r="D14" s="30" t="s">
        <v>153</v>
      </c>
      <c r="E14" s="32" t="s">
        <v>167</v>
      </c>
      <c r="F14" s="32" t="s">
        <v>161</v>
      </c>
      <c r="G14" s="32" t="s">
        <v>162</v>
      </c>
      <c r="H14" s="32"/>
      <c r="I14" s="32"/>
      <c r="J14" s="32">
        <v>0</v>
      </c>
      <c r="K14" s="9"/>
    </row>
    <row r="15" spans="1:13" x14ac:dyDescent="0.35">
      <c r="A15" s="28" t="s">
        <v>131</v>
      </c>
      <c r="B15" s="30" t="s">
        <v>138</v>
      </c>
      <c r="C15" s="30" t="s">
        <v>139</v>
      </c>
      <c r="D15" s="30" t="s">
        <v>153</v>
      </c>
      <c r="E15" s="32" t="s">
        <v>167</v>
      </c>
      <c r="F15" s="32" t="s">
        <v>161</v>
      </c>
      <c r="G15" s="32" t="s">
        <v>162</v>
      </c>
      <c r="H15" s="32"/>
      <c r="I15" s="32"/>
      <c r="J15" s="32">
        <v>0</v>
      </c>
    </row>
    <row r="16" spans="1:13" x14ac:dyDescent="0.35">
      <c r="A16" s="28" t="s">
        <v>134</v>
      </c>
      <c r="B16" s="30" t="s">
        <v>138</v>
      </c>
      <c r="C16" s="30" t="s">
        <v>139</v>
      </c>
      <c r="D16" s="30" t="s">
        <v>153</v>
      </c>
      <c r="E16" s="32" t="s">
        <v>167</v>
      </c>
      <c r="F16" s="32" t="s">
        <v>161</v>
      </c>
      <c r="G16" s="32" t="s">
        <v>162</v>
      </c>
      <c r="H16" s="32"/>
      <c r="I16" s="32"/>
      <c r="J16" s="32">
        <v>0</v>
      </c>
    </row>
    <row r="17" spans="1:14" x14ac:dyDescent="0.35">
      <c r="A17" s="28" t="s">
        <v>132</v>
      </c>
      <c r="B17" s="30" t="s">
        <v>164</v>
      </c>
      <c r="C17" s="30" t="s">
        <v>150</v>
      </c>
      <c r="D17" s="30" t="s">
        <v>151</v>
      </c>
      <c r="E17" s="32" t="s">
        <v>167</v>
      </c>
      <c r="F17" s="32" t="s">
        <v>161</v>
      </c>
      <c r="G17" s="32" t="s">
        <v>162</v>
      </c>
      <c r="H17" s="32"/>
      <c r="I17" s="32"/>
      <c r="J17" s="32">
        <v>0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26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ignoredErrors>
    <ignoredError sqref="C4:C17" numberStoredAsText="1"/>
  </ignoredError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8E7A-1E7D-42A0-8C66-CDE4A64910D2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D22" sqref="A22:D24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21.7109375" style="5" bestFit="1" customWidth="1"/>
    <col min="7" max="7" width="24.140625" style="3" bestFit="1" customWidth="1"/>
    <col min="8" max="8" width="21.7109375" style="1" hidden="1" customWidth="1"/>
    <col min="9" max="9" width="24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143</v>
      </c>
      <c r="C4" s="30" t="s">
        <v>163</v>
      </c>
      <c r="D4" s="30" t="s">
        <v>148</v>
      </c>
      <c r="E4" s="32">
        <v>0.5625</v>
      </c>
      <c r="F4" s="32">
        <v>0.625</v>
      </c>
      <c r="G4" s="32">
        <v>0.63888888888888884</v>
      </c>
      <c r="H4" s="32"/>
      <c r="I4" s="32"/>
      <c r="J4" s="32">
        <f>MOD(Tabela36[[#This Row],[SAIDA LOJA 1]]-Tabela36[[#This Row],[CHD LOJA 1]], 1)</f>
        <v>1.388888888888884E-2</v>
      </c>
    </row>
    <row r="5" spans="1:13" x14ac:dyDescent="0.35">
      <c r="A5" s="28" t="s">
        <v>8</v>
      </c>
      <c r="B5" s="30" t="s">
        <v>143</v>
      </c>
      <c r="C5" s="30" t="s">
        <v>163</v>
      </c>
      <c r="D5" s="30" t="s">
        <v>148</v>
      </c>
      <c r="E5" s="32">
        <v>0.5625</v>
      </c>
      <c r="F5" s="32">
        <v>0.64930555555555558</v>
      </c>
      <c r="G5" s="32">
        <v>0.66319444444444442</v>
      </c>
      <c r="H5" s="32"/>
      <c r="I5" s="32"/>
      <c r="J5" s="32">
        <f>MOD(Tabela36[[#This Row],[SAIDA LOJA 1]]-Tabela36[[#This Row],[CHD LOJA 1]], 1)</f>
        <v>1.388888888888884E-2</v>
      </c>
    </row>
    <row r="6" spans="1:13" s="4" customFormat="1" x14ac:dyDescent="0.35">
      <c r="A6" s="28" t="s">
        <v>9</v>
      </c>
      <c r="B6" s="30" t="s">
        <v>138</v>
      </c>
      <c r="C6" s="30" t="s">
        <v>139</v>
      </c>
      <c r="D6" s="30" t="s">
        <v>171</v>
      </c>
      <c r="E6" s="32">
        <v>0.56597222222222221</v>
      </c>
      <c r="F6" s="32">
        <v>0.64236111111111116</v>
      </c>
      <c r="G6" s="32">
        <v>0.66666666666666663</v>
      </c>
      <c r="H6" s="32"/>
      <c r="I6" s="32"/>
      <c r="J6" s="32">
        <f>MOD(Tabela36[[#This Row],[SAIDA LOJA 1]]-Tabela36[[#This Row],[CHD LOJA 1]], 1)</f>
        <v>2.4305555555555469E-2</v>
      </c>
      <c r="K6" s="1"/>
    </row>
    <row r="7" spans="1:13" s="4" customFormat="1" x14ac:dyDescent="0.35">
      <c r="A7" s="28" t="s">
        <v>10</v>
      </c>
      <c r="B7" s="30" t="s">
        <v>138</v>
      </c>
      <c r="C7" s="30" t="s">
        <v>139</v>
      </c>
      <c r="D7" s="30" t="s">
        <v>171</v>
      </c>
      <c r="E7" s="32">
        <v>0.56597222222222221</v>
      </c>
      <c r="F7" s="32">
        <v>0.67013888888888884</v>
      </c>
      <c r="G7" s="32">
        <v>0.70486111111111116</v>
      </c>
      <c r="H7" s="32"/>
      <c r="I7" s="32"/>
      <c r="J7" s="32">
        <f>MOD(Tabela36[[#This Row],[SAIDA LOJA 1]]-Tabela36[[#This Row],[CHD LOJA 1]], 1)</f>
        <v>3.4722222222222321E-2</v>
      </c>
      <c r="K7" s="1"/>
    </row>
    <row r="8" spans="1:13" x14ac:dyDescent="0.35">
      <c r="A8" s="28" t="s">
        <v>11</v>
      </c>
      <c r="B8" s="30" t="s">
        <v>147</v>
      </c>
      <c r="C8" s="30" t="s">
        <v>139</v>
      </c>
      <c r="D8" s="30" t="s">
        <v>144</v>
      </c>
      <c r="E8" s="32">
        <v>0.58680555555555558</v>
      </c>
      <c r="F8" s="32">
        <v>0.63541666666666663</v>
      </c>
      <c r="G8" s="32">
        <v>0.69791666666666663</v>
      </c>
      <c r="H8" s="32"/>
      <c r="I8" s="32"/>
      <c r="J8" s="32">
        <f>MOD(Tabela36[[#This Row],[SAIDA LOJA 1]]-Tabela36[[#This Row],[CHD LOJA 1]], 1)</f>
        <v>6.25E-2</v>
      </c>
    </row>
    <row r="9" spans="1:13" x14ac:dyDescent="0.35">
      <c r="A9" s="28" t="s">
        <v>12</v>
      </c>
      <c r="B9" s="30" t="s">
        <v>147</v>
      </c>
      <c r="C9" s="30" t="s">
        <v>139</v>
      </c>
      <c r="D9" s="30" t="s">
        <v>144</v>
      </c>
      <c r="E9" s="32">
        <v>0.58680555555555558</v>
      </c>
      <c r="F9" s="32">
        <v>0.70138888888888884</v>
      </c>
      <c r="G9" s="32">
        <v>0.73958333333333337</v>
      </c>
      <c r="H9" s="32"/>
      <c r="I9" s="32"/>
      <c r="J9" s="32">
        <f>MOD(Tabela36[[#This Row],[SAIDA LOJA 1]]-Tabela36[[#This Row],[CHD LOJA 1]], 1)</f>
        <v>3.8194444444444531E-2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172</v>
      </c>
      <c r="E10" s="32">
        <v>0.58333333333333337</v>
      </c>
      <c r="F10" s="32">
        <v>0.64930555555555558</v>
      </c>
      <c r="G10" s="32">
        <v>0.66319444444444442</v>
      </c>
      <c r="H10" s="32"/>
      <c r="I10" s="32"/>
      <c r="J10" s="32">
        <f>MOD(Tabela36[[#This Row],[SAIDA LOJA 1]]-Tabela36[[#This Row],[CHD LOJA 1]], 1)</f>
        <v>1.388888888888884E-2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172</v>
      </c>
      <c r="E11" s="32">
        <v>0.58333333333333337</v>
      </c>
      <c r="F11" s="32">
        <v>0.63194444444444442</v>
      </c>
      <c r="G11" s="32">
        <v>0.64583333333333337</v>
      </c>
      <c r="H11" s="32"/>
      <c r="I11" s="32"/>
      <c r="J11" s="32">
        <f>MOD(Tabela36[[#This Row],[SAIDA LOJA 1]]-Tabela36[[#This Row],[CHD LOJA 1]], 1)</f>
        <v>1.3888888888888951E-2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172</v>
      </c>
      <c r="E12" s="32">
        <v>0.58333333333333337</v>
      </c>
      <c r="F12" s="32">
        <v>0.67361111111111116</v>
      </c>
      <c r="G12" s="32">
        <v>0.70833333333333337</v>
      </c>
      <c r="H12" s="32"/>
      <c r="I12" s="32"/>
      <c r="J12" s="32">
        <f>MOD(Tabela36[[#This Row],[SAIDA LOJA 1]]-Tabela36[[#This Row],[CHD LOJA 1]], 1)</f>
        <v>3.472222222222221E-2</v>
      </c>
      <c r="K12" s="9"/>
      <c r="L12" s="8"/>
      <c r="M12" s="8"/>
    </row>
    <row r="13" spans="1:13" x14ac:dyDescent="0.35">
      <c r="A13" s="28" t="s">
        <v>16</v>
      </c>
      <c r="B13" s="30" t="s">
        <v>168</v>
      </c>
      <c r="C13" s="30" t="s">
        <v>169</v>
      </c>
      <c r="D13" s="30" t="s">
        <v>170</v>
      </c>
      <c r="E13" s="32">
        <v>0.56944444444444442</v>
      </c>
      <c r="F13" s="32">
        <v>0.71527777777777779</v>
      </c>
      <c r="G13" s="32">
        <v>0.76041666666666663</v>
      </c>
      <c r="H13" s="32"/>
      <c r="I13" s="32"/>
      <c r="J13" s="32">
        <f>MOD(Tabela36[[#This Row],[SAIDA LOJA 1]]-Tabela36[[#This Row],[CHD LOJA 1]], 1)</f>
        <v>4.513888888888884E-2</v>
      </c>
      <c r="K13" s="9"/>
      <c r="L13" s="8"/>
      <c r="M13" s="8"/>
    </row>
    <row r="14" spans="1:13" x14ac:dyDescent="0.35">
      <c r="A14" s="28" t="s">
        <v>130</v>
      </c>
      <c r="B14" s="30" t="s">
        <v>168</v>
      </c>
      <c r="C14" s="30" t="s">
        <v>169</v>
      </c>
      <c r="D14" s="30" t="s">
        <v>170</v>
      </c>
      <c r="E14" s="32">
        <v>0.56944444444444442</v>
      </c>
      <c r="F14" s="32">
        <v>0.67361111111111116</v>
      </c>
      <c r="G14" s="32">
        <v>0.68402777777777779</v>
      </c>
      <c r="H14" s="32"/>
      <c r="I14" s="32"/>
      <c r="J14" s="32">
        <f>MOD(Tabela36[[#This Row],[SAIDA LOJA 1]]-Tabela36[[#This Row],[CHD LOJA 1]], 1)</f>
        <v>1.041666666666663E-2</v>
      </c>
      <c r="K14" s="9"/>
    </row>
    <row r="15" spans="1:13" x14ac:dyDescent="0.35">
      <c r="A15" s="28" t="s">
        <v>131</v>
      </c>
      <c r="B15" s="30" t="s">
        <v>168</v>
      </c>
      <c r="C15" s="30" t="s">
        <v>169</v>
      </c>
      <c r="D15" s="30" t="s">
        <v>170</v>
      </c>
      <c r="E15" s="32">
        <v>0.56944444444444442</v>
      </c>
      <c r="F15" s="32">
        <v>0.6875</v>
      </c>
      <c r="G15" s="32">
        <v>0.70833333333333337</v>
      </c>
      <c r="H15" s="32"/>
      <c r="I15" s="32"/>
      <c r="J15" s="32">
        <f>MOD(Tabela36[[#This Row],[SAIDA LOJA 1]]-Tabela36[[#This Row],[CHD LOJA 1]], 1)</f>
        <v>2.083333333333337E-2</v>
      </c>
    </row>
    <row r="16" spans="1:13" x14ac:dyDescent="0.35">
      <c r="A16" s="28" t="s">
        <v>134</v>
      </c>
      <c r="B16" s="30" t="s">
        <v>168</v>
      </c>
      <c r="C16" s="30" t="s">
        <v>169</v>
      </c>
      <c r="D16" s="30" t="s">
        <v>170</v>
      </c>
      <c r="E16" s="32">
        <v>0.56944444444444442</v>
      </c>
      <c r="F16" s="32">
        <v>0.64236111111111116</v>
      </c>
      <c r="G16" s="32">
        <v>0.65972222222222221</v>
      </c>
      <c r="H16" s="32"/>
      <c r="I16" s="32"/>
      <c r="J16" s="32">
        <f>MOD(Tabela36[[#This Row],[SAIDA LOJA 1]]-Tabela36[[#This Row],[CHD LOJA 1]], 1)</f>
        <v>1.7361111111111049E-2</v>
      </c>
    </row>
    <row r="17" spans="1:14" x14ac:dyDescent="0.35">
      <c r="A17" s="28" t="s">
        <v>132</v>
      </c>
      <c r="B17" s="30" t="s">
        <v>164</v>
      </c>
      <c r="C17" s="30" t="s">
        <v>150</v>
      </c>
      <c r="D17" s="30" t="s">
        <v>151</v>
      </c>
      <c r="E17" s="32">
        <v>0.57291666666666663</v>
      </c>
      <c r="F17" s="32">
        <v>0.61458333333333337</v>
      </c>
      <c r="G17" s="32">
        <v>0.63194444444444442</v>
      </c>
      <c r="H17" s="32"/>
      <c r="I17" s="32"/>
      <c r="J17" s="32">
        <f>MOD(Tabela36[[#This Row],[SAIDA LOJA 1]]-Tabela36[[#This Row],[CHD LOJA 1]], 1)</f>
        <v>1.7361111111111049E-2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25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ignoredErrors>
    <ignoredError sqref="C4:C17" numberStoredAsText="1"/>
  </ignoredError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D0D7-BAE8-4F56-9E9A-38A8D4899C13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G18" sqref="G18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143</v>
      </c>
      <c r="C4" s="30" t="s">
        <v>163</v>
      </c>
      <c r="D4" s="30" t="s">
        <v>148</v>
      </c>
      <c r="E4" s="32">
        <v>0.56944444444444442</v>
      </c>
      <c r="F4" s="32">
        <v>0.65277777777777779</v>
      </c>
      <c r="G4" s="32">
        <v>0.66666666666666663</v>
      </c>
      <c r="H4" s="32"/>
      <c r="I4" s="32"/>
      <c r="J4" s="32">
        <f>MOD(Tabela37[[#This Row],[SAIDA LOJA 1]]-Tabela37[[#This Row],[CHD LOJA 1]], 1)</f>
        <v>1.388888888888884E-2</v>
      </c>
    </row>
    <row r="5" spans="1:13" x14ac:dyDescent="0.35">
      <c r="A5" s="28" t="s">
        <v>8</v>
      </c>
      <c r="B5" s="30" t="s">
        <v>143</v>
      </c>
      <c r="C5" s="30" t="s">
        <v>163</v>
      </c>
      <c r="D5" s="30" t="s">
        <v>148</v>
      </c>
      <c r="E5" s="32">
        <v>0.56944444444444442</v>
      </c>
      <c r="F5" s="32">
        <v>0.67361111111111116</v>
      </c>
      <c r="G5" s="32">
        <v>0.6875</v>
      </c>
      <c r="H5" s="32"/>
      <c r="I5" s="32"/>
      <c r="J5" s="32">
        <f>MOD(Tabela37[[#This Row],[SAIDA LOJA 1]]-Tabela37[[#This Row],[CHD LOJA 1]], 1)</f>
        <v>1.388888888888884E-2</v>
      </c>
    </row>
    <row r="6" spans="1:13" s="4" customFormat="1" x14ac:dyDescent="0.35">
      <c r="A6" s="28" t="s">
        <v>9</v>
      </c>
      <c r="B6" s="30" t="s">
        <v>138</v>
      </c>
      <c r="C6" s="30" t="s">
        <v>139</v>
      </c>
      <c r="D6" s="30" t="s">
        <v>171</v>
      </c>
      <c r="E6" s="32">
        <v>0.60416666666666663</v>
      </c>
      <c r="F6" s="32">
        <v>0.70138888888888884</v>
      </c>
      <c r="G6" s="32">
        <v>0.72222222222222221</v>
      </c>
      <c r="H6" s="32"/>
      <c r="I6" s="32"/>
      <c r="J6" s="32">
        <f>MOD(Tabela37[[#This Row],[SAIDA LOJA 1]]-Tabela37[[#This Row],[CHD LOJA 1]], 1)</f>
        <v>2.083333333333337E-2</v>
      </c>
      <c r="K6" s="1"/>
    </row>
    <row r="7" spans="1:13" s="4" customFormat="1" x14ac:dyDescent="0.35">
      <c r="A7" s="28" t="s">
        <v>10</v>
      </c>
      <c r="B7" s="30" t="s">
        <v>138</v>
      </c>
      <c r="C7" s="30" t="s">
        <v>139</v>
      </c>
      <c r="D7" s="30" t="s">
        <v>171</v>
      </c>
      <c r="E7" s="32">
        <v>0.60416666666666663</v>
      </c>
      <c r="F7" s="32">
        <v>0.74652777777777779</v>
      </c>
      <c r="G7" s="32">
        <v>0.76388888888888884</v>
      </c>
      <c r="H7" s="32"/>
      <c r="I7" s="32"/>
      <c r="J7" s="32">
        <f>MOD(Tabela37[[#This Row],[SAIDA LOJA 1]]-Tabela37[[#This Row],[CHD LOJA 1]], 1)</f>
        <v>1.7361111111111049E-2</v>
      </c>
      <c r="K7" s="1"/>
    </row>
    <row r="8" spans="1:13" x14ac:dyDescent="0.35">
      <c r="A8" s="28" t="s">
        <v>11</v>
      </c>
      <c r="B8" s="30" t="s">
        <v>147</v>
      </c>
      <c r="C8" s="30" t="s">
        <v>139</v>
      </c>
      <c r="D8" s="30" t="s">
        <v>144</v>
      </c>
      <c r="E8" s="32">
        <v>0.58680555555555558</v>
      </c>
      <c r="F8" s="32">
        <v>0.63541666666666663</v>
      </c>
      <c r="G8" s="32">
        <v>0.65625</v>
      </c>
      <c r="H8" s="32"/>
      <c r="I8" s="32"/>
      <c r="J8" s="32">
        <f>MOD(Tabela37[[#This Row],[SAIDA LOJA 1]]-Tabela37[[#This Row],[CHD LOJA 1]], 1)</f>
        <v>2.083333333333337E-2</v>
      </c>
    </row>
    <row r="9" spans="1:13" x14ac:dyDescent="0.35">
      <c r="A9" s="28" t="s">
        <v>12</v>
      </c>
      <c r="B9" s="30" t="s">
        <v>147</v>
      </c>
      <c r="C9" s="30" t="s">
        <v>139</v>
      </c>
      <c r="D9" s="30" t="s">
        <v>144</v>
      </c>
      <c r="E9" s="32">
        <v>0.58680555555555558</v>
      </c>
      <c r="F9" s="32">
        <v>0.65972222222222221</v>
      </c>
      <c r="G9" s="32">
        <v>0.71527777777777779</v>
      </c>
      <c r="H9" s="32"/>
      <c r="I9" s="32"/>
      <c r="J9" s="32">
        <f>MOD(Tabela37[[#This Row],[SAIDA LOJA 1]]-Tabela37[[#This Row],[CHD LOJA 1]], 1)</f>
        <v>5.555555555555558E-2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152</v>
      </c>
      <c r="E10" s="32">
        <v>0.59722222222222221</v>
      </c>
      <c r="F10" s="32">
        <v>0.65972222222222221</v>
      </c>
      <c r="G10" s="32">
        <v>0.67708333333333337</v>
      </c>
      <c r="H10" s="32"/>
      <c r="I10" s="32"/>
      <c r="J10" s="32">
        <f>MOD(Tabela37[[#This Row],[SAIDA LOJA 1]]-Tabela37[[#This Row],[CHD LOJA 1]], 1)</f>
        <v>1.736111111111116E-2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152</v>
      </c>
      <c r="E11" s="32">
        <v>0.59722222222222221</v>
      </c>
      <c r="F11" s="32">
        <v>0.64583333333333337</v>
      </c>
      <c r="G11" s="32">
        <v>0.65625</v>
      </c>
      <c r="H11" s="32"/>
      <c r="I11" s="32"/>
      <c r="J11" s="32">
        <f>MOD(Tabela37[[#This Row],[SAIDA LOJA 1]]-Tabela37[[#This Row],[CHD LOJA 1]], 1)</f>
        <v>1.041666666666663E-2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152</v>
      </c>
      <c r="E12" s="32">
        <v>0.59722222222222221</v>
      </c>
      <c r="F12" s="32">
        <v>0.69097222222222221</v>
      </c>
      <c r="G12" s="32">
        <v>0.72916666666666663</v>
      </c>
      <c r="H12" s="32"/>
      <c r="I12" s="32"/>
      <c r="J12" s="32">
        <f>MOD(Tabela37[[#This Row],[SAIDA LOJA 1]]-Tabela37[[#This Row],[CHD LOJA 1]], 1)</f>
        <v>3.819444444444442E-2</v>
      </c>
      <c r="K12" s="9"/>
      <c r="L12" s="8"/>
      <c r="M12" s="8"/>
    </row>
    <row r="13" spans="1:13" x14ac:dyDescent="0.35">
      <c r="A13" s="28" t="s">
        <v>16</v>
      </c>
      <c r="B13" s="30" t="s">
        <v>168</v>
      </c>
      <c r="C13" s="30" t="s">
        <v>169</v>
      </c>
      <c r="D13" s="30" t="s">
        <v>170</v>
      </c>
      <c r="E13" s="32">
        <v>0.58333333333333337</v>
      </c>
      <c r="F13" s="32">
        <v>0.72569444444444442</v>
      </c>
      <c r="G13" s="32">
        <v>0.73263888888888884</v>
      </c>
      <c r="H13" s="32"/>
      <c r="I13" s="32"/>
      <c r="J13" s="32">
        <f>MOD(Tabela37[[#This Row],[SAIDA LOJA 1]]-Tabela37[[#This Row],[CHD LOJA 1]], 1)</f>
        <v>6.9444444444444198E-3</v>
      </c>
      <c r="K13" s="9"/>
      <c r="L13" s="8"/>
      <c r="M13" s="8"/>
    </row>
    <row r="14" spans="1:13" x14ac:dyDescent="0.35">
      <c r="A14" s="28" t="s">
        <v>130</v>
      </c>
      <c r="B14" s="30" t="s">
        <v>168</v>
      </c>
      <c r="C14" s="30" t="s">
        <v>169</v>
      </c>
      <c r="D14" s="30" t="s">
        <v>170</v>
      </c>
      <c r="E14" s="32">
        <v>0.58333333333333337</v>
      </c>
      <c r="F14" s="32">
        <v>0.74305555555555558</v>
      </c>
      <c r="G14" s="32">
        <v>0.77083333333333337</v>
      </c>
      <c r="H14" s="32"/>
      <c r="I14" s="32"/>
      <c r="J14" s="32">
        <f>MOD(Tabela37[[#This Row],[SAIDA LOJA 1]]-Tabela37[[#This Row],[CHD LOJA 1]], 1)</f>
        <v>2.777777777777779E-2</v>
      </c>
      <c r="K14" s="9"/>
    </row>
    <row r="15" spans="1:13" x14ac:dyDescent="0.35">
      <c r="A15" s="28" t="s">
        <v>131</v>
      </c>
      <c r="B15" s="30" t="s">
        <v>168</v>
      </c>
      <c r="C15" s="30" t="s">
        <v>169</v>
      </c>
      <c r="D15" s="30" t="s">
        <v>170</v>
      </c>
      <c r="E15" s="32">
        <v>0.58333333333333337</v>
      </c>
      <c r="F15" s="32">
        <v>0.70833333333333337</v>
      </c>
      <c r="G15" s="32">
        <v>0.71875</v>
      </c>
      <c r="H15" s="32"/>
      <c r="I15" s="32"/>
      <c r="J15" s="32">
        <f>MOD(Tabela37[[#This Row],[SAIDA LOJA 1]]-Tabela37[[#This Row],[CHD LOJA 1]], 1)</f>
        <v>1.041666666666663E-2</v>
      </c>
    </row>
    <row r="16" spans="1:13" x14ac:dyDescent="0.35">
      <c r="A16" s="28" t="s">
        <v>134</v>
      </c>
      <c r="B16" s="30" t="s">
        <v>168</v>
      </c>
      <c r="C16" s="30" t="s">
        <v>169</v>
      </c>
      <c r="D16" s="30" t="s">
        <v>170</v>
      </c>
      <c r="E16" s="32">
        <v>0.58333333333333337</v>
      </c>
      <c r="F16" s="32">
        <v>0.67361111111111116</v>
      </c>
      <c r="G16" s="32">
        <v>0.69444444444444442</v>
      </c>
      <c r="H16" s="32"/>
      <c r="I16" s="32"/>
      <c r="J16" s="32">
        <f>MOD(Tabela37[[#This Row],[SAIDA LOJA 1]]-Tabela37[[#This Row],[CHD LOJA 1]], 1)</f>
        <v>2.0833333333333259E-2</v>
      </c>
    </row>
    <row r="17" spans="1:14" x14ac:dyDescent="0.35">
      <c r="A17" s="28" t="s">
        <v>132</v>
      </c>
      <c r="B17" s="30" t="s">
        <v>164</v>
      </c>
      <c r="C17" s="30" t="s">
        <v>150</v>
      </c>
      <c r="D17" s="30" t="s">
        <v>151</v>
      </c>
      <c r="E17" s="32">
        <v>0.56944444444444442</v>
      </c>
      <c r="F17" s="32">
        <v>0.60069444444444442</v>
      </c>
      <c r="G17" s="32">
        <v>0.61458333333333337</v>
      </c>
      <c r="H17" s="32"/>
      <c r="I17" s="32"/>
      <c r="J17" s="32">
        <f>MOD(Tabela37[[#This Row],[SAIDA LOJA 1]]-Tabela37[[#This Row],[CHD LOJA 1]], 1)</f>
        <v>1.3888888888888951E-2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24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7E2F-8A8B-45B4-97BB-1E45B62705AE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G18" sqref="G18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143</v>
      </c>
      <c r="C4" s="30" t="s">
        <v>163</v>
      </c>
      <c r="D4" s="30" t="s">
        <v>148</v>
      </c>
      <c r="E4" s="32">
        <v>0.54166666666666663</v>
      </c>
      <c r="F4" s="32">
        <v>0.60763888888888884</v>
      </c>
      <c r="G4" s="32">
        <v>0.61458333333333337</v>
      </c>
      <c r="H4" s="32"/>
      <c r="I4" s="32"/>
      <c r="J4" s="32">
        <f>MOD(Tabela38[[#This Row],[SAIDA LOJA 1]]-Tabela38[[#This Row],[CHD LOJA 1]], 1)</f>
        <v>6.9444444444445308E-3</v>
      </c>
    </row>
    <row r="5" spans="1:13" x14ac:dyDescent="0.35">
      <c r="A5" s="28" t="s">
        <v>8</v>
      </c>
      <c r="B5" s="30" t="s">
        <v>143</v>
      </c>
      <c r="C5" s="30" t="s">
        <v>163</v>
      </c>
      <c r="D5" s="30" t="s">
        <v>148</v>
      </c>
      <c r="E5" s="32">
        <v>0.54166666666666663</v>
      </c>
      <c r="F5" s="32">
        <v>0.62152777777777779</v>
      </c>
      <c r="G5" s="32">
        <v>0.62847222222222221</v>
      </c>
      <c r="H5" s="32"/>
      <c r="I5" s="32"/>
      <c r="J5" s="32">
        <f>MOD(Tabela38[[#This Row],[SAIDA LOJA 1]]-Tabela38[[#This Row],[CHD LOJA 1]], 1)</f>
        <v>6.9444444444444198E-3</v>
      </c>
    </row>
    <row r="6" spans="1:13" s="4" customFormat="1" x14ac:dyDescent="0.35">
      <c r="A6" s="28" t="s">
        <v>9</v>
      </c>
      <c r="B6" s="30" t="s">
        <v>138</v>
      </c>
      <c r="C6" s="30" t="s">
        <v>139</v>
      </c>
      <c r="D6" s="30" t="s">
        <v>171</v>
      </c>
      <c r="E6" s="32">
        <v>0.55902777777777779</v>
      </c>
      <c r="F6" s="32">
        <v>0.62152777777777779</v>
      </c>
      <c r="G6" s="32">
        <v>0.66319444444444442</v>
      </c>
      <c r="H6" s="32"/>
      <c r="I6" s="32"/>
      <c r="J6" s="32">
        <f>MOD(Tabela38[[#This Row],[SAIDA LOJA 1]]-Tabela38[[#This Row],[CHD LOJA 1]], 1)</f>
        <v>4.166666666666663E-2</v>
      </c>
      <c r="K6" s="1"/>
    </row>
    <row r="7" spans="1:13" s="4" customFormat="1" x14ac:dyDescent="0.35">
      <c r="A7" s="28" t="s">
        <v>10</v>
      </c>
      <c r="B7" s="30" t="s">
        <v>138</v>
      </c>
      <c r="C7" s="30" t="s">
        <v>139</v>
      </c>
      <c r="D7" s="30" t="s">
        <v>171</v>
      </c>
      <c r="E7" s="32">
        <v>0.55902777777777779</v>
      </c>
      <c r="F7" s="32">
        <v>0.69097222222222221</v>
      </c>
      <c r="G7" s="32">
        <v>0.70486111111111116</v>
      </c>
      <c r="H7" s="32"/>
      <c r="I7" s="32"/>
      <c r="J7" s="32">
        <f>MOD(Tabela38[[#This Row],[SAIDA LOJA 1]]-Tabela38[[#This Row],[CHD LOJA 1]], 1)</f>
        <v>1.3888888888888951E-2</v>
      </c>
      <c r="K7" s="1"/>
    </row>
    <row r="8" spans="1:13" x14ac:dyDescent="0.35">
      <c r="A8" s="28" t="s">
        <v>11</v>
      </c>
      <c r="B8" s="30" t="s">
        <v>147</v>
      </c>
      <c r="C8" s="30" t="s">
        <v>139</v>
      </c>
      <c r="D8" s="30" t="s">
        <v>144</v>
      </c>
      <c r="E8" s="32">
        <v>0.5625</v>
      </c>
      <c r="F8" s="32">
        <v>0.61111111111111116</v>
      </c>
      <c r="G8" s="32">
        <v>0.625</v>
      </c>
      <c r="H8" s="32"/>
      <c r="I8" s="32"/>
      <c r="J8" s="32">
        <f>MOD(Tabela38[[#This Row],[SAIDA LOJA 1]]-Tabela38[[#This Row],[CHD LOJA 1]], 1)</f>
        <v>1.388888888888884E-2</v>
      </c>
    </row>
    <row r="9" spans="1:13" x14ac:dyDescent="0.35">
      <c r="A9" s="28" t="s">
        <v>12</v>
      </c>
      <c r="B9" s="30" t="s">
        <v>147</v>
      </c>
      <c r="C9" s="30" t="s">
        <v>139</v>
      </c>
      <c r="D9" s="30" t="s">
        <v>144</v>
      </c>
      <c r="E9" s="32">
        <v>0.5625</v>
      </c>
      <c r="F9" s="32">
        <v>0.62847222222222221</v>
      </c>
      <c r="G9" s="32">
        <v>0.67361111111111116</v>
      </c>
      <c r="H9" s="32"/>
      <c r="I9" s="32"/>
      <c r="J9" s="32">
        <f>MOD(Tabela38[[#This Row],[SAIDA LOJA 1]]-Tabela38[[#This Row],[CHD LOJA 1]], 1)</f>
        <v>4.5138888888888951E-2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152</v>
      </c>
      <c r="E10" s="32">
        <v>0.58333333333333337</v>
      </c>
      <c r="F10" s="32">
        <v>0.66666666666666663</v>
      </c>
      <c r="G10" s="32">
        <v>0.68055555555555558</v>
      </c>
      <c r="H10" s="32"/>
      <c r="I10" s="32"/>
      <c r="J10" s="32">
        <f>MOD(Tabela38[[#This Row],[SAIDA LOJA 1]]-Tabela38[[#This Row],[CHD LOJA 1]], 1)</f>
        <v>1.3888888888888951E-2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152</v>
      </c>
      <c r="E11" s="32">
        <v>0.58333333333333337</v>
      </c>
      <c r="F11" s="32">
        <v>0.63541666666666663</v>
      </c>
      <c r="G11" s="32">
        <v>0.65625</v>
      </c>
      <c r="H11" s="32"/>
      <c r="I11" s="32"/>
      <c r="J11" s="32">
        <f>MOD(Tabela38[[#This Row],[SAIDA LOJA 1]]-Tabela38[[#This Row],[CHD LOJA 1]], 1)</f>
        <v>2.083333333333337E-2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152</v>
      </c>
      <c r="E12" s="32">
        <v>0.58333333333333337</v>
      </c>
      <c r="F12" s="32">
        <v>0.69444444444444442</v>
      </c>
      <c r="G12" s="32">
        <v>0.72222222222222221</v>
      </c>
      <c r="H12" s="32"/>
      <c r="I12" s="32"/>
      <c r="J12" s="32">
        <f>MOD(Tabela38[[#This Row],[SAIDA LOJA 1]]-Tabela38[[#This Row],[CHD LOJA 1]], 1)</f>
        <v>2.777777777777779E-2</v>
      </c>
      <c r="K12" s="9"/>
      <c r="L12" s="8"/>
      <c r="M12" s="8"/>
    </row>
    <row r="13" spans="1:13" x14ac:dyDescent="0.35">
      <c r="A13" s="28" t="s">
        <v>16</v>
      </c>
      <c r="B13" s="30" t="s">
        <v>168</v>
      </c>
      <c r="C13" s="30" t="s">
        <v>169</v>
      </c>
      <c r="D13" s="30" t="s">
        <v>170</v>
      </c>
      <c r="E13" s="32">
        <v>0.56944444444444442</v>
      </c>
      <c r="F13" s="32">
        <v>0.71527777777777779</v>
      </c>
      <c r="G13" s="32">
        <v>0.72916666666666663</v>
      </c>
      <c r="H13" s="32"/>
      <c r="I13" s="32"/>
      <c r="J13" s="32">
        <f>MOD(Tabela38[[#This Row],[SAIDA LOJA 1]]-Tabela38[[#This Row],[CHD LOJA 1]], 1)</f>
        <v>1.388888888888884E-2</v>
      </c>
      <c r="K13" s="9"/>
      <c r="L13" s="8"/>
      <c r="M13" s="8"/>
    </row>
    <row r="14" spans="1:13" x14ac:dyDescent="0.35">
      <c r="A14" s="28" t="s">
        <v>130</v>
      </c>
      <c r="B14" s="30" t="s">
        <v>168</v>
      </c>
      <c r="C14" s="30" t="s">
        <v>169</v>
      </c>
      <c r="D14" s="30" t="s">
        <v>170</v>
      </c>
      <c r="E14" s="32">
        <v>0.56944444444444442</v>
      </c>
      <c r="F14" s="32">
        <v>0.64930555555555558</v>
      </c>
      <c r="G14" s="32">
        <v>0.67361111111111116</v>
      </c>
      <c r="H14" s="32"/>
      <c r="I14" s="32"/>
      <c r="J14" s="32">
        <f>MOD(Tabela38[[#This Row],[SAIDA LOJA 1]]-Tabela38[[#This Row],[CHD LOJA 1]], 1)</f>
        <v>2.430555555555558E-2</v>
      </c>
      <c r="K14" s="9"/>
    </row>
    <row r="15" spans="1:13" x14ac:dyDescent="0.35">
      <c r="A15" s="28" t="s">
        <v>131</v>
      </c>
      <c r="B15" s="30" t="s">
        <v>168</v>
      </c>
      <c r="C15" s="30" t="s">
        <v>169</v>
      </c>
      <c r="D15" s="30" t="s">
        <v>170</v>
      </c>
      <c r="E15" s="32">
        <v>0.56944444444444442</v>
      </c>
      <c r="F15" s="32">
        <v>0.68402777777777779</v>
      </c>
      <c r="G15" s="32">
        <v>0.69097222222222221</v>
      </c>
      <c r="H15" s="32"/>
      <c r="I15" s="32"/>
      <c r="J15" s="32">
        <f>MOD(Tabela38[[#This Row],[SAIDA LOJA 1]]-Tabela38[[#This Row],[CHD LOJA 1]], 1)</f>
        <v>6.9444444444444198E-3</v>
      </c>
    </row>
    <row r="16" spans="1:13" x14ac:dyDescent="0.35">
      <c r="A16" s="28" t="s">
        <v>134</v>
      </c>
      <c r="B16" s="30" t="s">
        <v>168</v>
      </c>
      <c r="C16" s="30" t="s">
        <v>169</v>
      </c>
      <c r="D16" s="30" t="s">
        <v>170</v>
      </c>
      <c r="E16" s="32">
        <v>0.56944444444444442</v>
      </c>
      <c r="F16" s="32">
        <v>0.69444444444444442</v>
      </c>
      <c r="G16" s="32">
        <v>0.70138888888888884</v>
      </c>
      <c r="H16" s="32"/>
      <c r="I16" s="32"/>
      <c r="J16" s="32">
        <f>MOD(Tabela38[[#This Row],[SAIDA LOJA 1]]-Tabela38[[#This Row],[CHD LOJA 1]], 1)</f>
        <v>6.9444444444444198E-3</v>
      </c>
    </row>
    <row r="17" spans="1:14" x14ac:dyDescent="0.35">
      <c r="A17" s="28" t="s">
        <v>132</v>
      </c>
      <c r="B17" s="30" t="s">
        <v>164</v>
      </c>
      <c r="C17" s="30" t="s">
        <v>150</v>
      </c>
      <c r="D17" s="30" t="s">
        <v>151</v>
      </c>
      <c r="E17" s="32">
        <v>0.54513888888888884</v>
      </c>
      <c r="F17" s="32">
        <v>0.57986111111111116</v>
      </c>
      <c r="G17" s="32">
        <v>0.60069444444444442</v>
      </c>
      <c r="H17" s="32"/>
      <c r="I17" s="32"/>
      <c r="J17" s="32">
        <f>MOD(Tabela38[[#This Row],[SAIDA LOJA 1]]-Tabela38[[#This Row],[CHD LOJA 1]], 1)</f>
        <v>2.0833333333333259E-2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23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1C28-C9B7-405F-810D-50B61D37EC70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143</v>
      </c>
      <c r="C4" s="30" t="s">
        <v>163</v>
      </c>
      <c r="D4" s="30" t="s">
        <v>148</v>
      </c>
      <c r="E4" s="32">
        <v>0.55555555555555558</v>
      </c>
      <c r="F4" s="32">
        <v>0.61805555555555558</v>
      </c>
      <c r="G4" s="32">
        <v>0.62847222222222221</v>
      </c>
      <c r="H4" s="32"/>
      <c r="I4" s="32"/>
      <c r="J4" s="32">
        <f>MOD(Tabela39[[#This Row],[SAIDA LOJA 1]]-Tabela39[[#This Row],[CHD LOJA 1]], 1)</f>
        <v>1.041666666666663E-2</v>
      </c>
    </row>
    <row r="5" spans="1:13" x14ac:dyDescent="0.35">
      <c r="A5" s="28" t="s">
        <v>8</v>
      </c>
      <c r="B5" s="30" t="s">
        <v>143</v>
      </c>
      <c r="C5" s="30" t="s">
        <v>163</v>
      </c>
      <c r="D5" s="30" t="s">
        <v>148</v>
      </c>
      <c r="E5" s="32">
        <v>0.55555555555555558</v>
      </c>
      <c r="F5" s="32">
        <v>0.63541666666666663</v>
      </c>
      <c r="G5" s="32">
        <v>0.65625</v>
      </c>
      <c r="H5" s="32"/>
      <c r="I5" s="32"/>
      <c r="J5" s="32">
        <f>MOD(Tabela39[[#This Row],[SAIDA LOJA 1]]-Tabela39[[#This Row],[CHD LOJA 1]], 1)</f>
        <v>2.083333333333337E-2</v>
      </c>
    </row>
    <row r="6" spans="1:13" s="4" customFormat="1" x14ac:dyDescent="0.35">
      <c r="A6" s="28" t="s">
        <v>9</v>
      </c>
      <c r="B6" s="30" t="s">
        <v>138</v>
      </c>
      <c r="C6" s="30" t="s">
        <v>139</v>
      </c>
      <c r="D6" s="30" t="s">
        <v>173</v>
      </c>
      <c r="E6" s="32">
        <v>0.54513888888888884</v>
      </c>
      <c r="F6" s="32">
        <v>0.60763888888888884</v>
      </c>
      <c r="G6" s="32">
        <v>0.62152777777777779</v>
      </c>
      <c r="H6" s="32"/>
      <c r="I6" s="32"/>
      <c r="J6" s="32">
        <f>MOD(Tabela39[[#This Row],[SAIDA LOJA 1]]-Tabela39[[#This Row],[CHD LOJA 1]], 1)</f>
        <v>1.3888888888888951E-2</v>
      </c>
      <c r="K6" s="1"/>
    </row>
    <row r="7" spans="1:13" s="4" customFormat="1" x14ac:dyDescent="0.35">
      <c r="A7" s="28" t="s">
        <v>10</v>
      </c>
      <c r="B7" s="30" t="s">
        <v>138</v>
      </c>
      <c r="C7" s="30" t="s">
        <v>139</v>
      </c>
      <c r="D7" s="30" t="s">
        <v>173</v>
      </c>
      <c r="E7" s="32">
        <v>0.54513888888888884</v>
      </c>
      <c r="F7" s="32">
        <v>0.64236111111111116</v>
      </c>
      <c r="G7" s="32">
        <v>0.66319444444444442</v>
      </c>
      <c r="H7" s="32"/>
      <c r="I7" s="32"/>
      <c r="J7" s="32">
        <f>MOD(Tabela39[[#This Row],[SAIDA LOJA 1]]-Tabela39[[#This Row],[CHD LOJA 1]], 1)</f>
        <v>2.0833333333333259E-2</v>
      </c>
      <c r="K7" s="1"/>
    </row>
    <row r="8" spans="1:13" x14ac:dyDescent="0.35">
      <c r="A8" s="28" t="s">
        <v>11</v>
      </c>
      <c r="B8" s="30" t="s">
        <v>147</v>
      </c>
      <c r="C8" s="30" t="s">
        <v>139</v>
      </c>
      <c r="D8" s="30" t="s">
        <v>144</v>
      </c>
      <c r="E8" s="32">
        <v>0.59027777777777779</v>
      </c>
      <c r="F8" s="32">
        <v>0.64583333333333337</v>
      </c>
      <c r="G8" s="32">
        <v>0.67708333333333337</v>
      </c>
      <c r="H8" s="32"/>
      <c r="I8" s="32"/>
      <c r="J8" s="32">
        <f>MOD(Tabela39[[#This Row],[SAIDA LOJA 1]]-Tabela39[[#This Row],[CHD LOJA 1]], 1)</f>
        <v>3.125E-2</v>
      </c>
    </row>
    <row r="9" spans="1:13" x14ac:dyDescent="0.35">
      <c r="A9" s="28" t="s">
        <v>12</v>
      </c>
      <c r="B9" s="30" t="s">
        <v>147</v>
      </c>
      <c r="C9" s="30" t="s">
        <v>139</v>
      </c>
      <c r="D9" s="30" t="s">
        <v>144</v>
      </c>
      <c r="E9" s="32" t="s">
        <v>160</v>
      </c>
      <c r="F9" s="32" t="s">
        <v>161</v>
      </c>
      <c r="G9" s="32" t="s">
        <v>162</v>
      </c>
      <c r="H9" s="32"/>
      <c r="I9" s="32"/>
      <c r="J9" s="32" t="e">
        <f>MOD(Tabela39[[#This Row],[SAIDA LOJA 1]]-Tabela39[[#This Row],[CHD LOJA 1]], 1)</f>
        <v>#VALUE!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152</v>
      </c>
      <c r="E10" s="32">
        <v>0.56944444444444442</v>
      </c>
      <c r="F10" s="32">
        <v>0.66319444444444442</v>
      </c>
      <c r="G10" s="32">
        <v>0.68055555555555558</v>
      </c>
      <c r="H10" s="32"/>
      <c r="I10" s="32"/>
      <c r="J10" s="32">
        <f>MOD(Tabela39[[#This Row],[SAIDA LOJA 1]]-Tabela39[[#This Row],[CHD LOJA 1]], 1)</f>
        <v>1.736111111111116E-2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152</v>
      </c>
      <c r="E11" s="32">
        <v>0.56944444444444442</v>
      </c>
      <c r="F11" s="32">
        <v>0.63888888888888884</v>
      </c>
      <c r="G11" s="32">
        <v>0.65625</v>
      </c>
      <c r="H11" s="32"/>
      <c r="I11" s="32"/>
      <c r="J11" s="32">
        <f>MOD(Tabela39[[#This Row],[SAIDA LOJA 1]]-Tabela39[[#This Row],[CHD LOJA 1]], 1)</f>
        <v>1.736111111111116E-2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152</v>
      </c>
      <c r="E12" s="32">
        <v>0.56944444444444442</v>
      </c>
      <c r="F12" s="32">
        <v>0.6875</v>
      </c>
      <c r="G12" s="32">
        <v>0.71527777777777779</v>
      </c>
      <c r="H12" s="32"/>
      <c r="I12" s="32"/>
      <c r="J12" s="32">
        <f>MOD(Tabela39[[#This Row],[SAIDA LOJA 1]]-Tabela39[[#This Row],[CHD LOJA 1]], 1)</f>
        <v>2.777777777777779E-2</v>
      </c>
      <c r="K12" s="9"/>
      <c r="L12" s="8"/>
      <c r="M12" s="8"/>
    </row>
    <row r="13" spans="1:13" x14ac:dyDescent="0.35">
      <c r="A13" s="28" t="s">
        <v>16</v>
      </c>
      <c r="B13" s="30" t="s">
        <v>168</v>
      </c>
      <c r="C13" s="30" t="s">
        <v>169</v>
      </c>
      <c r="D13" s="30" t="s">
        <v>170</v>
      </c>
      <c r="E13" s="32">
        <v>0.54861111111111116</v>
      </c>
      <c r="F13" s="32">
        <v>0.63541666666666663</v>
      </c>
      <c r="G13" s="32">
        <v>0.64930555555555558</v>
      </c>
      <c r="H13" s="32"/>
      <c r="I13" s="32"/>
      <c r="J13" s="32">
        <f>MOD(Tabela39[[#This Row],[SAIDA LOJA 1]]-Tabela39[[#This Row],[CHD LOJA 1]], 1)</f>
        <v>1.3888888888888951E-2</v>
      </c>
      <c r="K13" s="9"/>
      <c r="L13" s="8"/>
      <c r="M13" s="8"/>
    </row>
    <row r="14" spans="1:13" x14ac:dyDescent="0.35">
      <c r="A14" s="28" t="s">
        <v>130</v>
      </c>
      <c r="B14" s="30" t="s">
        <v>168</v>
      </c>
      <c r="C14" s="30" t="s">
        <v>169</v>
      </c>
      <c r="D14" s="30" t="s">
        <v>170</v>
      </c>
      <c r="E14" s="32">
        <v>0.54861111111111116</v>
      </c>
      <c r="F14" s="32">
        <v>0.68402777777777779</v>
      </c>
      <c r="G14" s="32">
        <v>0.70486111111111116</v>
      </c>
      <c r="H14" s="32"/>
      <c r="I14" s="32"/>
      <c r="J14" s="32">
        <f>MOD(Tabela39[[#This Row],[SAIDA LOJA 1]]-Tabela39[[#This Row],[CHD LOJA 1]], 1)</f>
        <v>2.083333333333337E-2</v>
      </c>
      <c r="K14" s="9"/>
    </row>
    <row r="15" spans="1:13" x14ac:dyDescent="0.35">
      <c r="A15" s="28" t="s">
        <v>131</v>
      </c>
      <c r="B15" s="30" t="s">
        <v>168</v>
      </c>
      <c r="C15" s="30" t="s">
        <v>169</v>
      </c>
      <c r="D15" s="30" t="s">
        <v>170</v>
      </c>
      <c r="E15" s="32">
        <v>0.54861111111111116</v>
      </c>
      <c r="F15" s="32">
        <v>0.65972222222222221</v>
      </c>
      <c r="G15" s="32">
        <v>0.66666666666666663</v>
      </c>
      <c r="H15" s="32"/>
      <c r="I15" s="32"/>
      <c r="J15" s="32">
        <f>MOD(Tabela39[[#This Row],[SAIDA LOJA 1]]-Tabela39[[#This Row],[CHD LOJA 1]], 1)</f>
        <v>6.9444444444444198E-3</v>
      </c>
    </row>
    <row r="16" spans="1:13" x14ac:dyDescent="0.35">
      <c r="A16" s="28" t="s">
        <v>134</v>
      </c>
      <c r="B16" s="30" t="s">
        <v>168</v>
      </c>
      <c r="C16" s="30" t="s">
        <v>169</v>
      </c>
      <c r="D16" s="30" t="s">
        <v>170</v>
      </c>
      <c r="E16" s="32">
        <v>0.54861111111111116</v>
      </c>
      <c r="F16" s="32">
        <v>0.67013888888888884</v>
      </c>
      <c r="G16" s="32">
        <v>0.67708333333333337</v>
      </c>
      <c r="H16" s="32"/>
      <c r="I16" s="32"/>
      <c r="J16" s="32">
        <f>MOD(Tabela39[[#This Row],[SAIDA LOJA 1]]-Tabela39[[#This Row],[CHD LOJA 1]], 1)</f>
        <v>6.9444444444445308E-3</v>
      </c>
    </row>
    <row r="17" spans="1:14" x14ac:dyDescent="0.35">
      <c r="A17" s="28" t="s">
        <v>132</v>
      </c>
      <c r="B17" s="30" t="s">
        <v>164</v>
      </c>
      <c r="C17" s="30" t="s">
        <v>150</v>
      </c>
      <c r="D17" s="30" t="s">
        <v>151</v>
      </c>
      <c r="E17" s="32">
        <v>0.55208333333333337</v>
      </c>
      <c r="F17" s="32">
        <v>0.59722222222222221</v>
      </c>
      <c r="G17" s="32">
        <v>0.61458333333333337</v>
      </c>
      <c r="H17" s="32"/>
      <c r="I17" s="32"/>
      <c r="J17" s="32">
        <f>MOD(Tabela39[[#This Row],[SAIDA LOJA 1]]-Tabela39[[#This Row],[CHD LOJA 1]], 1)</f>
        <v>1.736111111111116E-2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22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ignoredErrors>
    <ignoredError sqref="C4:C17" numberStoredAsText="1"/>
  </ignoredErrors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1296-28AF-4AAE-8B91-525E7C94790F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D23" sqref="D23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143</v>
      </c>
      <c r="C4" s="30" t="s">
        <v>163</v>
      </c>
      <c r="D4" s="30" t="s">
        <v>148</v>
      </c>
      <c r="E4" s="32">
        <v>0.54513888888888884</v>
      </c>
      <c r="F4" s="32">
        <v>0.60416666666666663</v>
      </c>
      <c r="G4" s="32">
        <v>0.61805555555555558</v>
      </c>
      <c r="H4" s="32"/>
      <c r="I4" s="32"/>
      <c r="J4" s="32">
        <f>MOD(Tabela310[[#This Row],[SAIDA LOJA 1]]-Tabela310[[#This Row],[CHD LOJA 1]], 1)</f>
        <v>1.3888888888888951E-2</v>
      </c>
    </row>
    <row r="5" spans="1:13" x14ac:dyDescent="0.35">
      <c r="A5" s="28" t="s">
        <v>8</v>
      </c>
      <c r="B5" s="30" t="s">
        <v>143</v>
      </c>
      <c r="C5" s="30" t="s">
        <v>163</v>
      </c>
      <c r="D5" s="30" t="s">
        <v>148</v>
      </c>
      <c r="E5" s="32">
        <v>0.54513888888888884</v>
      </c>
      <c r="F5" s="32">
        <v>0.625</v>
      </c>
      <c r="G5" s="32">
        <v>0.63888888888888884</v>
      </c>
      <c r="H5" s="32"/>
      <c r="I5" s="32"/>
      <c r="J5" s="32">
        <f>MOD(Tabela310[[#This Row],[SAIDA LOJA 1]]-Tabela310[[#This Row],[CHD LOJA 1]], 1)</f>
        <v>1.388888888888884E-2</v>
      </c>
    </row>
    <row r="6" spans="1:13" s="4" customFormat="1" x14ac:dyDescent="0.35">
      <c r="A6" s="28" t="s">
        <v>9</v>
      </c>
      <c r="B6" s="30" t="s">
        <v>138</v>
      </c>
      <c r="C6" s="30" t="s">
        <v>139</v>
      </c>
      <c r="D6" s="30" t="s">
        <v>171</v>
      </c>
      <c r="E6" s="32" t="s">
        <v>160</v>
      </c>
      <c r="F6" s="32" t="s">
        <v>161</v>
      </c>
      <c r="G6" s="32" t="s">
        <v>162</v>
      </c>
      <c r="H6" s="32"/>
      <c r="I6" s="32"/>
      <c r="J6" s="32" t="e">
        <f>MOD(Tabela310[[#This Row],[SAIDA LOJA 1]]-Tabela310[[#This Row],[CHD LOJA 1]], 1)</f>
        <v>#VALUE!</v>
      </c>
      <c r="K6" s="1"/>
    </row>
    <row r="7" spans="1:13" s="4" customFormat="1" x14ac:dyDescent="0.35">
      <c r="A7" s="28" t="s">
        <v>10</v>
      </c>
      <c r="B7" s="30" t="s">
        <v>138</v>
      </c>
      <c r="C7" s="30" t="s">
        <v>139</v>
      </c>
      <c r="D7" s="30" t="s">
        <v>171</v>
      </c>
      <c r="E7" s="32" t="s">
        <v>160</v>
      </c>
      <c r="F7" s="32" t="s">
        <v>161</v>
      </c>
      <c r="G7" s="32" t="s">
        <v>162</v>
      </c>
      <c r="H7" s="32"/>
      <c r="I7" s="32"/>
      <c r="J7" s="32" t="e">
        <f>MOD(Tabela310[[#This Row],[SAIDA LOJA 1]]-Tabela310[[#This Row],[CHD LOJA 1]], 1)</f>
        <v>#VALUE!</v>
      </c>
      <c r="K7" s="1"/>
    </row>
    <row r="8" spans="1:13" x14ac:dyDescent="0.35">
      <c r="A8" s="28" t="s">
        <v>11</v>
      </c>
      <c r="B8" s="30" t="s">
        <v>147</v>
      </c>
      <c r="C8" s="30" t="s">
        <v>139</v>
      </c>
      <c r="D8" s="30" t="s">
        <v>177</v>
      </c>
      <c r="E8" s="32">
        <v>0.58680555555555558</v>
      </c>
      <c r="F8" s="32">
        <v>0.63541666666666663</v>
      </c>
      <c r="G8" s="32">
        <v>0.65625</v>
      </c>
      <c r="H8" s="32"/>
      <c r="I8" s="32"/>
      <c r="J8" s="32">
        <f>MOD(Tabela310[[#This Row],[SAIDA LOJA 1]]-Tabela310[[#This Row],[CHD LOJA 1]], 1)</f>
        <v>2.083333333333337E-2</v>
      </c>
    </row>
    <row r="9" spans="1:13" x14ac:dyDescent="0.35">
      <c r="A9" s="28" t="s">
        <v>12</v>
      </c>
      <c r="B9" s="30" t="s">
        <v>147</v>
      </c>
      <c r="C9" s="30" t="s">
        <v>139</v>
      </c>
      <c r="D9" s="30" t="s">
        <v>177</v>
      </c>
      <c r="E9" s="32">
        <v>0.58680555555555558</v>
      </c>
      <c r="F9" s="32">
        <v>0.65972222222222221</v>
      </c>
      <c r="G9" s="32">
        <v>0.73263888888888884</v>
      </c>
      <c r="H9" s="32"/>
      <c r="I9" s="32"/>
      <c r="J9" s="32">
        <f>MOD(Tabela310[[#This Row],[SAIDA LOJA 1]]-Tabela310[[#This Row],[CHD LOJA 1]], 1)</f>
        <v>7.291666666666663E-2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152</v>
      </c>
      <c r="E10" s="32">
        <v>0.58680555555555558</v>
      </c>
      <c r="F10" s="32">
        <v>0.65972222222222221</v>
      </c>
      <c r="G10" s="32">
        <v>0.69097222222222221</v>
      </c>
      <c r="H10" s="32"/>
      <c r="I10" s="32"/>
      <c r="J10" s="32">
        <f>MOD(Tabela310[[#This Row],[SAIDA LOJA 1]]-Tabela310[[#This Row],[CHD LOJA 1]], 1)</f>
        <v>3.125E-2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152</v>
      </c>
      <c r="E11" s="32">
        <v>0.58680555555555558</v>
      </c>
      <c r="F11" s="32">
        <v>0.75694444444444442</v>
      </c>
      <c r="G11" s="32">
        <v>0.76388888888888884</v>
      </c>
      <c r="H11" s="32"/>
      <c r="I11" s="32"/>
      <c r="J11" s="32">
        <f>MOD(Tabela310[[#This Row],[SAIDA LOJA 1]]-Tabela310[[#This Row],[CHD LOJA 1]], 1)</f>
        <v>6.9444444444444198E-3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152</v>
      </c>
      <c r="E12" s="32">
        <v>0.58680555555555558</v>
      </c>
      <c r="F12" s="32">
        <v>0.70138888888888884</v>
      </c>
      <c r="G12" s="32">
        <v>0.74305555555555558</v>
      </c>
      <c r="H12" s="32"/>
      <c r="I12" s="32"/>
      <c r="J12" s="32">
        <f>MOD(Tabela310[[#This Row],[SAIDA LOJA 1]]-Tabela310[[#This Row],[CHD LOJA 1]], 1)</f>
        <v>4.1666666666666741E-2</v>
      </c>
      <c r="K12" s="9"/>
      <c r="L12" s="8"/>
      <c r="M12" s="8"/>
    </row>
    <row r="13" spans="1:13" x14ac:dyDescent="0.35">
      <c r="A13" s="28" t="s">
        <v>16</v>
      </c>
      <c r="B13" s="30" t="s">
        <v>174</v>
      </c>
      <c r="C13" s="30" t="s">
        <v>175</v>
      </c>
      <c r="D13" s="30" t="s">
        <v>176</v>
      </c>
      <c r="E13" s="32" t="s">
        <v>160</v>
      </c>
      <c r="F13" s="32" t="s">
        <v>161</v>
      </c>
      <c r="G13" s="32" t="s">
        <v>162</v>
      </c>
      <c r="H13" s="32"/>
      <c r="I13" s="32"/>
      <c r="J13" s="32" t="e">
        <f>MOD(Tabela310[[#This Row],[SAIDA LOJA 1]]-Tabela310[[#This Row],[CHD LOJA 1]], 1)</f>
        <v>#VALUE!</v>
      </c>
      <c r="K13" s="9"/>
      <c r="L13" s="8"/>
      <c r="M13" s="8"/>
    </row>
    <row r="14" spans="1:13" x14ac:dyDescent="0.35">
      <c r="A14" s="28" t="s">
        <v>130</v>
      </c>
      <c r="B14" s="30" t="s">
        <v>174</v>
      </c>
      <c r="C14" s="30" t="s">
        <v>175</v>
      </c>
      <c r="D14" s="30" t="s">
        <v>176</v>
      </c>
      <c r="E14" s="32" t="s">
        <v>160</v>
      </c>
      <c r="F14" s="32" t="s">
        <v>161</v>
      </c>
      <c r="G14" s="32" t="s">
        <v>162</v>
      </c>
      <c r="H14" s="32"/>
      <c r="I14" s="32"/>
      <c r="J14" s="32" t="e">
        <f>MOD(Tabela310[[#This Row],[SAIDA LOJA 1]]-Tabela310[[#This Row],[CHD LOJA 1]], 1)</f>
        <v>#VALUE!</v>
      </c>
      <c r="K14" s="9"/>
    </row>
    <row r="15" spans="1:13" x14ac:dyDescent="0.35">
      <c r="A15" s="28" t="s">
        <v>131</v>
      </c>
      <c r="B15" s="30" t="s">
        <v>174</v>
      </c>
      <c r="C15" s="30" t="s">
        <v>175</v>
      </c>
      <c r="D15" s="30" t="s">
        <v>176</v>
      </c>
      <c r="E15" s="32" t="s">
        <v>160</v>
      </c>
      <c r="F15" s="32" t="s">
        <v>161</v>
      </c>
      <c r="G15" s="32" t="s">
        <v>162</v>
      </c>
      <c r="H15" s="32"/>
      <c r="I15" s="32"/>
      <c r="J15" s="32" t="e">
        <f>MOD(Tabela310[[#This Row],[SAIDA LOJA 1]]-Tabela310[[#This Row],[CHD LOJA 1]], 1)</f>
        <v>#VALUE!</v>
      </c>
    </row>
    <row r="16" spans="1:13" x14ac:dyDescent="0.35">
      <c r="A16" s="28" t="s">
        <v>134</v>
      </c>
      <c r="B16" s="30" t="s">
        <v>174</v>
      </c>
      <c r="C16" s="30" t="s">
        <v>175</v>
      </c>
      <c r="D16" s="30" t="s">
        <v>176</v>
      </c>
      <c r="E16" s="32" t="s">
        <v>160</v>
      </c>
      <c r="F16" s="32" t="s">
        <v>161</v>
      </c>
      <c r="G16" s="32" t="s">
        <v>162</v>
      </c>
      <c r="H16" s="32"/>
      <c r="I16" s="32"/>
      <c r="J16" s="32" t="e">
        <f>MOD(Tabela310[[#This Row],[SAIDA LOJA 1]]-Tabela310[[#This Row],[CHD LOJA 1]], 1)</f>
        <v>#VALUE!</v>
      </c>
    </row>
    <row r="17" spans="1:14" x14ac:dyDescent="0.35">
      <c r="A17" s="28" t="s">
        <v>132</v>
      </c>
      <c r="B17" s="30" t="s">
        <v>164</v>
      </c>
      <c r="C17" s="30" t="s">
        <v>150</v>
      </c>
      <c r="D17" s="30" t="s">
        <v>151</v>
      </c>
      <c r="E17" s="32" t="s">
        <v>160</v>
      </c>
      <c r="F17" s="32" t="s">
        <v>161</v>
      </c>
      <c r="G17" s="32" t="s">
        <v>162</v>
      </c>
      <c r="H17" s="32"/>
      <c r="I17" s="32"/>
      <c r="J17" s="32" t="e">
        <f>MOD(Tabela310[[#This Row],[SAIDA LOJA 1]]-Tabela310[[#This Row],[CHD LOJA 1]], 1)</f>
        <v>#VALUE!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21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ignoredErrors>
    <ignoredError sqref="C4:C17" numberStoredAsText="1"/>
  </ignoredErrors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5B04-801D-47A7-8186-7BE9049D2681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E24" sqref="E24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180</v>
      </c>
      <c r="C4" s="30" t="s">
        <v>163</v>
      </c>
      <c r="D4" s="30" t="s">
        <v>148</v>
      </c>
      <c r="E4" s="32">
        <v>0.51736111111111116</v>
      </c>
      <c r="F4" s="32">
        <v>0.58333333333333337</v>
      </c>
      <c r="G4" s="32">
        <v>0.59375</v>
      </c>
      <c r="H4" s="32"/>
      <c r="I4" s="32"/>
      <c r="J4" s="32">
        <f>MOD(Tabela311[[#This Row],[SAIDA LOJA 1]]-Tabela311[[#This Row],[CHD LOJA 1]], 1)</f>
        <v>1.041666666666663E-2</v>
      </c>
    </row>
    <row r="5" spans="1:13" x14ac:dyDescent="0.35">
      <c r="A5" s="28" t="s">
        <v>8</v>
      </c>
      <c r="B5" s="30" t="s">
        <v>180</v>
      </c>
      <c r="C5" s="30" t="s">
        <v>163</v>
      </c>
      <c r="D5" s="30" t="s">
        <v>148</v>
      </c>
      <c r="E5" s="32">
        <v>0.51736111111111116</v>
      </c>
      <c r="F5" s="32">
        <v>0.59722222222222221</v>
      </c>
      <c r="G5" s="32">
        <v>0.60416666666666663</v>
      </c>
      <c r="H5" s="32"/>
      <c r="I5" s="32"/>
      <c r="J5" s="32">
        <f>MOD(Tabela311[[#This Row],[SAIDA LOJA 1]]-Tabela311[[#This Row],[CHD LOJA 1]], 1)</f>
        <v>6.9444444444444198E-3</v>
      </c>
    </row>
    <row r="6" spans="1:13" s="4" customFormat="1" x14ac:dyDescent="0.35">
      <c r="A6" s="28" t="s">
        <v>9</v>
      </c>
      <c r="B6" s="30" t="s">
        <v>179</v>
      </c>
      <c r="C6" s="30" t="s">
        <v>139</v>
      </c>
      <c r="D6" s="30" t="s">
        <v>182</v>
      </c>
      <c r="E6" s="32">
        <v>0.58333333333333337</v>
      </c>
      <c r="F6" s="32">
        <v>0.66666666666666663</v>
      </c>
      <c r="G6" s="32">
        <v>0.68402777777777779</v>
      </c>
      <c r="H6" s="32"/>
      <c r="I6" s="32"/>
      <c r="J6" s="32">
        <f>MOD(Tabela311[[#This Row],[SAIDA LOJA 1]]-Tabela311[[#This Row],[CHD LOJA 1]], 1)</f>
        <v>1.736111111111116E-2</v>
      </c>
      <c r="K6" s="1"/>
    </row>
    <row r="7" spans="1:13" s="4" customFormat="1" x14ac:dyDescent="0.35">
      <c r="A7" s="28" t="s">
        <v>10</v>
      </c>
      <c r="B7" s="30" t="s">
        <v>179</v>
      </c>
      <c r="C7" s="30" t="s">
        <v>139</v>
      </c>
      <c r="D7" s="30" t="s">
        <v>182</v>
      </c>
      <c r="E7" s="32">
        <v>0.58333333333333337</v>
      </c>
      <c r="F7" s="32">
        <v>0.70138888888888884</v>
      </c>
      <c r="G7" s="32">
        <v>0.72569444444444442</v>
      </c>
      <c r="H7" s="32"/>
      <c r="I7" s="32"/>
      <c r="J7" s="32">
        <f>MOD(Tabela311[[#This Row],[SAIDA LOJA 1]]-Tabela311[[#This Row],[CHD LOJA 1]], 1)</f>
        <v>2.430555555555558E-2</v>
      </c>
      <c r="K7" s="1"/>
    </row>
    <row r="8" spans="1:13" x14ac:dyDescent="0.35">
      <c r="A8" s="28" t="s">
        <v>11</v>
      </c>
      <c r="B8" s="30" t="s">
        <v>181</v>
      </c>
      <c r="C8" s="30" t="s">
        <v>139</v>
      </c>
      <c r="D8" s="30" t="s">
        <v>171</v>
      </c>
      <c r="E8" s="32">
        <v>0.54166666666666663</v>
      </c>
      <c r="F8" s="32">
        <v>0.60416666666666663</v>
      </c>
      <c r="G8" s="32">
        <v>0.625</v>
      </c>
      <c r="H8" s="32"/>
      <c r="I8" s="32"/>
      <c r="J8" s="32">
        <f>MOD(Tabela311[[#This Row],[SAIDA LOJA 1]]-Tabela311[[#This Row],[CHD LOJA 1]], 1)</f>
        <v>2.083333333333337E-2</v>
      </c>
    </row>
    <row r="9" spans="1:13" x14ac:dyDescent="0.35">
      <c r="A9" s="28" t="s">
        <v>12</v>
      </c>
      <c r="B9" s="30" t="s">
        <v>181</v>
      </c>
      <c r="C9" s="30" t="s">
        <v>139</v>
      </c>
      <c r="D9" s="30" t="s">
        <v>171</v>
      </c>
      <c r="E9" s="32">
        <v>0.54166666666666663</v>
      </c>
      <c r="F9" s="32">
        <v>0.62847222222222221</v>
      </c>
      <c r="G9" s="32">
        <v>0.67708333333333337</v>
      </c>
      <c r="H9" s="32"/>
      <c r="I9" s="32"/>
      <c r="J9" s="32">
        <f>MOD(Tabela311[[#This Row],[SAIDA LOJA 1]]-Tabela311[[#This Row],[CHD LOJA 1]], 1)</f>
        <v>4.861111111111116E-2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152</v>
      </c>
      <c r="E10" s="32">
        <v>0.53472222222222221</v>
      </c>
      <c r="F10" s="32">
        <v>0.64236111111111116</v>
      </c>
      <c r="G10" s="32">
        <v>0.65972222222222221</v>
      </c>
      <c r="H10" s="32"/>
      <c r="I10" s="32"/>
      <c r="J10" s="32">
        <f>MOD(Tabela311[[#This Row],[SAIDA LOJA 1]]-Tabela311[[#This Row],[CHD LOJA 1]], 1)</f>
        <v>1.7361111111111049E-2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152</v>
      </c>
      <c r="E11" s="32">
        <v>0.53472222222222221</v>
      </c>
      <c r="F11" s="32">
        <v>0.61458333333333337</v>
      </c>
      <c r="G11" s="32">
        <v>0.63888888888888884</v>
      </c>
      <c r="H11" s="32"/>
      <c r="I11" s="32"/>
      <c r="J11" s="32">
        <f>MOD(Tabela311[[#This Row],[SAIDA LOJA 1]]-Tabela311[[#This Row],[CHD LOJA 1]], 1)</f>
        <v>2.4305555555555469E-2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152</v>
      </c>
      <c r="E12" s="32">
        <v>0.53472222222222221</v>
      </c>
      <c r="F12" s="32">
        <v>0.67361111111111116</v>
      </c>
      <c r="G12" s="32">
        <v>0.69791666666666663</v>
      </c>
      <c r="H12" s="32"/>
      <c r="I12" s="32"/>
      <c r="J12" s="32">
        <f>MOD(Tabela311[[#This Row],[SAIDA LOJA 1]]-Tabela311[[#This Row],[CHD LOJA 1]], 1)</f>
        <v>2.4305555555555469E-2</v>
      </c>
      <c r="K12" s="9"/>
      <c r="L12" s="8"/>
      <c r="M12" s="8"/>
    </row>
    <row r="13" spans="1:13" x14ac:dyDescent="0.35">
      <c r="A13" s="28" t="s">
        <v>16</v>
      </c>
      <c r="B13" s="30" t="s">
        <v>138</v>
      </c>
      <c r="C13" s="30" t="s">
        <v>178</v>
      </c>
      <c r="D13" s="30" t="s">
        <v>144</v>
      </c>
      <c r="E13" s="32">
        <v>0.53472222222222221</v>
      </c>
      <c r="F13" s="32">
        <v>0.59375</v>
      </c>
      <c r="G13" s="32">
        <v>0.61111111111111116</v>
      </c>
      <c r="H13" s="32"/>
      <c r="I13" s="32"/>
      <c r="J13" s="32">
        <f>MOD(Tabela311[[#This Row],[SAIDA LOJA 1]]-Tabela311[[#This Row],[CHD LOJA 1]], 1)</f>
        <v>1.736111111111116E-2</v>
      </c>
      <c r="K13" s="9"/>
      <c r="L13" s="8"/>
      <c r="M13" s="8"/>
    </row>
    <row r="14" spans="1:13" x14ac:dyDescent="0.35">
      <c r="A14" s="28" t="s">
        <v>130</v>
      </c>
      <c r="B14" s="30" t="s">
        <v>138</v>
      </c>
      <c r="C14" s="30" t="s">
        <v>178</v>
      </c>
      <c r="D14" s="30" t="s">
        <v>144</v>
      </c>
      <c r="E14" s="32">
        <v>0.53472222222222221</v>
      </c>
      <c r="F14" s="32">
        <v>0.65972222222222221</v>
      </c>
      <c r="G14" s="32">
        <v>0.71180555555555558</v>
      </c>
      <c r="H14" s="32"/>
      <c r="I14" s="32"/>
      <c r="J14" s="32">
        <f>MOD(Tabela311[[#This Row],[SAIDA LOJA 1]]-Tabela311[[#This Row],[CHD LOJA 1]], 1)</f>
        <v>5.208333333333337E-2</v>
      </c>
      <c r="K14" s="9"/>
    </row>
    <row r="15" spans="1:13" x14ac:dyDescent="0.35">
      <c r="A15" s="28" t="s">
        <v>131</v>
      </c>
      <c r="B15" s="30" t="s">
        <v>138</v>
      </c>
      <c r="C15" s="30" t="s">
        <v>178</v>
      </c>
      <c r="D15" s="30" t="s">
        <v>144</v>
      </c>
      <c r="E15" s="32">
        <v>0.53472222222222221</v>
      </c>
      <c r="F15" s="32">
        <v>0.62152777777777779</v>
      </c>
      <c r="G15" s="32">
        <v>0.62847222222222221</v>
      </c>
      <c r="H15" s="32"/>
      <c r="I15" s="32"/>
      <c r="J15" s="32">
        <f>MOD(Tabela311[[#This Row],[SAIDA LOJA 1]]-Tabela311[[#This Row],[CHD LOJA 1]], 1)</f>
        <v>6.9444444444444198E-3</v>
      </c>
    </row>
    <row r="16" spans="1:13" x14ac:dyDescent="0.35">
      <c r="A16" s="28" t="s">
        <v>134</v>
      </c>
      <c r="B16" s="30" t="s">
        <v>138</v>
      </c>
      <c r="C16" s="30" t="s">
        <v>178</v>
      </c>
      <c r="D16" s="30" t="s">
        <v>144</v>
      </c>
      <c r="E16" s="32">
        <v>0.53472222222222221</v>
      </c>
      <c r="F16" s="32">
        <v>0.63194444444444442</v>
      </c>
      <c r="G16" s="32">
        <v>0.63888888888888884</v>
      </c>
      <c r="H16" s="32"/>
      <c r="I16" s="32"/>
      <c r="J16" s="32">
        <f>MOD(Tabela311[[#This Row],[SAIDA LOJA 1]]-Tabela311[[#This Row],[CHD LOJA 1]], 1)</f>
        <v>6.9444444444444198E-3</v>
      </c>
    </row>
    <row r="17" spans="1:14" x14ac:dyDescent="0.35">
      <c r="A17" s="28" t="s">
        <v>132</v>
      </c>
      <c r="B17" s="30" t="s">
        <v>164</v>
      </c>
      <c r="C17" s="30" t="s">
        <v>150</v>
      </c>
      <c r="D17" s="30" t="s">
        <v>151</v>
      </c>
      <c r="E17" s="32">
        <v>0.51736111111111116</v>
      </c>
      <c r="F17" s="32">
        <v>0.54861111111111116</v>
      </c>
      <c r="G17" s="32">
        <v>0.56597222222222221</v>
      </c>
      <c r="H17" s="32"/>
      <c r="I17" s="32"/>
      <c r="J17" s="32">
        <f>MOD(Tabela311[[#This Row],[SAIDA LOJA 1]]-Tabela311[[#This Row],[CHD LOJA 1]], 1)</f>
        <v>1.7361111111111049E-2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20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9E25-2688-4A70-A8C4-69158AF7226D}">
  <sheetPr>
    <pageSetUpPr fitToPage="1"/>
  </sheetPr>
  <dimension ref="A1:N71"/>
  <sheetViews>
    <sheetView showGridLines="0" topLeftCell="B1" zoomScale="70" zoomScaleNormal="70" workbookViewId="0">
      <pane ySplit="2" topLeftCell="A3" activePane="bottomLeft" state="frozen"/>
      <selection pane="bottomLeft" activeCell="J18" sqref="J18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 t="s">
        <v>143</v>
      </c>
      <c r="C4" s="30" t="s">
        <v>163</v>
      </c>
      <c r="D4" s="30" t="s">
        <v>148</v>
      </c>
      <c r="E4" s="32">
        <v>0.51736111111111116</v>
      </c>
      <c r="F4" s="32">
        <v>0.57291666666666663</v>
      </c>
      <c r="G4" s="32">
        <v>0.57986111111111116</v>
      </c>
      <c r="H4" s="32"/>
      <c r="I4" s="32"/>
      <c r="J4" s="32">
        <f>MOD(Tabela312[[#This Row],[SAIDA LOJA 1]]-Tabela312[[#This Row],[CHD LOJA 1]], 1)</f>
        <v>6.9444444444445308E-3</v>
      </c>
    </row>
    <row r="5" spans="1:13" x14ac:dyDescent="0.35">
      <c r="A5" s="28" t="s">
        <v>8</v>
      </c>
      <c r="B5" s="30" t="s">
        <v>143</v>
      </c>
      <c r="C5" s="30" t="s">
        <v>163</v>
      </c>
      <c r="D5" s="30" t="s">
        <v>148</v>
      </c>
      <c r="E5" s="32">
        <v>0.51736111111111116</v>
      </c>
      <c r="F5" s="32">
        <v>0.58680555555555558</v>
      </c>
      <c r="G5" s="32">
        <v>0.60069444444444442</v>
      </c>
      <c r="H5" s="32"/>
      <c r="I5" s="32"/>
      <c r="J5" s="32">
        <f>MOD(Tabela312[[#This Row],[SAIDA LOJA 1]]-Tabela312[[#This Row],[CHD LOJA 1]], 1)</f>
        <v>1.388888888888884E-2</v>
      </c>
    </row>
    <row r="6" spans="1:13" s="4" customFormat="1" x14ac:dyDescent="0.35">
      <c r="A6" s="28" t="s">
        <v>9</v>
      </c>
      <c r="B6" s="30" t="s">
        <v>179</v>
      </c>
      <c r="C6" s="30" t="s">
        <v>139</v>
      </c>
      <c r="D6" s="30" t="s">
        <v>182</v>
      </c>
      <c r="E6" s="32">
        <v>0.54861111111111116</v>
      </c>
      <c r="F6" s="32">
        <v>0.73263888888888884</v>
      </c>
      <c r="G6" s="32">
        <v>0.74652777777777779</v>
      </c>
      <c r="H6" s="32"/>
      <c r="I6" s="32"/>
      <c r="J6" s="32">
        <f>MOD(Tabela312[[#This Row],[SAIDA LOJA 1]]-Tabela312[[#This Row],[CHD LOJA 1]], 1)</f>
        <v>1.3888888888888951E-2</v>
      </c>
      <c r="K6" s="1"/>
    </row>
    <row r="7" spans="1:13" s="4" customFormat="1" x14ac:dyDescent="0.35">
      <c r="A7" s="28" t="s">
        <v>10</v>
      </c>
      <c r="B7" s="30" t="s">
        <v>179</v>
      </c>
      <c r="C7" s="30" t="s">
        <v>139</v>
      </c>
      <c r="D7" s="30" t="s">
        <v>182</v>
      </c>
      <c r="E7" s="32">
        <v>0.54861111111111116</v>
      </c>
      <c r="F7" s="32">
        <v>0.67708333333333337</v>
      </c>
      <c r="G7" s="32">
        <v>0.69097222222222221</v>
      </c>
      <c r="H7" s="32"/>
      <c r="I7" s="32"/>
      <c r="J7" s="32">
        <f>MOD(Tabela312[[#This Row],[SAIDA LOJA 1]]-Tabela312[[#This Row],[CHD LOJA 1]], 1)</f>
        <v>1.388888888888884E-2</v>
      </c>
      <c r="K7" s="1"/>
    </row>
    <row r="8" spans="1:13" x14ac:dyDescent="0.35">
      <c r="A8" s="28" t="s">
        <v>11</v>
      </c>
      <c r="B8" s="30" t="s">
        <v>181</v>
      </c>
      <c r="C8" s="30" t="s">
        <v>139</v>
      </c>
      <c r="D8" s="30" t="s">
        <v>171</v>
      </c>
      <c r="E8" s="32">
        <v>0.51736111111111116</v>
      </c>
      <c r="F8" s="32">
        <v>0.55902777777777779</v>
      </c>
      <c r="G8" s="32">
        <v>0.57291666666666663</v>
      </c>
      <c r="H8" s="32"/>
      <c r="I8" s="32"/>
      <c r="J8" s="32">
        <f>MOD(Tabela312[[#This Row],[SAIDA LOJA 1]]-Tabela312[[#This Row],[CHD LOJA 1]], 1)</f>
        <v>1.388888888888884E-2</v>
      </c>
    </row>
    <row r="9" spans="1:13" x14ac:dyDescent="0.35">
      <c r="A9" s="28" t="s">
        <v>12</v>
      </c>
      <c r="B9" s="30" t="s">
        <v>181</v>
      </c>
      <c r="C9" s="30" t="s">
        <v>139</v>
      </c>
      <c r="D9" s="30" t="s">
        <v>171</v>
      </c>
      <c r="E9" s="32">
        <v>0.51736111111111116</v>
      </c>
      <c r="F9" s="32">
        <v>0.57638888888888884</v>
      </c>
      <c r="G9" s="32">
        <v>0.62152777777777779</v>
      </c>
      <c r="H9" s="32"/>
      <c r="I9" s="32"/>
      <c r="J9" s="32">
        <f>MOD(Tabela312[[#This Row],[SAIDA LOJA 1]]-Tabela312[[#This Row],[CHD LOJA 1]], 1)</f>
        <v>4.5138888888888951E-2</v>
      </c>
    </row>
    <row r="10" spans="1:13" x14ac:dyDescent="0.35">
      <c r="A10" s="28" t="s">
        <v>13</v>
      </c>
      <c r="B10" s="30" t="s">
        <v>145</v>
      </c>
      <c r="C10" s="30" t="s">
        <v>139</v>
      </c>
      <c r="D10" s="30" t="s">
        <v>152</v>
      </c>
      <c r="E10" s="32">
        <v>0.53472222222222221</v>
      </c>
      <c r="F10" s="32">
        <v>0.61458333333333337</v>
      </c>
      <c r="G10" s="32">
        <v>0.625</v>
      </c>
      <c r="H10" s="32"/>
      <c r="I10" s="32"/>
      <c r="J10" s="32">
        <f>MOD(Tabela312[[#This Row],[SAIDA LOJA 1]]-Tabela312[[#This Row],[CHD LOJA 1]], 1)</f>
        <v>1.041666666666663E-2</v>
      </c>
    </row>
    <row r="11" spans="1:13" s="4" customFormat="1" x14ac:dyDescent="0.35">
      <c r="A11" s="28" t="s">
        <v>14</v>
      </c>
      <c r="B11" s="30" t="s">
        <v>145</v>
      </c>
      <c r="C11" s="30" t="s">
        <v>139</v>
      </c>
      <c r="D11" s="30" t="s">
        <v>152</v>
      </c>
      <c r="E11" s="32">
        <v>0.53472222222222221</v>
      </c>
      <c r="F11" s="32">
        <v>0.59375</v>
      </c>
      <c r="G11" s="32">
        <v>0.60763888888888884</v>
      </c>
      <c r="H11" s="32"/>
      <c r="I11" s="32"/>
      <c r="J11" s="32">
        <f>MOD(Tabela312[[#This Row],[SAIDA LOJA 1]]-Tabela312[[#This Row],[CHD LOJA 1]], 1)</f>
        <v>1.388888888888884E-2</v>
      </c>
      <c r="K11" s="9"/>
      <c r="L11" s="8"/>
      <c r="M11" s="8"/>
    </row>
    <row r="12" spans="1:13" s="4" customFormat="1" x14ac:dyDescent="0.35">
      <c r="A12" s="28" t="s">
        <v>15</v>
      </c>
      <c r="B12" s="30" t="s">
        <v>145</v>
      </c>
      <c r="C12" s="30" t="s">
        <v>139</v>
      </c>
      <c r="D12" s="30" t="s">
        <v>152</v>
      </c>
      <c r="E12" s="32">
        <v>0.53472222222222221</v>
      </c>
      <c r="F12" s="32">
        <v>0.63194444444444442</v>
      </c>
      <c r="G12" s="32">
        <v>0.65972222222222221</v>
      </c>
      <c r="H12" s="32"/>
      <c r="I12" s="32"/>
      <c r="J12" s="32">
        <f>MOD(Tabela312[[#This Row],[SAIDA LOJA 1]]-Tabela312[[#This Row],[CHD LOJA 1]], 1)</f>
        <v>2.777777777777779E-2</v>
      </c>
      <c r="K12" s="9"/>
      <c r="L12" s="8"/>
      <c r="M12" s="8"/>
    </row>
    <row r="13" spans="1:13" x14ac:dyDescent="0.35">
      <c r="A13" s="28" t="s">
        <v>16</v>
      </c>
      <c r="B13" s="30" t="s">
        <v>138</v>
      </c>
      <c r="C13" s="30" t="s">
        <v>183</v>
      </c>
      <c r="D13" s="30" t="s">
        <v>155</v>
      </c>
      <c r="E13" s="32">
        <v>0.53819444444444442</v>
      </c>
      <c r="F13" s="32">
        <v>0.59375</v>
      </c>
      <c r="G13" s="32">
        <v>0.61111111111111116</v>
      </c>
      <c r="H13" s="32"/>
      <c r="I13" s="32"/>
      <c r="J13" s="32">
        <f>MOD(Tabela312[[#This Row],[SAIDA LOJA 1]]-Tabela312[[#This Row],[CHD LOJA 1]], 1)</f>
        <v>1.736111111111116E-2</v>
      </c>
      <c r="K13" s="9"/>
      <c r="L13" s="8"/>
      <c r="M13" s="8"/>
    </row>
    <row r="14" spans="1:13" x14ac:dyDescent="0.35">
      <c r="A14" s="28" t="s">
        <v>130</v>
      </c>
      <c r="B14" s="30" t="s">
        <v>138</v>
      </c>
      <c r="C14" s="30" t="s">
        <v>183</v>
      </c>
      <c r="D14" s="30" t="s">
        <v>155</v>
      </c>
      <c r="E14" s="32">
        <v>0.53819444444444442</v>
      </c>
      <c r="F14" s="32">
        <v>0.61805555555555558</v>
      </c>
      <c r="G14" s="32">
        <v>0.625</v>
      </c>
      <c r="H14" s="32"/>
      <c r="I14" s="32"/>
      <c r="J14" s="32">
        <f>MOD(Tabela312[[#This Row],[SAIDA LOJA 1]]-Tabela312[[#This Row],[CHD LOJA 1]], 1)</f>
        <v>6.9444444444444198E-3</v>
      </c>
      <c r="K14" s="9"/>
    </row>
    <row r="15" spans="1:13" x14ac:dyDescent="0.35">
      <c r="A15" s="28" t="s">
        <v>131</v>
      </c>
      <c r="B15" s="30" t="s">
        <v>138</v>
      </c>
      <c r="C15" s="30" t="s">
        <v>183</v>
      </c>
      <c r="D15" s="30" t="s">
        <v>155</v>
      </c>
      <c r="E15" s="32">
        <v>0.53819444444444442</v>
      </c>
      <c r="F15" s="32">
        <v>0.62847222222222221</v>
      </c>
      <c r="G15" s="32">
        <v>0.63888888888888884</v>
      </c>
      <c r="H15" s="32"/>
      <c r="I15" s="32"/>
      <c r="J15" s="32">
        <f>MOD(Tabela312[[#This Row],[SAIDA LOJA 1]]-Tabela312[[#This Row],[CHD LOJA 1]], 1)</f>
        <v>1.041666666666663E-2</v>
      </c>
    </row>
    <row r="16" spans="1:13" x14ac:dyDescent="0.35">
      <c r="A16" s="28" t="s">
        <v>134</v>
      </c>
      <c r="B16" s="30" t="s">
        <v>138</v>
      </c>
      <c r="C16" s="30" t="s">
        <v>183</v>
      </c>
      <c r="D16" s="30" t="s">
        <v>155</v>
      </c>
      <c r="E16" s="32">
        <v>0.53819444444444442</v>
      </c>
      <c r="F16" s="32">
        <v>0.64930555555555558</v>
      </c>
      <c r="G16" s="32">
        <v>0.70138888888888884</v>
      </c>
      <c r="H16" s="32"/>
      <c r="I16" s="32"/>
      <c r="J16" s="32">
        <f>MOD(Tabela312[[#This Row],[SAIDA LOJA 1]]-Tabela312[[#This Row],[CHD LOJA 1]], 1)</f>
        <v>5.2083333333333259E-2</v>
      </c>
    </row>
    <row r="17" spans="1:14" x14ac:dyDescent="0.35">
      <c r="A17" s="28" t="s">
        <v>132</v>
      </c>
      <c r="B17" s="30" t="s">
        <v>164</v>
      </c>
      <c r="C17" s="30" t="s">
        <v>150</v>
      </c>
      <c r="D17" s="30" t="s">
        <v>151</v>
      </c>
      <c r="E17" s="32" t="s">
        <v>160</v>
      </c>
      <c r="F17" s="32" t="s">
        <v>161</v>
      </c>
      <c r="G17" s="32" t="s">
        <v>162</v>
      </c>
      <c r="H17" s="32"/>
      <c r="I17" s="32"/>
      <c r="J17" s="32">
        <v>0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19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ignoredErrors>
    <ignoredError sqref="C4:C17" numberStoredAsText="1"/>
  </ignoredErrors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03EE-CB2E-4DD0-93EA-420FC7FA9EE1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G18" sqref="G18"/>
    </sheetView>
  </sheetViews>
  <sheetFormatPr defaultColWidth="9" defaultRowHeight="23.25" x14ac:dyDescent="0.35"/>
  <cols>
    <col min="1" max="1" width="48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184</v>
      </c>
      <c r="B4" s="30" t="s">
        <v>138</v>
      </c>
      <c r="C4" s="30" t="s">
        <v>138</v>
      </c>
      <c r="D4" s="30" t="s">
        <v>185</v>
      </c>
      <c r="E4" s="32">
        <v>0.53125</v>
      </c>
      <c r="F4" s="32">
        <v>0.64583333333333337</v>
      </c>
      <c r="G4" s="32">
        <v>0.69791666666666663</v>
      </c>
      <c r="H4" s="32"/>
      <c r="I4" s="32"/>
      <c r="J4" s="32">
        <f>MOD(Tabela313[[#This Row],[SAIDA LOJA 1]]-Tabela313[[#This Row],[CHD LOJA 1]], 1)</f>
        <v>5.2083333333333259E-2</v>
      </c>
    </row>
    <row r="5" spans="1:13" x14ac:dyDescent="0.35">
      <c r="A5" s="28" t="s">
        <v>186</v>
      </c>
      <c r="B5" s="30" t="s">
        <v>138</v>
      </c>
      <c r="C5" s="30" t="s">
        <v>138</v>
      </c>
      <c r="D5" s="30" t="s">
        <v>185</v>
      </c>
      <c r="E5" s="32">
        <v>0.53125</v>
      </c>
      <c r="F5" s="32">
        <v>0.59722222222222221</v>
      </c>
      <c r="G5" s="32">
        <v>0.60763888888888884</v>
      </c>
      <c r="H5" s="32"/>
      <c r="I5" s="32"/>
      <c r="J5" s="32">
        <f>MOD(Tabela313[[#This Row],[SAIDA LOJA 1]]-Tabela313[[#This Row],[CHD LOJA 1]], 1)</f>
        <v>1.041666666666663E-2</v>
      </c>
    </row>
    <row r="6" spans="1:13" s="4" customFormat="1" x14ac:dyDescent="0.35">
      <c r="A6" s="28" t="s">
        <v>187</v>
      </c>
      <c r="B6" s="30" t="s">
        <v>138</v>
      </c>
      <c r="C6" s="30" t="s">
        <v>138</v>
      </c>
      <c r="D6" s="30" t="s">
        <v>185</v>
      </c>
      <c r="E6" s="32">
        <v>0.53125</v>
      </c>
      <c r="F6" s="32">
        <v>0.61111111111111116</v>
      </c>
      <c r="G6" s="32">
        <v>0.62152777777777779</v>
      </c>
      <c r="H6" s="32"/>
      <c r="I6" s="32"/>
      <c r="J6" s="32">
        <f>MOD(Tabela313[[#This Row],[SAIDA LOJA 1]]-Tabela313[[#This Row],[CHD LOJA 1]], 1)</f>
        <v>1.041666666666663E-2</v>
      </c>
      <c r="K6" s="1"/>
    </row>
    <row r="7" spans="1:13" s="4" customFormat="1" x14ac:dyDescent="0.35">
      <c r="A7" s="28" t="s">
        <v>188</v>
      </c>
      <c r="B7" s="30" t="s">
        <v>138</v>
      </c>
      <c r="C7" s="30" t="s">
        <v>138</v>
      </c>
      <c r="D7" s="30" t="s">
        <v>185</v>
      </c>
      <c r="E7" s="32">
        <v>0.53125</v>
      </c>
      <c r="F7" s="32">
        <v>0.625</v>
      </c>
      <c r="G7" s="32">
        <v>0.63888888888888884</v>
      </c>
      <c r="H7" s="32"/>
      <c r="I7" s="32"/>
      <c r="J7" s="32">
        <f>MOD(Tabela313[[#This Row],[SAIDA LOJA 1]]-Tabela313[[#This Row],[CHD LOJA 1]], 1)</f>
        <v>1.388888888888884E-2</v>
      </c>
      <c r="K7" s="1"/>
    </row>
    <row r="8" spans="1:13" x14ac:dyDescent="0.35">
      <c r="A8" s="28" t="s">
        <v>189</v>
      </c>
      <c r="B8" s="30" t="s">
        <v>154</v>
      </c>
      <c r="C8" s="30" t="s">
        <v>154</v>
      </c>
      <c r="D8" s="30" t="s">
        <v>166</v>
      </c>
      <c r="E8" s="32">
        <v>0.56597222222222221</v>
      </c>
      <c r="F8" s="32">
        <v>0.64236111111111116</v>
      </c>
      <c r="G8" s="32">
        <v>0.65277777777777779</v>
      </c>
      <c r="H8" s="32"/>
      <c r="I8" s="32"/>
      <c r="J8" s="32">
        <f>MOD(Tabela313[[#This Row],[SAIDA LOJA 1]]-Tabela313[[#This Row],[CHD LOJA 1]], 1)</f>
        <v>1.041666666666663E-2</v>
      </c>
    </row>
    <row r="9" spans="1:13" x14ac:dyDescent="0.35">
      <c r="A9" s="28" t="s">
        <v>190</v>
      </c>
      <c r="B9" s="30" t="s">
        <v>154</v>
      </c>
      <c r="C9" s="30" t="s">
        <v>154</v>
      </c>
      <c r="D9" s="30" t="s">
        <v>166</v>
      </c>
      <c r="E9" s="32">
        <v>0.56597222222222221</v>
      </c>
      <c r="F9" s="32">
        <v>0.67361111111111116</v>
      </c>
      <c r="G9" s="32">
        <v>0.69444444444444442</v>
      </c>
      <c r="H9" s="32"/>
      <c r="I9" s="32"/>
      <c r="J9" s="32">
        <f>MOD(Tabela313[[#This Row],[SAIDA LOJA 1]]-Tabela313[[#This Row],[CHD LOJA 1]], 1)</f>
        <v>2.0833333333333259E-2</v>
      </c>
    </row>
    <row r="10" spans="1:13" x14ac:dyDescent="0.35">
      <c r="A10" s="28" t="s">
        <v>191</v>
      </c>
      <c r="B10" s="30" t="s">
        <v>192</v>
      </c>
      <c r="C10" s="30" t="s">
        <v>192</v>
      </c>
      <c r="D10" s="30" t="s">
        <v>148</v>
      </c>
      <c r="E10" s="32">
        <v>0.52777777777777779</v>
      </c>
      <c r="F10" s="32">
        <v>0.59375</v>
      </c>
      <c r="G10" s="32">
        <v>0.60416666666666663</v>
      </c>
      <c r="H10" s="32"/>
      <c r="I10" s="32"/>
      <c r="J10" s="32">
        <f>MOD(Tabela313[[#This Row],[SAIDA LOJA 1]]-Tabela313[[#This Row],[CHD LOJA 1]], 1)</f>
        <v>1.041666666666663E-2</v>
      </c>
    </row>
    <row r="11" spans="1:13" s="4" customFormat="1" x14ac:dyDescent="0.35">
      <c r="A11" s="28" t="s">
        <v>193</v>
      </c>
      <c r="B11" s="30" t="s">
        <v>192</v>
      </c>
      <c r="C11" s="30" t="s">
        <v>192</v>
      </c>
      <c r="D11" s="30" t="s">
        <v>148</v>
      </c>
      <c r="E11" s="32">
        <v>0.52777777777777779</v>
      </c>
      <c r="F11" s="32">
        <v>0.61111111111111116</v>
      </c>
      <c r="G11" s="32">
        <v>0.64236111111111116</v>
      </c>
      <c r="H11" s="32"/>
      <c r="I11" s="32"/>
      <c r="J11" s="32">
        <f>MOD(Tabela313[[#This Row],[SAIDA LOJA 1]]-Tabela313[[#This Row],[CHD LOJA 1]], 1)</f>
        <v>3.125E-2</v>
      </c>
      <c r="K11" s="9"/>
      <c r="L11" s="8"/>
      <c r="M11" s="8"/>
    </row>
    <row r="12" spans="1:13" s="4" customFormat="1" x14ac:dyDescent="0.35">
      <c r="A12" s="28" t="s">
        <v>194</v>
      </c>
      <c r="B12" s="30" t="s">
        <v>145</v>
      </c>
      <c r="C12" s="30" t="s">
        <v>145</v>
      </c>
      <c r="D12" s="30" t="s">
        <v>195</v>
      </c>
      <c r="E12" s="32">
        <v>0.54513888888888884</v>
      </c>
      <c r="F12" s="32">
        <v>0.64930555555555558</v>
      </c>
      <c r="G12" s="32">
        <v>0.67013888888888884</v>
      </c>
      <c r="H12" s="32"/>
      <c r="I12" s="32"/>
      <c r="J12" s="32">
        <f>MOD(Tabela313[[#This Row],[SAIDA LOJA 1]]-Tabela313[[#This Row],[CHD LOJA 1]], 1)</f>
        <v>2.0833333333333259E-2</v>
      </c>
      <c r="K12" s="9"/>
      <c r="L12" s="8"/>
      <c r="M12" s="8"/>
    </row>
    <row r="13" spans="1:13" x14ac:dyDescent="0.35">
      <c r="A13" s="28" t="s">
        <v>196</v>
      </c>
      <c r="B13" s="30" t="s">
        <v>145</v>
      </c>
      <c r="C13" s="30" t="s">
        <v>145</v>
      </c>
      <c r="D13" s="30" t="s">
        <v>195</v>
      </c>
      <c r="E13" s="32">
        <v>0.54513888888888884</v>
      </c>
      <c r="F13" s="32">
        <v>0.68402777777777779</v>
      </c>
      <c r="G13" s="32">
        <v>0.70833333333333337</v>
      </c>
      <c r="H13" s="32"/>
      <c r="I13" s="32"/>
      <c r="J13" s="32">
        <f>MOD(Tabela313[[#This Row],[SAIDA LOJA 1]]-Tabela313[[#This Row],[CHD LOJA 1]], 1)</f>
        <v>2.430555555555558E-2</v>
      </c>
      <c r="K13" s="9"/>
      <c r="L13" s="8"/>
      <c r="M13" s="8"/>
    </row>
    <row r="14" spans="1:13" x14ac:dyDescent="0.35">
      <c r="A14" s="28" t="s">
        <v>197</v>
      </c>
      <c r="B14" s="30" t="s">
        <v>145</v>
      </c>
      <c r="C14" s="30" t="s">
        <v>145</v>
      </c>
      <c r="D14" s="30" t="s">
        <v>195</v>
      </c>
      <c r="E14" s="32">
        <v>0.54513888888888884</v>
      </c>
      <c r="F14" s="32">
        <v>0.62847222222222221</v>
      </c>
      <c r="G14" s="32">
        <v>0.63888888888888884</v>
      </c>
      <c r="H14" s="32"/>
      <c r="I14" s="32"/>
      <c r="J14" s="32">
        <f>MOD(Tabela313[[#This Row],[SAIDA LOJA 1]]-Tabela313[[#This Row],[CHD LOJA 1]], 1)</f>
        <v>1.041666666666663E-2</v>
      </c>
      <c r="K14" s="9"/>
    </row>
    <row r="15" spans="1:13" x14ac:dyDescent="0.35">
      <c r="A15" s="28" t="s">
        <v>198</v>
      </c>
      <c r="B15" s="30" t="s">
        <v>199</v>
      </c>
      <c r="C15" s="30" t="s">
        <v>199</v>
      </c>
      <c r="D15" s="30" t="s">
        <v>200</v>
      </c>
      <c r="E15" s="32">
        <v>0.54861111111111116</v>
      </c>
      <c r="F15" s="32">
        <v>0.59722222222222221</v>
      </c>
      <c r="G15" s="32">
        <v>0.61111111111111116</v>
      </c>
      <c r="H15" s="32"/>
      <c r="I15" s="32"/>
      <c r="J15" s="32">
        <f>MOD(Tabela313[[#This Row],[SAIDA LOJA 1]]-Tabela313[[#This Row],[CHD LOJA 1]], 1)</f>
        <v>1.3888888888888951E-2</v>
      </c>
    </row>
    <row r="16" spans="1:13" x14ac:dyDescent="0.35">
      <c r="A16" s="28" t="s">
        <v>201</v>
      </c>
      <c r="B16" s="30" t="s">
        <v>199</v>
      </c>
      <c r="C16" s="30" t="s">
        <v>199</v>
      </c>
      <c r="D16" s="30" t="s">
        <v>200</v>
      </c>
      <c r="E16" s="32">
        <v>0.54861111111111116</v>
      </c>
      <c r="F16" s="32">
        <v>0.61458333333333337</v>
      </c>
      <c r="G16" s="32">
        <v>0.66319444444444442</v>
      </c>
      <c r="H16" s="32"/>
      <c r="I16" s="32"/>
      <c r="J16" s="32">
        <f>MOD(Tabela313[[#This Row],[SAIDA LOJA 1]]-Tabela313[[#This Row],[CHD LOJA 1]], 1)</f>
        <v>4.8611111111111049E-2</v>
      </c>
    </row>
    <row r="17" spans="1:14" x14ac:dyDescent="0.35">
      <c r="A17" s="28" t="s">
        <v>202</v>
      </c>
      <c r="B17" s="30" t="s">
        <v>164</v>
      </c>
      <c r="C17" s="30" t="s">
        <v>164</v>
      </c>
      <c r="D17" s="30" t="s">
        <v>203</v>
      </c>
      <c r="E17" s="32">
        <v>0.52430555555555558</v>
      </c>
      <c r="F17" s="32">
        <v>0.5625</v>
      </c>
      <c r="G17" s="32">
        <v>0.57291666666666663</v>
      </c>
      <c r="H17" s="32"/>
      <c r="I17" s="32"/>
      <c r="J17" s="32">
        <f>MOD(Tabela313[[#This Row],[SAIDA LOJA 1]]-Tabela313[[#This Row],[CHD LOJA 1]], 1)</f>
        <v>1.041666666666663E-2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18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9094-FFB5-4262-AABD-6B27E279241E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E18" sqref="E18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184</v>
      </c>
      <c r="B4" s="30" t="s">
        <v>138</v>
      </c>
      <c r="C4" s="30">
        <v>353</v>
      </c>
      <c r="D4" s="30" t="s">
        <v>185</v>
      </c>
      <c r="E4" s="32">
        <v>0.55555555555555558</v>
      </c>
      <c r="F4" s="32">
        <v>0.74305555555555558</v>
      </c>
      <c r="G4" s="32">
        <v>0.75694444444444442</v>
      </c>
      <c r="H4" s="32"/>
      <c r="I4" s="32"/>
      <c r="J4" s="32">
        <f>MOD(Tabela314[[#This Row],[SAIDA LOJA 1]]-Tabela314[[#This Row],[CHD LOJA 1]], 1)</f>
        <v>1.388888888888884E-2</v>
      </c>
    </row>
    <row r="5" spans="1:13" x14ac:dyDescent="0.35">
      <c r="A5" s="28" t="s">
        <v>186</v>
      </c>
      <c r="B5" s="30" t="s">
        <v>138</v>
      </c>
      <c r="C5" s="30">
        <v>353</v>
      </c>
      <c r="D5" s="30" t="s">
        <v>185</v>
      </c>
      <c r="E5" s="32">
        <v>0.55555555555555558</v>
      </c>
      <c r="F5" s="32">
        <v>0.72222222222222221</v>
      </c>
      <c r="G5" s="32">
        <v>0.73263888888888884</v>
      </c>
      <c r="H5" s="32"/>
      <c r="I5" s="32"/>
      <c r="J5" s="32">
        <f>MOD(Tabela314[[#This Row],[SAIDA LOJA 1]]-Tabela314[[#This Row],[CHD LOJA 1]], 1)</f>
        <v>1.041666666666663E-2</v>
      </c>
    </row>
    <row r="6" spans="1:13" s="4" customFormat="1" x14ac:dyDescent="0.35">
      <c r="A6" s="28" t="s">
        <v>187</v>
      </c>
      <c r="B6" s="30" t="s">
        <v>138</v>
      </c>
      <c r="C6" s="30">
        <v>353</v>
      </c>
      <c r="D6" s="30" t="s">
        <v>185</v>
      </c>
      <c r="E6" s="32">
        <v>0.55555555555555558</v>
      </c>
      <c r="F6" s="32">
        <v>0.6875</v>
      </c>
      <c r="G6" s="32">
        <v>0.69444444444444442</v>
      </c>
      <c r="H6" s="32"/>
      <c r="I6" s="32"/>
      <c r="J6" s="32">
        <f>MOD(Tabela314[[#This Row],[SAIDA LOJA 1]]-Tabela314[[#This Row],[CHD LOJA 1]], 1)</f>
        <v>6.9444444444444198E-3</v>
      </c>
      <c r="K6" s="1"/>
    </row>
    <row r="7" spans="1:13" s="4" customFormat="1" x14ac:dyDescent="0.35">
      <c r="A7" s="28" t="s">
        <v>188</v>
      </c>
      <c r="B7" s="30" t="s">
        <v>138</v>
      </c>
      <c r="C7" s="30">
        <v>353</v>
      </c>
      <c r="D7" s="30" t="s">
        <v>185</v>
      </c>
      <c r="E7" s="32">
        <v>0.55555555555555558</v>
      </c>
      <c r="F7" s="32">
        <v>0.70138888888888884</v>
      </c>
      <c r="G7" s="32">
        <v>0.71527777777777779</v>
      </c>
      <c r="H7" s="32"/>
      <c r="I7" s="32"/>
      <c r="J7" s="32">
        <f>MOD(Tabela314[[#This Row],[SAIDA LOJA 1]]-Tabela314[[#This Row],[CHD LOJA 1]], 1)</f>
        <v>1.3888888888888951E-2</v>
      </c>
      <c r="K7" s="1"/>
    </row>
    <row r="8" spans="1:13" x14ac:dyDescent="0.35">
      <c r="A8" s="28" t="s">
        <v>189</v>
      </c>
      <c r="B8" s="30" t="s">
        <v>154</v>
      </c>
      <c r="C8" s="30">
        <v>35399</v>
      </c>
      <c r="D8" s="30" t="s">
        <v>195</v>
      </c>
      <c r="E8" s="32">
        <v>0.5625</v>
      </c>
      <c r="F8" s="32">
        <v>0.70486111111111116</v>
      </c>
      <c r="G8" s="32">
        <v>0.72222222222222221</v>
      </c>
      <c r="H8" s="32"/>
      <c r="I8" s="32"/>
      <c r="J8" s="32">
        <f>MOD(Tabela314[[#This Row],[SAIDA LOJA 1]]-Tabela314[[#This Row],[CHD LOJA 1]], 1)</f>
        <v>1.7361111111111049E-2</v>
      </c>
    </row>
    <row r="9" spans="1:13" x14ac:dyDescent="0.35">
      <c r="A9" s="28" t="s">
        <v>190</v>
      </c>
      <c r="B9" s="30" t="s">
        <v>154</v>
      </c>
      <c r="C9" s="30">
        <v>35399</v>
      </c>
      <c r="D9" s="30" t="s">
        <v>195</v>
      </c>
      <c r="E9" s="32">
        <v>0.5625</v>
      </c>
      <c r="F9" s="32">
        <v>0.66666666666666663</v>
      </c>
      <c r="G9" s="32">
        <v>0.68055555555555558</v>
      </c>
      <c r="H9" s="32"/>
      <c r="I9" s="32"/>
      <c r="J9" s="32">
        <f>MOD(Tabela314[[#This Row],[SAIDA LOJA 1]]-Tabela314[[#This Row],[CHD LOJA 1]], 1)</f>
        <v>1.3888888888888951E-2</v>
      </c>
    </row>
    <row r="10" spans="1:13" x14ac:dyDescent="0.35">
      <c r="A10" s="28" t="s">
        <v>191</v>
      </c>
      <c r="B10" s="30" t="s">
        <v>192</v>
      </c>
      <c r="C10" s="30">
        <v>51699</v>
      </c>
      <c r="D10" s="30" t="s">
        <v>148</v>
      </c>
      <c r="E10" s="32">
        <v>0.55902777777777779</v>
      </c>
      <c r="F10" s="32">
        <v>0.62152777777777779</v>
      </c>
      <c r="G10" s="32">
        <v>0.62847222222222221</v>
      </c>
      <c r="H10" s="32"/>
      <c r="I10" s="32"/>
      <c r="J10" s="32">
        <f>MOD(Tabela314[[#This Row],[SAIDA LOJA 1]]-Tabela314[[#This Row],[CHD LOJA 1]], 1)</f>
        <v>6.9444444444444198E-3</v>
      </c>
    </row>
    <row r="11" spans="1:13" s="4" customFormat="1" x14ac:dyDescent="0.35">
      <c r="A11" s="28" t="s">
        <v>193</v>
      </c>
      <c r="B11" s="30" t="s">
        <v>192</v>
      </c>
      <c r="C11" s="30">
        <v>51699</v>
      </c>
      <c r="D11" s="30" t="s">
        <v>148</v>
      </c>
      <c r="E11" s="32">
        <v>0.55902777777777779</v>
      </c>
      <c r="F11" s="32">
        <v>0.63888888888888884</v>
      </c>
      <c r="G11" s="32">
        <v>0.64930555555555558</v>
      </c>
      <c r="H11" s="32"/>
      <c r="I11" s="32"/>
      <c r="J11" s="32">
        <f>MOD(Tabela314[[#This Row],[SAIDA LOJA 1]]-Tabela314[[#This Row],[CHD LOJA 1]], 1)</f>
        <v>1.0416666666666741E-2</v>
      </c>
      <c r="K11" s="9"/>
      <c r="L11" s="8"/>
      <c r="M11" s="8"/>
    </row>
    <row r="12" spans="1:13" s="4" customFormat="1" x14ac:dyDescent="0.35">
      <c r="A12" s="28" t="s">
        <v>194</v>
      </c>
      <c r="B12" s="30" t="s">
        <v>145</v>
      </c>
      <c r="C12" s="30">
        <v>35399</v>
      </c>
      <c r="D12" s="30" t="s">
        <v>204</v>
      </c>
      <c r="E12" s="32" t="s">
        <v>206</v>
      </c>
      <c r="F12" s="32" t="s">
        <v>207</v>
      </c>
      <c r="G12" s="32"/>
      <c r="H12" s="32"/>
      <c r="I12" s="32"/>
      <c r="J12" s="32" t="e">
        <f>MOD(Tabela314[[#This Row],[SAIDA LOJA 1]]-Tabela314[[#This Row],[CHD LOJA 1]], 1)</f>
        <v>#VALUE!</v>
      </c>
      <c r="K12" s="9"/>
      <c r="L12" s="8"/>
      <c r="M12" s="8"/>
    </row>
    <row r="13" spans="1:13" x14ac:dyDescent="0.35">
      <c r="A13" s="28" t="s">
        <v>196</v>
      </c>
      <c r="B13" s="30" t="s">
        <v>145</v>
      </c>
      <c r="C13" s="30">
        <v>35399</v>
      </c>
      <c r="D13" s="30" t="s">
        <v>204</v>
      </c>
      <c r="E13" s="32" t="s">
        <v>206</v>
      </c>
      <c r="F13" s="32" t="s">
        <v>207</v>
      </c>
      <c r="G13" s="32"/>
      <c r="H13" s="32"/>
      <c r="I13" s="32"/>
      <c r="J13" s="32" t="e">
        <f>MOD(Tabela314[[#This Row],[SAIDA LOJA 1]]-Tabela314[[#This Row],[CHD LOJA 1]], 1)</f>
        <v>#VALUE!</v>
      </c>
      <c r="K13" s="9"/>
      <c r="L13" s="8"/>
      <c r="M13" s="8"/>
    </row>
    <row r="14" spans="1:13" x14ac:dyDescent="0.35">
      <c r="A14" s="28" t="s">
        <v>197</v>
      </c>
      <c r="B14" s="30" t="s">
        <v>145</v>
      </c>
      <c r="C14" s="30">
        <v>35399</v>
      </c>
      <c r="D14" s="30" t="s">
        <v>204</v>
      </c>
      <c r="E14" s="32" t="s">
        <v>206</v>
      </c>
      <c r="F14" s="32" t="s">
        <v>207</v>
      </c>
      <c r="G14" s="32"/>
      <c r="H14" s="32"/>
      <c r="I14" s="32"/>
      <c r="J14" s="32" t="e">
        <f>MOD(Tabela314[[#This Row],[SAIDA LOJA 1]]-Tabela314[[#This Row],[CHD LOJA 1]], 1)</f>
        <v>#VALUE!</v>
      </c>
      <c r="K14" s="9"/>
    </row>
    <row r="15" spans="1:13" x14ac:dyDescent="0.35">
      <c r="A15" s="28" t="s">
        <v>198</v>
      </c>
      <c r="B15" s="30" t="s">
        <v>199</v>
      </c>
      <c r="C15" s="30">
        <v>35399</v>
      </c>
      <c r="D15" s="30" t="s">
        <v>205</v>
      </c>
      <c r="E15" s="32">
        <v>0.55208333333333337</v>
      </c>
      <c r="F15" s="32">
        <v>0.59375</v>
      </c>
      <c r="G15" s="32">
        <v>0.60763888888888884</v>
      </c>
      <c r="H15" s="32"/>
      <c r="I15" s="32"/>
      <c r="J15" s="32">
        <f>MOD(Tabela314[[#This Row],[SAIDA LOJA 1]]-Tabela314[[#This Row],[CHD LOJA 1]], 1)</f>
        <v>1.388888888888884E-2</v>
      </c>
    </row>
    <row r="16" spans="1:13" x14ac:dyDescent="0.35">
      <c r="A16" s="28" t="s">
        <v>201</v>
      </c>
      <c r="B16" s="30" t="s">
        <v>199</v>
      </c>
      <c r="C16" s="30">
        <v>35399</v>
      </c>
      <c r="D16" s="30" t="s">
        <v>205</v>
      </c>
      <c r="E16" s="32">
        <v>0.55208333333333337</v>
      </c>
      <c r="F16" s="32">
        <v>4.7777777777777777</v>
      </c>
      <c r="G16" s="32">
        <v>0.67361111111111116</v>
      </c>
      <c r="H16" s="32"/>
      <c r="I16" s="32"/>
      <c r="J16" s="32">
        <f>MOD(Tabela314[[#This Row],[SAIDA LOJA 1]]-Tabela314[[#This Row],[CHD LOJA 1]], 1)</f>
        <v>0.89583333333333393</v>
      </c>
    </row>
    <row r="17" spans="1:14" x14ac:dyDescent="0.35">
      <c r="A17" s="28" t="s">
        <v>202</v>
      </c>
      <c r="B17" s="30" t="s">
        <v>164</v>
      </c>
      <c r="C17" s="30">
        <v>67499</v>
      </c>
      <c r="D17" s="30" t="s">
        <v>203</v>
      </c>
      <c r="E17" s="32" t="s">
        <v>160</v>
      </c>
      <c r="F17" s="32" t="s">
        <v>161</v>
      </c>
      <c r="G17" s="32" t="s">
        <v>162</v>
      </c>
      <c r="H17" s="32"/>
      <c r="I17" s="32"/>
      <c r="J17" s="32" t="e">
        <f>MOD(Tabela314[[#This Row],[SAIDA LOJA 1]]-Tabela314[[#This Row],[CHD LOJA 1]], 1)</f>
        <v>#VALUE!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17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C2FA-4DE5-4359-A7CD-58848B564CAA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G18" sqref="G18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184</v>
      </c>
      <c r="B4" s="30" t="s">
        <v>138</v>
      </c>
      <c r="C4" s="30">
        <v>353</v>
      </c>
      <c r="D4" s="30" t="s">
        <v>208</v>
      </c>
      <c r="E4" s="32">
        <v>0.56597222222222221</v>
      </c>
      <c r="F4" s="32">
        <v>0.68055555555555558</v>
      </c>
      <c r="G4" s="32">
        <v>0.70486111111111116</v>
      </c>
      <c r="H4" s="32"/>
      <c r="I4" s="32"/>
      <c r="J4" s="32">
        <f>MOD(Tabela315[[#This Row],[SAIDA LOJA 1]]-Tabela315[[#This Row],[CHD LOJA 1]], 1)</f>
        <v>2.430555555555558E-2</v>
      </c>
    </row>
    <row r="5" spans="1:13" x14ac:dyDescent="0.35">
      <c r="A5" s="28" t="s">
        <v>186</v>
      </c>
      <c r="B5" s="30" t="s">
        <v>138</v>
      </c>
      <c r="C5" s="30">
        <v>353</v>
      </c>
      <c r="D5" s="30" t="s">
        <v>208</v>
      </c>
      <c r="E5" s="32">
        <v>0.56597222222222221</v>
      </c>
      <c r="F5" s="32">
        <v>0.64236111111111116</v>
      </c>
      <c r="G5" s="32">
        <v>0.65277777777777779</v>
      </c>
      <c r="H5" s="32"/>
      <c r="I5" s="32"/>
      <c r="J5" s="32">
        <f>MOD(Tabela315[[#This Row],[SAIDA LOJA 1]]-Tabela315[[#This Row],[CHD LOJA 1]], 1)</f>
        <v>1.041666666666663E-2</v>
      </c>
    </row>
    <row r="6" spans="1:13" s="4" customFormat="1" x14ac:dyDescent="0.35">
      <c r="A6" s="28" t="s">
        <v>187</v>
      </c>
      <c r="B6" s="30" t="s">
        <v>138</v>
      </c>
      <c r="C6" s="30">
        <v>353</v>
      </c>
      <c r="D6" s="30" t="s">
        <v>208</v>
      </c>
      <c r="E6" s="32" t="s">
        <v>160</v>
      </c>
      <c r="F6" s="32" t="s">
        <v>161</v>
      </c>
      <c r="G6" s="32" t="s">
        <v>162</v>
      </c>
      <c r="H6" s="32"/>
      <c r="I6" s="32"/>
      <c r="J6" s="32" t="e">
        <f>MOD(Tabela315[[#This Row],[SAIDA LOJA 1]]-Tabela315[[#This Row],[CHD LOJA 1]], 1)</f>
        <v>#VALUE!</v>
      </c>
      <c r="K6" s="1"/>
    </row>
    <row r="7" spans="1:13" s="4" customFormat="1" x14ac:dyDescent="0.35">
      <c r="A7" s="28" t="s">
        <v>188</v>
      </c>
      <c r="B7" s="30" t="s">
        <v>138</v>
      </c>
      <c r="C7" s="30">
        <v>353</v>
      </c>
      <c r="D7" s="30" t="s">
        <v>208</v>
      </c>
      <c r="E7" s="32">
        <v>0.56597222222222221</v>
      </c>
      <c r="F7" s="32">
        <v>0.65972222222222221</v>
      </c>
      <c r="G7" s="32">
        <v>0.67013888888888884</v>
      </c>
      <c r="H7" s="32"/>
      <c r="I7" s="32"/>
      <c r="J7" s="32">
        <f>MOD(Tabela315[[#This Row],[SAIDA LOJA 1]]-Tabela315[[#This Row],[CHD LOJA 1]], 1)</f>
        <v>1.041666666666663E-2</v>
      </c>
      <c r="K7" s="1"/>
    </row>
    <row r="8" spans="1:13" x14ac:dyDescent="0.35">
      <c r="A8" s="28" t="s">
        <v>189</v>
      </c>
      <c r="B8" s="30" t="s">
        <v>154</v>
      </c>
      <c r="C8" s="30">
        <v>35399</v>
      </c>
      <c r="D8" s="30" t="s">
        <v>209</v>
      </c>
      <c r="E8" s="32">
        <v>0.61805555555555558</v>
      </c>
      <c r="F8" s="32">
        <v>0.72569444444444442</v>
      </c>
      <c r="G8" s="32">
        <v>0.73958333333333337</v>
      </c>
      <c r="H8" s="32"/>
      <c r="I8" s="32"/>
      <c r="J8" s="32">
        <f>MOD(Tabela315[[#This Row],[SAIDA LOJA 1]]-Tabela315[[#This Row],[CHD LOJA 1]], 1)</f>
        <v>1.3888888888888951E-2</v>
      </c>
    </row>
    <row r="9" spans="1:13" x14ac:dyDescent="0.35">
      <c r="A9" s="28" t="s">
        <v>190</v>
      </c>
      <c r="B9" s="30" t="s">
        <v>154</v>
      </c>
      <c r="C9" s="30">
        <v>35399</v>
      </c>
      <c r="D9" s="30" t="s">
        <v>209</v>
      </c>
      <c r="E9" s="32">
        <v>0.61805555555555558</v>
      </c>
      <c r="F9" s="32">
        <v>0.76041666666666663</v>
      </c>
      <c r="G9" s="32">
        <v>0.78472222222222221</v>
      </c>
      <c r="H9" s="32"/>
      <c r="I9" s="32"/>
      <c r="J9" s="32">
        <f>MOD(Tabela315[[#This Row],[SAIDA LOJA 1]]-Tabela315[[#This Row],[CHD LOJA 1]], 1)</f>
        <v>2.430555555555558E-2</v>
      </c>
    </row>
    <row r="10" spans="1:13" x14ac:dyDescent="0.35">
      <c r="A10" s="28" t="s">
        <v>191</v>
      </c>
      <c r="B10" s="30" t="s">
        <v>140</v>
      </c>
      <c r="C10" s="30">
        <v>353</v>
      </c>
      <c r="D10" s="30" t="s">
        <v>205</v>
      </c>
      <c r="E10" s="32">
        <v>0.59027777777777779</v>
      </c>
      <c r="F10" s="32">
        <v>0.70486111111111116</v>
      </c>
      <c r="G10" s="32">
        <v>0.71180555555555558</v>
      </c>
      <c r="H10" s="32"/>
      <c r="I10" s="32"/>
      <c r="J10" s="32">
        <f>MOD(Tabela315[[#This Row],[SAIDA LOJA 1]]-Tabela315[[#This Row],[CHD LOJA 1]], 1)</f>
        <v>6.9444444444444198E-3</v>
      </c>
    </row>
    <row r="11" spans="1:13" s="4" customFormat="1" x14ac:dyDescent="0.35">
      <c r="A11" s="28" t="s">
        <v>193</v>
      </c>
      <c r="B11" s="30" t="s">
        <v>140</v>
      </c>
      <c r="C11" s="30">
        <v>353</v>
      </c>
      <c r="D11" s="30" t="s">
        <v>205</v>
      </c>
      <c r="E11" s="32">
        <v>0.59027777777777779</v>
      </c>
      <c r="F11" s="32">
        <v>0.65972222222222221</v>
      </c>
      <c r="G11" s="32">
        <v>0.69444444444444442</v>
      </c>
      <c r="H11" s="32"/>
      <c r="I11" s="32"/>
      <c r="J11" s="32">
        <f>MOD(Tabela315[[#This Row],[SAIDA LOJA 1]]-Tabela315[[#This Row],[CHD LOJA 1]], 1)</f>
        <v>3.472222222222221E-2</v>
      </c>
      <c r="K11" s="9"/>
      <c r="L11" s="8"/>
      <c r="M11" s="8"/>
    </row>
    <row r="12" spans="1:13" s="4" customFormat="1" x14ac:dyDescent="0.35">
      <c r="A12" s="28" t="s">
        <v>194</v>
      </c>
      <c r="B12" s="30" t="s">
        <v>145</v>
      </c>
      <c r="C12" s="30">
        <v>35399</v>
      </c>
      <c r="D12" s="30" t="s">
        <v>210</v>
      </c>
      <c r="E12" s="32">
        <v>0.58680555555555558</v>
      </c>
      <c r="F12" s="32">
        <v>0.65277777777777779</v>
      </c>
      <c r="G12" s="32">
        <v>0.66666666666666663</v>
      </c>
      <c r="H12" s="32"/>
      <c r="I12" s="32"/>
      <c r="J12" s="32">
        <f>MOD(Tabela315[[#This Row],[SAIDA LOJA 1]]-Tabela315[[#This Row],[CHD LOJA 1]], 1)</f>
        <v>1.388888888888884E-2</v>
      </c>
      <c r="K12" s="9"/>
      <c r="L12" s="8"/>
      <c r="M12" s="8"/>
    </row>
    <row r="13" spans="1:13" x14ac:dyDescent="0.35">
      <c r="A13" s="28" t="s">
        <v>196</v>
      </c>
      <c r="B13" s="30" t="s">
        <v>145</v>
      </c>
      <c r="C13" s="30">
        <v>35399</v>
      </c>
      <c r="D13" s="30" t="s">
        <v>210</v>
      </c>
      <c r="E13" s="32">
        <v>0.58680555555555558</v>
      </c>
      <c r="F13" s="32">
        <v>0.67708333333333337</v>
      </c>
      <c r="G13" s="32">
        <v>0.69791666666666663</v>
      </c>
      <c r="H13" s="32"/>
      <c r="I13" s="32"/>
      <c r="J13" s="32">
        <f>MOD(Tabela315[[#This Row],[SAIDA LOJA 1]]-Tabela315[[#This Row],[CHD LOJA 1]], 1)</f>
        <v>2.0833333333333259E-2</v>
      </c>
      <c r="K13" s="9"/>
      <c r="L13" s="8"/>
      <c r="M13" s="8"/>
    </row>
    <row r="14" spans="1:13" x14ac:dyDescent="0.35">
      <c r="A14" s="28" t="s">
        <v>197</v>
      </c>
      <c r="B14" s="30" t="s">
        <v>145</v>
      </c>
      <c r="C14" s="30">
        <v>35399</v>
      </c>
      <c r="D14" s="30" t="s">
        <v>210</v>
      </c>
      <c r="E14" s="32">
        <v>0.58680555555555558</v>
      </c>
      <c r="F14" s="32">
        <v>0.63541666666666663</v>
      </c>
      <c r="G14" s="32">
        <v>0.64930555555555558</v>
      </c>
      <c r="H14" s="32"/>
      <c r="I14" s="32"/>
      <c r="J14" s="32">
        <f>MOD(Tabela315[[#This Row],[SAIDA LOJA 1]]-Tabela315[[#This Row],[CHD LOJA 1]], 1)</f>
        <v>1.3888888888888951E-2</v>
      </c>
      <c r="K14" s="9"/>
    </row>
    <row r="15" spans="1:13" x14ac:dyDescent="0.35">
      <c r="A15" s="28" t="s">
        <v>198</v>
      </c>
      <c r="B15" s="30" t="s">
        <v>199</v>
      </c>
      <c r="C15" s="30">
        <v>35399</v>
      </c>
      <c r="D15" s="30" t="s">
        <v>211</v>
      </c>
      <c r="E15" s="32">
        <v>0.57638888888888884</v>
      </c>
      <c r="F15" s="32">
        <v>0.61805555555555558</v>
      </c>
      <c r="G15" s="32">
        <v>0.63194444444444442</v>
      </c>
      <c r="H15" s="32"/>
      <c r="I15" s="32"/>
      <c r="J15" s="32">
        <f>MOD(Tabela315[[#This Row],[SAIDA LOJA 1]]-Tabela315[[#This Row],[CHD LOJA 1]], 1)</f>
        <v>1.388888888888884E-2</v>
      </c>
    </row>
    <row r="16" spans="1:13" x14ac:dyDescent="0.35">
      <c r="A16" s="28" t="s">
        <v>201</v>
      </c>
      <c r="B16" s="30" t="s">
        <v>199</v>
      </c>
      <c r="C16" s="30">
        <v>35399</v>
      </c>
      <c r="D16" s="30" t="s">
        <v>211</v>
      </c>
      <c r="E16" s="32">
        <v>0.57638888888888884</v>
      </c>
      <c r="F16" s="32">
        <v>0.63541666666666663</v>
      </c>
      <c r="G16" s="32">
        <v>0.66666666666666663</v>
      </c>
      <c r="H16" s="32"/>
      <c r="I16" s="32"/>
      <c r="J16" s="32">
        <f>MOD(Tabela315[[#This Row],[SAIDA LOJA 1]]-Tabela315[[#This Row],[CHD LOJA 1]], 1)</f>
        <v>3.125E-2</v>
      </c>
    </row>
    <row r="17" spans="1:14" x14ac:dyDescent="0.35">
      <c r="A17" s="28" t="s">
        <v>202</v>
      </c>
      <c r="B17" s="30" t="s">
        <v>164</v>
      </c>
      <c r="C17" s="30">
        <v>67499</v>
      </c>
      <c r="D17" s="30" t="s">
        <v>203</v>
      </c>
      <c r="E17" s="31" t="s">
        <v>212</v>
      </c>
      <c r="F17" s="32">
        <v>0.65972222222222221</v>
      </c>
      <c r="G17" s="32">
        <v>0.68402777777777779</v>
      </c>
      <c r="H17" s="32"/>
      <c r="I17" s="32"/>
      <c r="J17" s="32">
        <f>MOD(Tabela315[[#This Row],[SAIDA LOJA 1]]-Tabela315[[#This Row],[CHD LOJA 1]], 1)</f>
        <v>2.430555555555558E-2</v>
      </c>
    </row>
    <row r="18" spans="1:14" x14ac:dyDescent="0.35">
      <c r="A18" s="29"/>
      <c r="B18" s="31"/>
      <c r="C18" s="31"/>
      <c r="D18" s="30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16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61F7-C4D8-4266-9B9D-927117E2B2A2}">
  <sheetPr>
    <pageSetUpPr fitToPage="1"/>
  </sheetPr>
  <dimension ref="A1:N71"/>
  <sheetViews>
    <sheetView showGridLines="0" zoomScale="70" zoomScaleNormal="70" workbookViewId="0">
      <pane ySplit="2" topLeftCell="A3" activePane="bottomLeft" state="frozen"/>
      <selection pane="bottomLeft" activeCell="B3" sqref="B3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184</v>
      </c>
      <c r="B4" s="30" t="s">
        <v>138</v>
      </c>
      <c r="C4" s="30">
        <v>353</v>
      </c>
      <c r="D4" s="30" t="s">
        <v>213</v>
      </c>
      <c r="E4" s="32">
        <v>0.52777777777777779</v>
      </c>
      <c r="F4" s="32">
        <v>0.65277777777777779</v>
      </c>
      <c r="G4" s="32">
        <v>0.68402777777777779</v>
      </c>
      <c r="H4" s="32"/>
      <c r="I4" s="32"/>
      <c r="J4" s="32">
        <f>MOD(Tabela316[[#This Row],[SAIDA LOJA 1]]-Tabela316[[#This Row],[CHD LOJA 1]], 1)</f>
        <v>3.125E-2</v>
      </c>
    </row>
    <row r="5" spans="1:13" x14ac:dyDescent="0.35">
      <c r="A5" s="28" t="s">
        <v>186</v>
      </c>
      <c r="B5" s="30" t="s">
        <v>138</v>
      </c>
      <c r="C5" s="30">
        <v>353</v>
      </c>
      <c r="D5" s="30" t="s">
        <v>213</v>
      </c>
      <c r="E5" s="32">
        <v>0.52777777777777779</v>
      </c>
      <c r="F5" s="32">
        <v>0.59722222222222221</v>
      </c>
      <c r="G5" s="32">
        <v>0.60416666666666663</v>
      </c>
      <c r="H5" s="32"/>
      <c r="I5" s="32"/>
      <c r="J5" s="32">
        <f>MOD(Tabela316[[#This Row],[SAIDA LOJA 1]]-Tabela316[[#This Row],[CHD LOJA 1]], 1)</f>
        <v>6.9444444444444198E-3</v>
      </c>
    </row>
    <row r="6" spans="1:13" s="4" customFormat="1" x14ac:dyDescent="0.35">
      <c r="A6" s="28" t="s">
        <v>187</v>
      </c>
      <c r="B6" s="30" t="s">
        <v>138</v>
      </c>
      <c r="C6" s="30">
        <v>353</v>
      </c>
      <c r="D6" s="30" t="s">
        <v>213</v>
      </c>
      <c r="E6" s="32">
        <v>0.52777777777777779</v>
      </c>
      <c r="F6" s="32">
        <v>0.60763888888888884</v>
      </c>
      <c r="G6" s="32">
        <v>0.62152777777777779</v>
      </c>
      <c r="H6" s="32"/>
      <c r="I6" s="32"/>
      <c r="J6" s="32">
        <f>MOD(Tabela316[[#This Row],[SAIDA LOJA 1]]-Tabela316[[#This Row],[CHD LOJA 1]], 1)</f>
        <v>1.3888888888888951E-2</v>
      </c>
      <c r="K6" s="1"/>
    </row>
    <row r="7" spans="1:13" s="4" customFormat="1" x14ac:dyDescent="0.35">
      <c r="A7" s="28" t="s">
        <v>188</v>
      </c>
      <c r="B7" s="30" t="s">
        <v>138</v>
      </c>
      <c r="C7" s="30">
        <v>353</v>
      </c>
      <c r="D7" s="30" t="s">
        <v>213</v>
      </c>
      <c r="E7" s="32">
        <v>0.52777777777777779</v>
      </c>
      <c r="F7" s="32">
        <v>0.62847222222222221</v>
      </c>
      <c r="G7" s="32">
        <v>0.64236111111111116</v>
      </c>
      <c r="H7" s="32"/>
      <c r="I7" s="32"/>
      <c r="J7" s="32">
        <f>MOD(Tabela316[[#This Row],[SAIDA LOJA 1]]-Tabela316[[#This Row],[CHD LOJA 1]], 1)</f>
        <v>1.3888888888888951E-2</v>
      </c>
      <c r="K7" s="1"/>
    </row>
    <row r="8" spans="1:13" x14ac:dyDescent="0.35">
      <c r="A8" s="28" t="s">
        <v>189</v>
      </c>
      <c r="B8" s="30" t="s">
        <v>154</v>
      </c>
      <c r="C8" s="30">
        <v>35399</v>
      </c>
      <c r="D8" s="30" t="s">
        <v>195</v>
      </c>
      <c r="E8" s="32">
        <v>0.59375</v>
      </c>
      <c r="F8" s="32">
        <v>0.64583333333333337</v>
      </c>
      <c r="G8" s="32">
        <v>0.66319444444444442</v>
      </c>
      <c r="H8" s="32"/>
      <c r="I8" s="32"/>
      <c r="J8" s="32">
        <f>MOD(Tabela316[[#This Row],[SAIDA LOJA 1]]-Tabela316[[#This Row],[CHD LOJA 1]], 1)</f>
        <v>1.7361111111111049E-2</v>
      </c>
    </row>
    <row r="9" spans="1:13" x14ac:dyDescent="0.35">
      <c r="A9" s="28" t="s">
        <v>190</v>
      </c>
      <c r="B9" s="30" t="s">
        <v>154</v>
      </c>
      <c r="C9" s="30">
        <v>35399</v>
      </c>
      <c r="D9" s="30" t="s">
        <v>195</v>
      </c>
      <c r="E9" s="32">
        <v>0.59375</v>
      </c>
      <c r="F9" s="32">
        <v>0.70138888888888884</v>
      </c>
      <c r="G9" s="32">
        <v>0.74652777777777779</v>
      </c>
      <c r="H9" s="32"/>
      <c r="I9" s="32"/>
      <c r="J9" s="32">
        <f>MOD(Tabela316[[#This Row],[SAIDA LOJA 1]]-Tabela316[[#This Row],[CHD LOJA 1]], 1)</f>
        <v>4.5138888888888951E-2</v>
      </c>
    </row>
    <row r="10" spans="1:13" x14ac:dyDescent="0.35">
      <c r="A10" s="28" t="s">
        <v>191</v>
      </c>
      <c r="B10" s="30" t="s">
        <v>192</v>
      </c>
      <c r="C10" s="30">
        <v>51699</v>
      </c>
      <c r="D10" s="30" t="s">
        <v>148</v>
      </c>
      <c r="E10" s="32">
        <v>0.52777777777777779</v>
      </c>
      <c r="F10" s="32">
        <v>0.59027777777777779</v>
      </c>
      <c r="G10" s="32">
        <v>0.59722222222222221</v>
      </c>
      <c r="H10" s="32"/>
      <c r="I10" s="32"/>
      <c r="J10" s="32">
        <f>MOD(Tabela316[[#This Row],[SAIDA LOJA 1]]-Tabela316[[#This Row],[CHD LOJA 1]], 1)</f>
        <v>6.9444444444444198E-3</v>
      </c>
    </row>
    <row r="11" spans="1:13" s="4" customFormat="1" x14ac:dyDescent="0.35">
      <c r="A11" s="28" t="s">
        <v>193</v>
      </c>
      <c r="B11" s="30" t="s">
        <v>192</v>
      </c>
      <c r="C11" s="30">
        <v>51699</v>
      </c>
      <c r="D11" s="30" t="s">
        <v>148</v>
      </c>
      <c r="E11" s="32">
        <v>0.52777777777777779</v>
      </c>
      <c r="F11" s="32">
        <v>0.60416666666666663</v>
      </c>
      <c r="G11" s="32">
        <v>0.61458333333333337</v>
      </c>
      <c r="H11" s="32"/>
      <c r="I11" s="32"/>
      <c r="J11" s="32">
        <f>MOD(Tabela316[[#This Row],[SAIDA LOJA 1]]-Tabela316[[#This Row],[CHD LOJA 1]], 1)</f>
        <v>1.0416666666666741E-2</v>
      </c>
      <c r="K11" s="9"/>
      <c r="L11" s="8"/>
      <c r="M11" s="8"/>
    </row>
    <row r="12" spans="1:13" s="4" customFormat="1" x14ac:dyDescent="0.35">
      <c r="A12" s="28" t="s">
        <v>194</v>
      </c>
      <c r="B12" s="30" t="s">
        <v>145</v>
      </c>
      <c r="C12" s="30">
        <v>35399</v>
      </c>
      <c r="D12" s="30" t="s">
        <v>210</v>
      </c>
      <c r="E12" s="32">
        <v>0.57638888888888884</v>
      </c>
      <c r="F12" s="32">
        <v>0.64236111111111116</v>
      </c>
      <c r="G12" s="32">
        <v>0.65625</v>
      </c>
      <c r="H12" s="32"/>
      <c r="I12" s="32"/>
      <c r="J12" s="32">
        <f>MOD(Tabela316[[#This Row],[SAIDA LOJA 1]]-Tabela316[[#This Row],[CHD LOJA 1]], 1)</f>
        <v>1.388888888888884E-2</v>
      </c>
      <c r="K12" s="9"/>
      <c r="L12" s="8"/>
      <c r="M12" s="8"/>
    </row>
    <row r="13" spans="1:13" x14ac:dyDescent="0.35">
      <c r="A13" s="28" t="s">
        <v>196</v>
      </c>
      <c r="B13" s="30" t="s">
        <v>145</v>
      </c>
      <c r="C13" s="30">
        <v>35399</v>
      </c>
      <c r="D13" s="30" t="s">
        <v>210</v>
      </c>
      <c r="E13" s="32">
        <v>0.57638888888888884</v>
      </c>
      <c r="F13" s="32">
        <v>0.66666666666666663</v>
      </c>
      <c r="G13" s="32">
        <v>0.6875</v>
      </c>
      <c r="H13" s="32"/>
      <c r="I13" s="32"/>
      <c r="J13" s="32">
        <f>MOD(Tabela316[[#This Row],[SAIDA LOJA 1]]-Tabela316[[#This Row],[CHD LOJA 1]], 1)</f>
        <v>2.083333333333337E-2</v>
      </c>
      <c r="K13" s="9"/>
      <c r="L13" s="8"/>
      <c r="M13" s="8"/>
    </row>
    <row r="14" spans="1:13" x14ac:dyDescent="0.35">
      <c r="A14" s="28" t="s">
        <v>197</v>
      </c>
      <c r="B14" s="30" t="s">
        <v>145</v>
      </c>
      <c r="C14" s="30">
        <v>35399</v>
      </c>
      <c r="D14" s="30" t="s">
        <v>210</v>
      </c>
      <c r="E14" s="32">
        <v>0.57638888888888884</v>
      </c>
      <c r="F14" s="32">
        <v>0.625</v>
      </c>
      <c r="G14" s="32">
        <v>0.63888888888888884</v>
      </c>
      <c r="H14" s="32"/>
      <c r="I14" s="32"/>
      <c r="J14" s="32">
        <f>MOD(Tabela316[[#This Row],[SAIDA LOJA 1]]-Tabela316[[#This Row],[CHD LOJA 1]], 1)</f>
        <v>1.388888888888884E-2</v>
      </c>
      <c r="K14" s="9"/>
    </row>
    <row r="15" spans="1:13" x14ac:dyDescent="0.35">
      <c r="A15" s="28" t="s">
        <v>198</v>
      </c>
      <c r="B15" s="30" t="s">
        <v>140</v>
      </c>
      <c r="C15" s="30">
        <v>35399</v>
      </c>
      <c r="D15" s="30" t="s">
        <v>214</v>
      </c>
      <c r="E15" s="32">
        <v>0.54861111111111116</v>
      </c>
      <c r="F15" s="32">
        <v>0.64583333333333337</v>
      </c>
      <c r="G15" s="32">
        <v>0.66666666666666663</v>
      </c>
      <c r="H15" s="32"/>
      <c r="I15" s="32"/>
      <c r="J15" s="32">
        <f>MOD(Tabela316[[#This Row],[SAIDA LOJA 1]]-Tabela316[[#This Row],[CHD LOJA 1]], 1)</f>
        <v>2.0833333333333259E-2</v>
      </c>
    </row>
    <row r="16" spans="1:13" x14ac:dyDescent="0.35">
      <c r="A16" s="28" t="s">
        <v>201</v>
      </c>
      <c r="B16" s="30" t="s">
        <v>140</v>
      </c>
      <c r="C16" s="30">
        <v>35399</v>
      </c>
      <c r="D16" s="30" t="s">
        <v>214</v>
      </c>
      <c r="E16" s="32">
        <v>0.54861111111111116</v>
      </c>
      <c r="F16" s="32">
        <v>0.66666666666666663</v>
      </c>
      <c r="G16" s="32">
        <v>0.68055555555555558</v>
      </c>
      <c r="H16" s="32"/>
      <c r="I16" s="32"/>
      <c r="J16" s="32">
        <f>MOD(Tabela316[[#This Row],[SAIDA LOJA 1]]-Tabela316[[#This Row],[CHD LOJA 1]], 1)</f>
        <v>1.3888888888888951E-2</v>
      </c>
    </row>
    <row r="17" spans="1:14" x14ac:dyDescent="0.35">
      <c r="A17" s="28" t="s">
        <v>202</v>
      </c>
      <c r="B17" s="30" t="s">
        <v>164</v>
      </c>
      <c r="C17" s="30">
        <v>67499</v>
      </c>
      <c r="D17" s="30" t="s">
        <v>203</v>
      </c>
      <c r="E17" s="32">
        <v>0.55208333333333337</v>
      </c>
      <c r="F17" s="32">
        <v>0.59027777777777779</v>
      </c>
      <c r="G17" s="32">
        <v>0.61111111111111116</v>
      </c>
      <c r="H17" s="32"/>
      <c r="I17" s="32"/>
      <c r="J17" s="32">
        <f>MOD(Tabela316[[#This Row],[SAIDA LOJA 1]]-Tabela316[[#This Row],[CHD LOJA 1]], 1)</f>
        <v>2.083333333333337E-2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15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839D-C33F-47C1-9B6A-ADD3DFFF37E9}">
  <sheetPr>
    <pageSetUpPr fitToPage="1"/>
  </sheetPr>
  <dimension ref="A1:N71"/>
  <sheetViews>
    <sheetView showGridLines="0" tabSelected="1" zoomScale="70" zoomScaleNormal="70" workbookViewId="0">
      <pane ySplit="2" topLeftCell="A3" activePane="bottomLeft" state="frozen"/>
      <selection pane="bottomLeft" activeCell="G18" sqref="G18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184</v>
      </c>
      <c r="B4" s="30" t="s">
        <v>138</v>
      </c>
      <c r="C4" s="30">
        <v>353</v>
      </c>
      <c r="D4" s="30" t="s">
        <v>208</v>
      </c>
      <c r="E4" s="32">
        <v>0.52430555555555558</v>
      </c>
      <c r="F4" s="32">
        <v>0.65277777777777779</v>
      </c>
      <c r="G4" s="32">
        <v>0.71875</v>
      </c>
      <c r="H4" s="32"/>
      <c r="I4" s="32"/>
      <c r="J4" s="32">
        <f>MOD(Tabela317[[#This Row],[SAIDA LOJA 1]]-Tabela317[[#This Row],[CHD LOJA 1]], 1)</f>
        <v>6.597222222222221E-2</v>
      </c>
    </row>
    <row r="5" spans="1:13" x14ac:dyDescent="0.35">
      <c r="A5" s="28" t="s">
        <v>186</v>
      </c>
      <c r="B5" s="30" t="s">
        <v>138</v>
      </c>
      <c r="C5" s="30">
        <v>353</v>
      </c>
      <c r="D5" s="30" t="s">
        <v>208</v>
      </c>
      <c r="E5" s="32">
        <v>0.52430555555555558</v>
      </c>
      <c r="F5" s="32">
        <v>0.63541666666666663</v>
      </c>
      <c r="G5" s="32">
        <v>0.64236111111111116</v>
      </c>
      <c r="H5" s="32"/>
      <c r="I5" s="32"/>
      <c r="J5" s="32">
        <f>MOD(Tabela317[[#This Row],[SAIDA LOJA 1]]-Tabela317[[#This Row],[CHD LOJA 1]], 1)</f>
        <v>6.9444444444445308E-3</v>
      </c>
    </row>
    <row r="6" spans="1:13" s="4" customFormat="1" x14ac:dyDescent="0.35">
      <c r="A6" s="28" t="s">
        <v>187</v>
      </c>
      <c r="B6" s="30" t="s">
        <v>138</v>
      </c>
      <c r="C6" s="30">
        <v>353</v>
      </c>
      <c r="D6" s="30" t="s">
        <v>208</v>
      </c>
      <c r="E6" s="32">
        <v>0.52430555555555558</v>
      </c>
      <c r="F6" s="32">
        <v>0.60069444444444442</v>
      </c>
      <c r="G6" s="32">
        <v>0.60763888888888884</v>
      </c>
      <c r="H6" s="32"/>
      <c r="I6" s="32"/>
      <c r="J6" s="32">
        <f>MOD(Tabela317[[#This Row],[SAIDA LOJA 1]]-Tabela317[[#This Row],[CHD LOJA 1]], 1)</f>
        <v>6.9444444444444198E-3</v>
      </c>
      <c r="K6" s="1"/>
    </row>
    <row r="7" spans="1:13" s="4" customFormat="1" x14ac:dyDescent="0.35">
      <c r="A7" s="28" t="s">
        <v>188</v>
      </c>
      <c r="B7" s="30" t="s">
        <v>138</v>
      </c>
      <c r="C7" s="30">
        <v>353</v>
      </c>
      <c r="D7" s="30" t="s">
        <v>208</v>
      </c>
      <c r="E7" s="32">
        <v>0.52430555555555558</v>
      </c>
      <c r="F7" s="32">
        <v>0.61458333333333337</v>
      </c>
      <c r="G7" s="32">
        <v>0.62847222222222221</v>
      </c>
      <c r="H7" s="32"/>
      <c r="I7" s="32"/>
      <c r="J7" s="32">
        <f>MOD(Tabela317[[#This Row],[SAIDA LOJA 1]]-Tabela317[[#This Row],[CHD LOJA 1]], 1)</f>
        <v>1.388888888888884E-2</v>
      </c>
      <c r="K7" s="1"/>
    </row>
    <row r="8" spans="1:13" x14ac:dyDescent="0.35">
      <c r="A8" s="28" t="s">
        <v>189</v>
      </c>
      <c r="B8" s="30" t="s">
        <v>140</v>
      </c>
      <c r="C8" s="30">
        <v>35399</v>
      </c>
      <c r="D8" s="30" t="s">
        <v>215</v>
      </c>
      <c r="E8" s="32">
        <v>0.55555555555555558</v>
      </c>
      <c r="F8" s="32">
        <v>0.67013888888888884</v>
      </c>
      <c r="G8" s="32">
        <v>0.69097222222222221</v>
      </c>
      <c r="H8" s="32"/>
      <c r="I8" s="32"/>
      <c r="J8" s="32">
        <f>MOD(Tabela317[[#This Row],[SAIDA LOJA 1]]-Tabela317[[#This Row],[CHD LOJA 1]], 1)</f>
        <v>2.083333333333337E-2</v>
      </c>
    </row>
    <row r="9" spans="1:13" x14ac:dyDescent="0.35">
      <c r="A9" s="28" t="s">
        <v>190</v>
      </c>
      <c r="B9" s="30" t="s">
        <v>140</v>
      </c>
      <c r="C9" s="30">
        <v>35399</v>
      </c>
      <c r="D9" s="30" t="s">
        <v>215</v>
      </c>
      <c r="E9" s="32">
        <v>0.55555555555555558</v>
      </c>
      <c r="F9" s="32">
        <v>0.64236111111111116</v>
      </c>
      <c r="G9" s="32">
        <v>0.65277777777777779</v>
      </c>
      <c r="H9" s="32"/>
      <c r="I9" s="32"/>
      <c r="J9" s="32">
        <f>MOD(Tabela317[[#This Row],[SAIDA LOJA 1]]-Tabela317[[#This Row],[CHD LOJA 1]], 1)</f>
        <v>1.041666666666663E-2</v>
      </c>
    </row>
    <row r="10" spans="1:13" x14ac:dyDescent="0.35">
      <c r="A10" s="28" t="s">
        <v>191</v>
      </c>
      <c r="B10" s="30" t="s">
        <v>192</v>
      </c>
      <c r="C10" s="30">
        <v>51699</v>
      </c>
      <c r="D10" s="30" t="s">
        <v>148</v>
      </c>
      <c r="E10" s="32">
        <v>0.52430555555555558</v>
      </c>
      <c r="F10" s="32">
        <v>0.58680555555555558</v>
      </c>
      <c r="G10" s="32">
        <v>0.59375</v>
      </c>
      <c r="H10" s="32"/>
      <c r="I10" s="32"/>
      <c r="J10" s="32">
        <f>MOD(Tabela317[[#This Row],[SAIDA LOJA 1]]-Tabela317[[#This Row],[CHD LOJA 1]], 1)</f>
        <v>6.9444444444444198E-3</v>
      </c>
    </row>
    <row r="11" spans="1:13" s="4" customFormat="1" x14ac:dyDescent="0.35">
      <c r="A11" s="28" t="s">
        <v>193</v>
      </c>
      <c r="B11" s="30" t="s">
        <v>192</v>
      </c>
      <c r="C11" s="30">
        <v>51699</v>
      </c>
      <c r="D11" s="30" t="s">
        <v>148</v>
      </c>
      <c r="E11" s="32">
        <v>0.52430555555555558</v>
      </c>
      <c r="F11" s="32">
        <v>0.60069444444444442</v>
      </c>
      <c r="G11" s="32">
        <v>0.61805555555555558</v>
      </c>
      <c r="H11" s="32"/>
      <c r="I11" s="32"/>
      <c r="J11" s="32">
        <f>MOD(Tabela317[[#This Row],[SAIDA LOJA 1]]-Tabela317[[#This Row],[CHD LOJA 1]], 1)</f>
        <v>1.736111111111116E-2</v>
      </c>
      <c r="K11" s="9"/>
      <c r="L11" s="8"/>
      <c r="M11" s="8"/>
    </row>
    <row r="12" spans="1:13" s="4" customFormat="1" x14ac:dyDescent="0.35">
      <c r="A12" s="28" t="s">
        <v>194</v>
      </c>
      <c r="B12" s="30" t="s">
        <v>145</v>
      </c>
      <c r="C12" s="30">
        <v>35399</v>
      </c>
      <c r="D12" s="30" t="s">
        <v>216</v>
      </c>
      <c r="E12" s="32">
        <v>0.53819444444444442</v>
      </c>
      <c r="F12" s="32">
        <v>0.59375</v>
      </c>
      <c r="G12" s="32">
        <v>0.60416666666666663</v>
      </c>
      <c r="H12" s="32"/>
      <c r="I12" s="32"/>
      <c r="J12" s="32">
        <f>MOD(Tabela317[[#This Row],[SAIDA LOJA 1]]-Tabela317[[#This Row],[CHD LOJA 1]], 1)</f>
        <v>1.041666666666663E-2</v>
      </c>
      <c r="K12" s="9"/>
      <c r="L12" s="8"/>
      <c r="M12" s="8"/>
    </row>
    <row r="13" spans="1:13" x14ac:dyDescent="0.35">
      <c r="A13" s="28" t="s">
        <v>196</v>
      </c>
      <c r="B13" s="30" t="s">
        <v>145</v>
      </c>
      <c r="C13" s="30">
        <v>35399</v>
      </c>
      <c r="D13" s="30" t="s">
        <v>216</v>
      </c>
      <c r="E13" s="32">
        <v>0.53819444444444442</v>
      </c>
      <c r="F13" s="32">
        <v>0.61458333333333337</v>
      </c>
      <c r="G13" s="32">
        <v>0.64930555555555558</v>
      </c>
      <c r="H13" s="32"/>
      <c r="I13" s="32"/>
      <c r="J13" s="32">
        <f>MOD(Tabela317[[#This Row],[SAIDA LOJA 1]]-Tabela317[[#This Row],[CHD LOJA 1]], 1)</f>
        <v>3.472222222222221E-2</v>
      </c>
      <c r="K13" s="9"/>
      <c r="L13" s="8"/>
      <c r="M13" s="8"/>
    </row>
    <row r="14" spans="1:13" x14ac:dyDescent="0.35">
      <c r="A14" s="28" t="s">
        <v>197</v>
      </c>
      <c r="B14" s="30" t="s">
        <v>145</v>
      </c>
      <c r="C14" s="30">
        <v>35399</v>
      </c>
      <c r="D14" s="30" t="s">
        <v>216</v>
      </c>
      <c r="E14" s="32">
        <v>0.53819444444444442</v>
      </c>
      <c r="F14" s="32">
        <v>0.65972222222222221</v>
      </c>
      <c r="G14" s="32">
        <v>0.68402777777777779</v>
      </c>
      <c r="H14" s="32"/>
      <c r="I14" s="32"/>
      <c r="J14" s="32">
        <f>MOD(Tabela317[[#This Row],[SAIDA LOJA 1]]-Tabela317[[#This Row],[CHD LOJA 1]], 1)</f>
        <v>2.430555555555558E-2</v>
      </c>
      <c r="K14" s="9"/>
    </row>
    <row r="15" spans="1:13" x14ac:dyDescent="0.35">
      <c r="A15" s="28" t="s">
        <v>198</v>
      </c>
      <c r="B15" s="30" t="s">
        <v>181</v>
      </c>
      <c r="C15" s="30">
        <v>35399</v>
      </c>
      <c r="D15" s="30" t="s">
        <v>217</v>
      </c>
      <c r="E15" s="32">
        <v>0.54166666666666663</v>
      </c>
      <c r="F15" s="32">
        <v>0.60069444444444442</v>
      </c>
      <c r="G15" s="32">
        <v>0.62152777777777779</v>
      </c>
      <c r="H15" s="32"/>
      <c r="I15" s="32"/>
      <c r="J15" s="32">
        <f>MOD(Tabela317[[#This Row],[SAIDA LOJA 1]]-Tabela317[[#This Row],[CHD LOJA 1]], 1)</f>
        <v>2.083333333333337E-2</v>
      </c>
    </row>
    <row r="16" spans="1:13" x14ac:dyDescent="0.35">
      <c r="A16" s="28" t="s">
        <v>201</v>
      </c>
      <c r="B16" s="30" t="s">
        <v>181</v>
      </c>
      <c r="C16" s="30">
        <v>35399</v>
      </c>
      <c r="D16" s="30" t="s">
        <v>217</v>
      </c>
      <c r="E16" s="32">
        <v>0.54166666666666663</v>
      </c>
      <c r="F16" s="32">
        <v>0.625</v>
      </c>
      <c r="G16" s="32">
        <v>0.6875</v>
      </c>
      <c r="H16" s="32"/>
      <c r="I16" s="32"/>
      <c r="J16" s="32">
        <f>MOD(Tabela317[[#This Row],[SAIDA LOJA 1]]-Tabela317[[#This Row],[CHD LOJA 1]], 1)</f>
        <v>6.25E-2</v>
      </c>
    </row>
    <row r="17" spans="1:14" x14ac:dyDescent="0.35">
      <c r="A17" s="28" t="s">
        <v>202</v>
      </c>
      <c r="B17" s="30" t="s">
        <v>164</v>
      </c>
      <c r="C17" s="30">
        <v>67499</v>
      </c>
      <c r="D17" s="30" t="s">
        <v>203</v>
      </c>
      <c r="E17" s="32">
        <v>0.52083333333333337</v>
      </c>
      <c r="F17" s="32">
        <v>0.55555555555555558</v>
      </c>
      <c r="G17" s="32">
        <v>0.58333333333333337</v>
      </c>
      <c r="H17" s="32"/>
      <c r="I17" s="32"/>
      <c r="J17" s="32">
        <f>MOD(Tabela317[[#This Row],[SAIDA LOJA 1]]-Tabela317[[#This Row],[CHD LOJA 1]], 1)</f>
        <v>2.777777777777779E-2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13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30BB-5497-46DE-8AF9-6B92CD217CFE}">
  <sheetPr>
    <pageSetUpPr fitToPage="1"/>
  </sheetPr>
  <dimension ref="A1:N71"/>
  <sheetViews>
    <sheetView showGridLines="0" topLeftCell="B1" zoomScale="70" zoomScaleNormal="70" workbookViewId="0">
      <pane ySplit="2" topLeftCell="A3" activePane="bottomLeft" state="frozen"/>
      <selection pane="bottomLeft" activeCell="L6" sqref="L6"/>
    </sheetView>
  </sheetViews>
  <sheetFormatPr defaultColWidth="9" defaultRowHeight="23.25" x14ac:dyDescent="0.35"/>
  <cols>
    <col min="1" max="1" width="49.85546875" style="10" bestFit="1" customWidth="1"/>
    <col min="2" max="2" width="25.140625" style="7" bestFit="1" customWidth="1"/>
    <col min="3" max="3" width="16.28515625" style="7" customWidth="1"/>
    <col min="4" max="4" width="19.140625" style="6" bestFit="1" customWidth="1"/>
    <col min="5" max="5" width="19" style="5" bestFit="1" customWidth="1"/>
    <col min="6" max="6" width="16.7109375" style="5" bestFit="1" customWidth="1"/>
    <col min="7" max="7" width="19.140625" style="3" bestFit="1" customWidth="1"/>
    <col min="8" max="8" width="16.7109375" style="1" hidden="1" customWidth="1"/>
    <col min="9" max="9" width="19.140625" style="1" hidden="1" customWidth="1"/>
    <col min="10" max="10" width="28.7109375" style="1" bestFit="1" customWidth="1"/>
    <col min="11" max="11" width="22.85546875" style="1" bestFit="1" customWidth="1"/>
    <col min="12" max="12" width="23.85546875" style="1" bestFit="1" customWidth="1"/>
    <col min="13" max="16" width="13.140625" style="1" bestFit="1" customWidth="1"/>
    <col min="17" max="16384" width="9" style="1"/>
  </cols>
  <sheetData>
    <row r="1" spans="1:13" ht="86.25" x14ac:dyDescent="0.35">
      <c r="A1" s="19" t="s">
        <v>6</v>
      </c>
      <c r="B1" s="20"/>
      <c r="C1" s="20"/>
      <c r="D1" s="21"/>
      <c r="E1" s="22"/>
      <c r="F1" s="22"/>
      <c r="G1" s="23"/>
      <c r="H1" s="24"/>
      <c r="I1" s="24"/>
      <c r="J1" s="24"/>
    </row>
    <row r="2" spans="1:13" s="2" customFormat="1" x14ac:dyDescent="0.35">
      <c r="A2" s="26" t="s">
        <v>0</v>
      </c>
      <c r="B2" s="26" t="s">
        <v>1</v>
      </c>
      <c r="C2" s="26" t="s">
        <v>133</v>
      </c>
      <c r="D2" s="26" t="s">
        <v>2</v>
      </c>
      <c r="E2" s="27" t="s">
        <v>3</v>
      </c>
      <c r="F2" s="27" t="s">
        <v>135</v>
      </c>
      <c r="G2" s="26" t="s">
        <v>5</v>
      </c>
      <c r="H2" s="27" t="s">
        <v>136</v>
      </c>
      <c r="I2" s="26" t="s">
        <v>4</v>
      </c>
      <c r="J2" s="27" t="s">
        <v>137</v>
      </c>
    </row>
    <row r="3" spans="1:13" x14ac:dyDescent="0.35">
      <c r="A3" s="25"/>
      <c r="B3" s="30"/>
      <c r="C3" s="30"/>
      <c r="D3" s="30"/>
      <c r="E3" s="32"/>
      <c r="F3" s="32"/>
      <c r="G3" s="32"/>
      <c r="H3" s="32"/>
      <c r="I3" s="32"/>
      <c r="J3" s="32"/>
    </row>
    <row r="4" spans="1:13" x14ac:dyDescent="0.35">
      <c r="A4" s="28" t="s">
        <v>7</v>
      </c>
      <c r="B4" s="30"/>
      <c r="C4" s="30"/>
      <c r="D4" s="30"/>
      <c r="E4" s="32"/>
      <c r="F4" s="32"/>
      <c r="G4" s="32"/>
      <c r="H4" s="32"/>
      <c r="I4" s="32"/>
      <c r="J4" s="32">
        <f>MOD(Tabela3[[#This Row],[SAIDA LOJA 1]]-Tabela3[[#This Row],[CHD LOJA 1]], 1)</f>
        <v>0</v>
      </c>
    </row>
    <row r="5" spans="1:13" x14ac:dyDescent="0.35">
      <c r="A5" s="28" t="s">
        <v>8</v>
      </c>
      <c r="B5" s="30"/>
      <c r="C5" s="30"/>
      <c r="D5" s="30"/>
      <c r="E5" s="32"/>
      <c r="F5" s="32"/>
      <c r="G5" s="32"/>
      <c r="H5" s="32"/>
      <c r="I5" s="32"/>
      <c r="J5" s="32">
        <f>MOD(Tabela3[[#This Row],[SAIDA LOJA 1]]-Tabela3[[#This Row],[CHD LOJA 1]], 1)</f>
        <v>0</v>
      </c>
    </row>
    <row r="6" spans="1:13" s="4" customFormat="1" x14ac:dyDescent="0.35">
      <c r="A6" s="28" t="s">
        <v>9</v>
      </c>
      <c r="B6" s="30"/>
      <c r="C6" s="30"/>
      <c r="D6" s="30"/>
      <c r="E6" s="32"/>
      <c r="F6" s="32"/>
      <c r="G6" s="32"/>
      <c r="H6" s="32"/>
      <c r="I6" s="32"/>
      <c r="J6" s="32">
        <f>MOD(Tabela3[[#This Row],[SAIDA LOJA 1]]-Tabela3[[#This Row],[CHD LOJA 1]], 1)</f>
        <v>0</v>
      </c>
      <c r="K6" s="1"/>
    </row>
    <row r="7" spans="1:13" s="4" customFormat="1" x14ac:dyDescent="0.35">
      <c r="A7" s="28" t="s">
        <v>10</v>
      </c>
      <c r="B7" s="30"/>
      <c r="C7" s="30"/>
      <c r="D7" s="30"/>
      <c r="E7" s="32"/>
      <c r="F7" s="32"/>
      <c r="G7" s="32"/>
      <c r="H7" s="32"/>
      <c r="I7" s="32"/>
      <c r="J7" s="32">
        <f>MOD(Tabela3[[#This Row],[SAIDA LOJA 1]]-Tabela3[[#This Row],[CHD LOJA 1]], 1)</f>
        <v>0</v>
      </c>
      <c r="K7" s="1"/>
    </row>
    <row r="8" spans="1:13" x14ac:dyDescent="0.35">
      <c r="A8" s="28" t="s">
        <v>11</v>
      </c>
      <c r="B8" s="30"/>
      <c r="C8" s="30"/>
      <c r="D8" s="30"/>
      <c r="E8" s="32"/>
      <c r="F8" s="32"/>
      <c r="G8" s="32"/>
      <c r="H8" s="32"/>
      <c r="I8" s="32"/>
      <c r="J8" s="32">
        <f>MOD(Tabela3[[#This Row],[SAIDA LOJA 1]]-Tabela3[[#This Row],[CHD LOJA 1]], 1)</f>
        <v>0</v>
      </c>
    </row>
    <row r="9" spans="1:13" x14ac:dyDescent="0.35">
      <c r="A9" s="28" t="s">
        <v>12</v>
      </c>
      <c r="B9" s="30"/>
      <c r="C9" s="30"/>
      <c r="D9" s="30"/>
      <c r="E9" s="32"/>
      <c r="F9" s="32"/>
      <c r="G9" s="32"/>
      <c r="H9" s="32"/>
      <c r="I9" s="32"/>
      <c r="J9" s="32">
        <f>MOD(Tabela3[[#This Row],[SAIDA LOJA 1]]-Tabela3[[#This Row],[CHD LOJA 1]], 1)</f>
        <v>0</v>
      </c>
    </row>
    <row r="10" spans="1:13" x14ac:dyDescent="0.35">
      <c r="A10" s="28" t="s">
        <v>13</v>
      </c>
      <c r="B10" s="30"/>
      <c r="C10" s="30"/>
      <c r="D10" s="30"/>
      <c r="E10" s="32"/>
      <c r="F10" s="32"/>
      <c r="G10" s="32"/>
      <c r="H10" s="32"/>
      <c r="I10" s="32"/>
      <c r="J10" s="32">
        <f>MOD(Tabela3[[#This Row],[SAIDA LOJA 1]]-Tabela3[[#This Row],[CHD LOJA 1]], 1)</f>
        <v>0</v>
      </c>
    </row>
    <row r="11" spans="1:13" s="4" customFormat="1" x14ac:dyDescent="0.35">
      <c r="A11" s="28" t="s">
        <v>14</v>
      </c>
      <c r="B11" s="30"/>
      <c r="C11" s="30"/>
      <c r="D11" s="30"/>
      <c r="E11" s="32"/>
      <c r="F11" s="32"/>
      <c r="G11" s="32"/>
      <c r="H11" s="32"/>
      <c r="I11" s="32"/>
      <c r="J11" s="32">
        <f>MOD(Tabela3[[#This Row],[SAIDA LOJA 1]]-Tabela3[[#This Row],[CHD LOJA 1]], 1)</f>
        <v>0</v>
      </c>
      <c r="K11" s="9"/>
      <c r="L11" s="8"/>
      <c r="M11" s="8"/>
    </row>
    <row r="12" spans="1:13" s="4" customFormat="1" x14ac:dyDescent="0.35">
      <c r="A12" s="28" t="s">
        <v>15</v>
      </c>
      <c r="B12" s="30"/>
      <c r="C12" s="30"/>
      <c r="D12" s="30"/>
      <c r="E12" s="32"/>
      <c r="F12" s="32"/>
      <c r="G12" s="32"/>
      <c r="H12" s="32"/>
      <c r="I12" s="32"/>
      <c r="J12" s="32">
        <f>MOD(Tabela3[[#This Row],[SAIDA LOJA 1]]-Tabela3[[#This Row],[CHD LOJA 1]], 1)</f>
        <v>0</v>
      </c>
      <c r="K12" s="9"/>
      <c r="L12" s="8"/>
      <c r="M12" s="8"/>
    </row>
    <row r="13" spans="1:13" x14ac:dyDescent="0.35">
      <c r="A13" s="28" t="s">
        <v>16</v>
      </c>
      <c r="B13" s="30"/>
      <c r="C13" s="30"/>
      <c r="D13" s="30"/>
      <c r="E13" s="32"/>
      <c r="F13" s="32"/>
      <c r="G13" s="32"/>
      <c r="H13" s="32"/>
      <c r="I13" s="32"/>
      <c r="J13" s="32">
        <f>MOD(Tabela3[[#This Row],[SAIDA LOJA 1]]-Tabela3[[#This Row],[CHD LOJA 1]], 1)</f>
        <v>0</v>
      </c>
      <c r="K13" s="9"/>
      <c r="L13" s="8"/>
      <c r="M13" s="8"/>
    </row>
    <row r="14" spans="1:13" x14ac:dyDescent="0.35">
      <c r="A14" s="28" t="s">
        <v>130</v>
      </c>
      <c r="B14" s="30"/>
      <c r="C14" s="30"/>
      <c r="D14" s="30"/>
      <c r="E14" s="32"/>
      <c r="F14" s="32"/>
      <c r="G14" s="32"/>
      <c r="H14" s="32"/>
      <c r="I14" s="32"/>
      <c r="J14" s="32">
        <f>MOD(Tabela3[[#This Row],[SAIDA LOJA 1]]-Tabela3[[#This Row],[CHD LOJA 1]], 1)</f>
        <v>0</v>
      </c>
      <c r="K14" s="9"/>
    </row>
    <row r="15" spans="1:13" x14ac:dyDescent="0.35">
      <c r="A15" s="28" t="s">
        <v>131</v>
      </c>
      <c r="B15" s="30"/>
      <c r="C15" s="30"/>
      <c r="D15" s="30"/>
      <c r="E15" s="32"/>
      <c r="F15" s="32"/>
      <c r="G15" s="32"/>
      <c r="H15" s="32"/>
      <c r="I15" s="32"/>
      <c r="J15" s="32">
        <f>MOD(Tabela3[[#This Row],[SAIDA LOJA 1]]-Tabela3[[#This Row],[CHD LOJA 1]], 1)</f>
        <v>0</v>
      </c>
    </row>
    <row r="16" spans="1:13" x14ac:dyDescent="0.35">
      <c r="A16" s="28" t="s">
        <v>134</v>
      </c>
      <c r="B16" s="30"/>
      <c r="C16" s="30"/>
      <c r="D16" s="30"/>
      <c r="E16" s="32"/>
      <c r="F16" s="32"/>
      <c r="G16" s="32"/>
      <c r="H16" s="32"/>
      <c r="I16" s="32"/>
      <c r="J16" s="32">
        <f>MOD(Tabela3[[#This Row],[SAIDA LOJA 1]]-Tabela3[[#This Row],[CHD LOJA 1]], 1)</f>
        <v>0</v>
      </c>
    </row>
    <row r="17" spans="1:14" x14ac:dyDescent="0.35">
      <c r="A17" s="28" t="s">
        <v>132</v>
      </c>
      <c r="B17" s="30"/>
      <c r="C17" s="30"/>
      <c r="D17" s="30"/>
      <c r="E17" s="32"/>
      <c r="F17" s="32"/>
      <c r="G17" s="32"/>
      <c r="H17" s="32"/>
      <c r="I17" s="32"/>
      <c r="J17" s="32">
        <f>MOD(Tabela3[[#This Row],[SAIDA LOJA 1]]-Tabela3[[#This Row],[CHD LOJA 1]], 1)</f>
        <v>0</v>
      </c>
    </row>
    <row r="18" spans="1:14" x14ac:dyDescent="0.35">
      <c r="A18" s="29"/>
      <c r="B18" s="31"/>
      <c r="C18" s="31"/>
      <c r="D18" s="31"/>
      <c r="E18" s="32"/>
      <c r="F18" s="32"/>
      <c r="G18" s="32"/>
      <c r="H18" s="32"/>
      <c r="I18" s="32"/>
      <c r="J18" s="32"/>
    </row>
    <row r="19" spans="1:14" x14ac:dyDescent="0.35">
      <c r="E19" s="18"/>
      <c r="F19" s="18"/>
      <c r="G19" s="18"/>
      <c r="H19" s="5"/>
      <c r="I19" s="5"/>
    </row>
    <row r="20" spans="1:14" x14ac:dyDescent="0.35">
      <c r="E20" s="18"/>
      <c r="F20" s="18"/>
      <c r="G20" s="18"/>
      <c r="H20" s="5"/>
      <c r="I20" s="5"/>
    </row>
    <row r="21" spans="1:14" x14ac:dyDescent="0.35">
      <c r="E21" s="18"/>
      <c r="F21" s="18"/>
      <c r="G21" s="18"/>
      <c r="H21" s="5"/>
      <c r="I21" s="5"/>
    </row>
    <row r="22" spans="1:14" x14ac:dyDescent="0.35">
      <c r="E22" s="18"/>
      <c r="F22" s="18"/>
      <c r="G22" s="18"/>
      <c r="H22" s="5"/>
      <c r="I22" s="5"/>
    </row>
    <row r="23" spans="1:14" x14ac:dyDescent="0.35">
      <c r="E23" s="18"/>
      <c r="F23" s="18"/>
      <c r="G23" s="18"/>
      <c r="H23" s="5"/>
      <c r="I23" s="5"/>
      <c r="K23" s="7"/>
      <c r="L23" s="6"/>
      <c r="M23" s="5"/>
      <c r="N23" s="5"/>
    </row>
    <row r="24" spans="1:14" x14ac:dyDescent="0.35">
      <c r="E24" s="18"/>
      <c r="F24" s="18"/>
      <c r="G24" s="18"/>
      <c r="H24" s="5"/>
      <c r="I24" s="5"/>
      <c r="K24" s="7"/>
      <c r="L24" s="6"/>
      <c r="M24" s="5"/>
      <c r="N24" s="5"/>
    </row>
    <row r="25" spans="1:14" x14ac:dyDescent="0.35">
      <c r="E25" s="18"/>
      <c r="F25" s="18"/>
      <c r="G25" s="18"/>
      <c r="H25" s="5"/>
      <c r="I25" s="5"/>
      <c r="K25" s="7"/>
      <c r="L25" s="6"/>
      <c r="M25" s="5"/>
      <c r="N25" s="5"/>
    </row>
    <row r="26" spans="1:14" x14ac:dyDescent="0.35">
      <c r="E26" s="18"/>
      <c r="F26" s="18"/>
      <c r="G26" s="8"/>
      <c r="H26" s="5"/>
      <c r="I26" s="5"/>
      <c r="K26" s="7"/>
      <c r="L26" s="6"/>
      <c r="M26" s="5"/>
      <c r="N26" s="5"/>
    </row>
    <row r="27" spans="1:14" x14ac:dyDescent="0.35">
      <c r="E27" s="18"/>
      <c r="F27" s="18"/>
      <c r="G27" s="8"/>
      <c r="H27" s="5"/>
      <c r="I27" s="5"/>
    </row>
    <row r="28" spans="1:14" x14ac:dyDescent="0.35">
      <c r="E28" s="18"/>
      <c r="F28" s="18"/>
      <c r="G28" s="8"/>
      <c r="H28" s="5"/>
      <c r="I28" s="5"/>
    </row>
    <row r="29" spans="1:14" x14ac:dyDescent="0.35">
      <c r="E29" s="18"/>
      <c r="F29" s="18"/>
      <c r="G29" s="5"/>
      <c r="H29" s="5"/>
      <c r="I29" s="5"/>
    </row>
    <row r="30" spans="1:14" x14ac:dyDescent="0.35">
      <c r="E30" s="18"/>
      <c r="F30" s="18"/>
      <c r="G30" s="5"/>
      <c r="H30" s="5"/>
      <c r="I30" s="5"/>
    </row>
    <row r="31" spans="1:14" x14ac:dyDescent="0.35">
      <c r="E31" s="18"/>
      <c r="F31" s="18"/>
      <c r="G31" s="8"/>
      <c r="H31" s="5"/>
      <c r="I31" s="5"/>
    </row>
    <row r="32" spans="1:14" x14ac:dyDescent="0.35">
      <c r="E32" s="18"/>
      <c r="F32" s="18"/>
      <c r="G32" s="8"/>
      <c r="H32" s="5"/>
      <c r="I32" s="5"/>
    </row>
    <row r="33" spans="5:9" x14ac:dyDescent="0.35">
      <c r="E33" s="18"/>
      <c r="F33" s="18"/>
      <c r="G33" s="5"/>
      <c r="H33" s="5"/>
      <c r="I33" s="5"/>
    </row>
    <row r="34" spans="5:9" x14ac:dyDescent="0.35">
      <c r="E34" s="18"/>
      <c r="F34" s="18"/>
      <c r="G34" s="5"/>
      <c r="H34" s="5"/>
      <c r="I34" s="5"/>
    </row>
    <row r="35" spans="5:9" x14ac:dyDescent="0.35">
      <c r="E35" s="18"/>
      <c r="F35" s="18"/>
      <c r="G35" s="8"/>
      <c r="H35" s="5"/>
      <c r="I35" s="5"/>
    </row>
    <row r="36" spans="5:9" x14ac:dyDescent="0.35">
      <c r="E36" s="18"/>
      <c r="F36" s="18"/>
      <c r="G36" s="5"/>
      <c r="H36" s="5"/>
      <c r="I36" s="5"/>
    </row>
    <row r="37" spans="5:9" x14ac:dyDescent="0.35">
      <c r="E37" s="18"/>
      <c r="F37" s="18"/>
      <c r="G37" s="5"/>
      <c r="H37" s="5"/>
      <c r="I37" s="5"/>
    </row>
    <row r="38" spans="5:9" x14ac:dyDescent="0.35">
      <c r="E38" s="18"/>
      <c r="F38" s="18"/>
      <c r="G38" s="5"/>
      <c r="H38" s="5"/>
      <c r="I38" s="5"/>
    </row>
    <row r="39" spans="5:9" x14ac:dyDescent="0.35">
      <c r="E39" s="18"/>
      <c r="F39" s="18"/>
      <c r="G39" s="5"/>
      <c r="H39" s="5"/>
      <c r="I39" s="5"/>
    </row>
    <row r="40" spans="5:9" x14ac:dyDescent="0.35">
      <c r="E40" s="18"/>
      <c r="F40" s="18"/>
      <c r="G40" s="8"/>
      <c r="H40" s="5"/>
      <c r="I40" s="5"/>
    </row>
    <row r="41" spans="5:9" x14ac:dyDescent="0.35">
      <c r="E41" s="18"/>
      <c r="F41" s="18"/>
      <c r="G41" s="8"/>
      <c r="H41" s="5"/>
      <c r="I41" s="5"/>
    </row>
    <row r="42" spans="5:9" x14ac:dyDescent="0.35">
      <c r="E42" s="18"/>
      <c r="F42" s="18"/>
      <c r="G42" s="5"/>
      <c r="H42" s="5"/>
      <c r="I42" s="5"/>
    </row>
    <row r="43" spans="5:9" x14ac:dyDescent="0.35">
      <c r="E43" s="18"/>
      <c r="F43" s="18"/>
      <c r="G43" s="5"/>
      <c r="H43" s="5"/>
      <c r="I43" s="5"/>
    </row>
    <row r="44" spans="5:9" x14ac:dyDescent="0.35">
      <c r="E44" s="18"/>
      <c r="F44" s="18"/>
      <c r="G44" s="5"/>
      <c r="H44" s="5"/>
      <c r="I44" s="5"/>
    </row>
    <row r="45" spans="5:9" x14ac:dyDescent="0.35">
      <c r="E45" s="18"/>
      <c r="F45" s="18"/>
      <c r="G45" s="5"/>
      <c r="H45" s="5"/>
      <c r="I45" s="5"/>
    </row>
    <row r="46" spans="5:9" x14ac:dyDescent="0.35">
      <c r="E46" s="18"/>
      <c r="F46" s="18"/>
      <c r="G46" s="5"/>
      <c r="H46" s="5"/>
      <c r="I46" s="5"/>
    </row>
    <row r="47" spans="5:9" x14ac:dyDescent="0.35">
      <c r="E47" s="18"/>
      <c r="F47" s="18"/>
      <c r="G47" s="5"/>
      <c r="H47" s="5"/>
      <c r="I47" s="5"/>
    </row>
    <row r="48" spans="5:9" x14ac:dyDescent="0.35">
      <c r="E48" s="18"/>
      <c r="F48" s="18"/>
      <c r="G48" s="5"/>
      <c r="H48" s="5"/>
      <c r="I48" s="5"/>
    </row>
    <row r="49" spans="5:9" x14ac:dyDescent="0.35">
      <c r="E49" s="18"/>
      <c r="F49" s="18"/>
      <c r="G49" s="5"/>
      <c r="H49" s="5"/>
      <c r="I49" s="5"/>
    </row>
    <row r="50" spans="5:9" x14ac:dyDescent="0.35">
      <c r="E50" s="18"/>
      <c r="F50" s="18"/>
      <c r="G50" s="5"/>
      <c r="H50" s="5"/>
      <c r="I50" s="5"/>
    </row>
    <row r="51" spans="5:9" x14ac:dyDescent="0.35">
      <c r="E51" s="18"/>
      <c r="F51" s="18"/>
      <c r="G51" s="5"/>
      <c r="H51" s="5"/>
      <c r="I51" s="5"/>
    </row>
    <row r="52" spans="5:9" x14ac:dyDescent="0.35">
      <c r="E52" s="18"/>
      <c r="F52" s="18"/>
      <c r="G52" s="5"/>
      <c r="H52" s="5"/>
      <c r="I52" s="5"/>
    </row>
    <row r="53" spans="5:9" x14ac:dyDescent="0.35">
      <c r="E53" s="18"/>
      <c r="F53" s="18"/>
      <c r="G53" s="5"/>
      <c r="H53" s="5"/>
      <c r="I53" s="5"/>
    </row>
    <row r="54" spans="5:9" x14ac:dyDescent="0.35">
      <c r="E54" s="18"/>
      <c r="F54" s="18"/>
      <c r="G54" s="5"/>
      <c r="H54" s="5"/>
      <c r="I54" s="5"/>
    </row>
    <row r="55" spans="5:9" x14ac:dyDescent="0.35">
      <c r="E55" s="18"/>
      <c r="F55" s="18"/>
      <c r="G55" s="5"/>
      <c r="H55" s="5"/>
      <c r="I55" s="5"/>
    </row>
    <row r="56" spans="5:9" x14ac:dyDescent="0.35">
      <c r="E56" s="18"/>
      <c r="F56" s="18"/>
      <c r="G56" s="5"/>
      <c r="H56" s="5"/>
      <c r="I56" s="5"/>
    </row>
    <row r="57" spans="5:9" x14ac:dyDescent="0.35">
      <c r="E57" s="18"/>
      <c r="F57" s="18"/>
      <c r="G57" s="5"/>
      <c r="H57" s="5"/>
      <c r="I57" s="5"/>
    </row>
    <row r="58" spans="5:9" x14ac:dyDescent="0.35">
      <c r="E58" s="18"/>
      <c r="F58" s="18"/>
      <c r="G58" s="5"/>
      <c r="H58" s="5"/>
      <c r="I58" s="5"/>
    </row>
    <row r="59" spans="5:9" x14ac:dyDescent="0.35">
      <c r="E59" s="18"/>
      <c r="F59" s="18"/>
      <c r="G59" s="5"/>
      <c r="H59" s="5"/>
      <c r="I59" s="5"/>
    </row>
    <row r="60" spans="5:9" x14ac:dyDescent="0.35">
      <c r="E60" s="18"/>
      <c r="F60" s="18"/>
      <c r="G60" s="5"/>
      <c r="H60" s="5"/>
      <c r="I60" s="5"/>
    </row>
    <row r="61" spans="5:9" x14ac:dyDescent="0.35">
      <c r="E61" s="18"/>
      <c r="F61" s="18"/>
      <c r="G61" s="5"/>
      <c r="H61" s="5"/>
      <c r="I61" s="5"/>
    </row>
    <row r="62" spans="5:9" x14ac:dyDescent="0.35">
      <c r="E62" s="18"/>
      <c r="F62" s="18"/>
      <c r="G62" s="5"/>
      <c r="H62" s="5"/>
      <c r="I62" s="5"/>
    </row>
    <row r="63" spans="5:9" x14ac:dyDescent="0.35">
      <c r="E63" s="18"/>
      <c r="F63" s="18"/>
      <c r="G63" s="5"/>
      <c r="H63" s="5"/>
      <c r="I63" s="5"/>
    </row>
    <row r="64" spans="5:9" x14ac:dyDescent="0.35">
      <c r="E64" s="18"/>
      <c r="F64" s="18"/>
      <c r="G64" s="5"/>
      <c r="H64" s="5"/>
      <c r="I64" s="5"/>
    </row>
    <row r="65" spans="5:9" x14ac:dyDescent="0.35">
      <c r="E65" s="18"/>
      <c r="F65" s="18"/>
      <c r="G65" s="5"/>
      <c r="H65" s="5"/>
      <c r="I65" s="5"/>
    </row>
    <row r="66" spans="5:9" x14ac:dyDescent="0.35">
      <c r="G66" s="5"/>
      <c r="H66" s="5"/>
      <c r="I66" s="5"/>
    </row>
    <row r="67" spans="5:9" x14ac:dyDescent="0.35">
      <c r="G67" s="5"/>
      <c r="H67" s="5"/>
      <c r="I67" s="5"/>
    </row>
    <row r="68" spans="5:9" x14ac:dyDescent="0.35">
      <c r="G68" s="5"/>
      <c r="H68" s="5"/>
      <c r="I68" s="5"/>
    </row>
    <row r="69" spans="5:9" x14ac:dyDescent="0.35">
      <c r="G69" s="5"/>
      <c r="H69" s="5"/>
      <c r="I69" s="5"/>
    </row>
    <row r="70" spans="5:9" x14ac:dyDescent="0.35">
      <c r="G70" s="5"/>
      <c r="H70" s="5"/>
      <c r="I70" s="5"/>
    </row>
    <row r="71" spans="5:9" x14ac:dyDescent="0.35">
      <c r="G71" s="5"/>
      <c r="H71" s="5"/>
      <c r="I71" s="5"/>
    </row>
  </sheetData>
  <conditionalFormatting sqref="J3:J18">
    <cfRule type="cellIs" dxfId="14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DAC2-5C23-44B8-96B5-4271F5DFA612}">
  <dimension ref="A1:M15"/>
  <sheetViews>
    <sheetView workbookViewId="0">
      <selection activeCell="E11" sqref="E11"/>
    </sheetView>
  </sheetViews>
  <sheetFormatPr defaultRowHeight="15" x14ac:dyDescent="0.25"/>
  <cols>
    <col min="1" max="1" width="16" bestFit="1" customWidth="1"/>
    <col min="2" max="2" width="15.85546875" bestFit="1" customWidth="1"/>
    <col min="3" max="3" width="35.85546875" bestFit="1" customWidth="1"/>
    <col min="4" max="4" width="18" bestFit="1" customWidth="1"/>
    <col min="5" max="5" width="32.7109375" bestFit="1" customWidth="1"/>
    <col min="6" max="6" width="11" bestFit="1" customWidth="1"/>
    <col min="7" max="7" width="20.5703125" bestFit="1" customWidth="1"/>
    <col min="8" max="8" width="13.85546875" bestFit="1" customWidth="1"/>
    <col min="9" max="9" width="13.5703125" bestFit="1" customWidth="1"/>
    <col min="10" max="10" width="6.140625" bestFit="1" customWidth="1"/>
    <col min="11" max="11" width="9" bestFit="1" customWidth="1"/>
    <col min="12" max="12" width="9.42578125" bestFit="1" customWidth="1"/>
    <col min="13" max="13" width="13.42578125" bestFit="1" customWidth="1"/>
  </cols>
  <sheetData>
    <row r="1" spans="1:13" ht="19.5" x14ac:dyDescent="0.2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1" t="s">
        <v>28</v>
      </c>
      <c r="M1" s="11" t="s">
        <v>29</v>
      </c>
    </row>
    <row r="2" spans="1:13" x14ac:dyDescent="0.25">
      <c r="A2" s="12">
        <v>9</v>
      </c>
      <c r="B2" s="12" t="s">
        <v>30</v>
      </c>
      <c r="C2" s="12" t="s">
        <v>31</v>
      </c>
      <c r="D2" s="12" t="s">
        <v>32</v>
      </c>
      <c r="E2" s="12" t="s">
        <v>33</v>
      </c>
      <c r="F2" s="12" t="s">
        <v>34</v>
      </c>
      <c r="G2" s="12" t="s">
        <v>35</v>
      </c>
      <c r="H2" s="12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2">
        <v>3303906</v>
      </c>
    </row>
    <row r="3" spans="1:13" x14ac:dyDescent="0.25">
      <c r="A3" s="12">
        <v>4</v>
      </c>
      <c r="B3" s="12" t="s">
        <v>41</v>
      </c>
      <c r="C3" s="12" t="s">
        <v>31</v>
      </c>
      <c r="D3" s="12" t="s">
        <v>42</v>
      </c>
      <c r="E3" s="12" t="s">
        <v>43</v>
      </c>
      <c r="F3" s="12" t="s">
        <v>44</v>
      </c>
      <c r="G3" s="12" t="s">
        <v>45</v>
      </c>
      <c r="H3" s="12" t="s">
        <v>46</v>
      </c>
      <c r="I3" s="12" t="s">
        <v>37</v>
      </c>
      <c r="J3" s="12" t="s">
        <v>38</v>
      </c>
      <c r="K3" s="12" t="s">
        <v>47</v>
      </c>
      <c r="L3" s="12" t="s">
        <v>40</v>
      </c>
      <c r="M3" s="12">
        <v>3303906</v>
      </c>
    </row>
    <row r="4" spans="1:13" x14ac:dyDescent="0.25">
      <c r="A4" s="12">
        <v>16</v>
      </c>
      <c r="B4" s="12" t="s">
        <v>48</v>
      </c>
      <c r="C4" s="12" t="s">
        <v>49</v>
      </c>
      <c r="D4" s="12" t="s">
        <v>50</v>
      </c>
      <c r="E4" s="12" t="s">
        <v>51</v>
      </c>
      <c r="F4" s="12" t="s">
        <v>52</v>
      </c>
      <c r="G4" s="12" t="s">
        <v>53</v>
      </c>
      <c r="H4" s="12" t="s">
        <v>54</v>
      </c>
      <c r="I4" s="12" t="s">
        <v>37</v>
      </c>
      <c r="J4" s="12" t="s">
        <v>38</v>
      </c>
      <c r="K4" s="12" t="s">
        <v>55</v>
      </c>
      <c r="L4" s="12" t="s">
        <v>40</v>
      </c>
      <c r="M4" s="12">
        <v>3303906</v>
      </c>
    </row>
    <row r="5" spans="1:13" x14ac:dyDescent="0.25">
      <c r="A5" s="13">
        <v>21</v>
      </c>
      <c r="B5" s="13" t="s">
        <v>56</v>
      </c>
      <c r="C5" s="13" t="s">
        <v>57</v>
      </c>
      <c r="D5" s="13" t="s">
        <v>58</v>
      </c>
      <c r="E5" s="13" t="s">
        <v>51</v>
      </c>
      <c r="F5" s="13" t="s">
        <v>59</v>
      </c>
      <c r="G5" s="13" t="s">
        <v>45</v>
      </c>
      <c r="H5" s="13" t="s">
        <v>60</v>
      </c>
      <c r="I5" s="13" t="s">
        <v>37</v>
      </c>
      <c r="J5" s="13" t="s">
        <v>38</v>
      </c>
      <c r="K5" s="13" t="s">
        <v>61</v>
      </c>
      <c r="L5" s="13" t="s">
        <v>40</v>
      </c>
      <c r="M5" s="13">
        <v>3303906</v>
      </c>
    </row>
    <row r="6" spans="1:13" x14ac:dyDescent="0.25">
      <c r="A6" s="14">
        <v>5</v>
      </c>
      <c r="B6" s="14" t="s">
        <v>62</v>
      </c>
      <c r="C6" s="14" t="s">
        <v>31</v>
      </c>
      <c r="D6" s="14" t="s">
        <v>63</v>
      </c>
      <c r="E6" s="14" t="s">
        <v>64</v>
      </c>
      <c r="F6" s="14" t="s">
        <v>65</v>
      </c>
      <c r="G6" s="14" t="s">
        <v>66</v>
      </c>
      <c r="H6" s="14" t="s">
        <v>66</v>
      </c>
      <c r="I6" s="14" t="s">
        <v>37</v>
      </c>
      <c r="J6" s="14" t="s">
        <v>38</v>
      </c>
      <c r="K6" s="14" t="s">
        <v>67</v>
      </c>
      <c r="L6" s="14" t="s">
        <v>40</v>
      </c>
      <c r="M6" s="14">
        <v>3303906</v>
      </c>
    </row>
    <row r="7" spans="1:13" x14ac:dyDescent="0.25">
      <c r="A7" s="14">
        <v>11</v>
      </c>
      <c r="B7" s="14" t="s">
        <v>68</v>
      </c>
      <c r="C7" s="14" t="s">
        <v>31</v>
      </c>
      <c r="D7" s="14" t="s">
        <v>69</v>
      </c>
      <c r="E7" s="14" t="s">
        <v>70</v>
      </c>
      <c r="F7" s="14" t="s">
        <v>71</v>
      </c>
      <c r="G7" s="14" t="s">
        <v>72</v>
      </c>
      <c r="H7" s="14" t="s">
        <v>73</v>
      </c>
      <c r="I7" s="14" t="s">
        <v>37</v>
      </c>
      <c r="J7" s="14" t="s">
        <v>38</v>
      </c>
      <c r="K7" s="14" t="s">
        <v>74</v>
      </c>
      <c r="L7" s="14" t="s">
        <v>40</v>
      </c>
      <c r="M7" s="14">
        <v>3303906</v>
      </c>
    </row>
    <row r="8" spans="1:13" x14ac:dyDescent="0.25">
      <c r="A8" s="14">
        <v>6</v>
      </c>
      <c r="B8" s="14" t="s">
        <v>75</v>
      </c>
      <c r="C8" s="14" t="s">
        <v>31</v>
      </c>
      <c r="D8" s="14" t="s">
        <v>76</v>
      </c>
      <c r="E8" s="14" t="s">
        <v>77</v>
      </c>
      <c r="F8" s="14" t="s">
        <v>78</v>
      </c>
      <c r="G8" s="14" t="s">
        <v>45</v>
      </c>
      <c r="H8" s="14" t="s">
        <v>79</v>
      </c>
      <c r="I8" s="14" t="s">
        <v>37</v>
      </c>
      <c r="J8" s="14" t="s">
        <v>38</v>
      </c>
      <c r="K8" s="14" t="s">
        <v>80</v>
      </c>
      <c r="L8" s="14" t="s">
        <v>40</v>
      </c>
      <c r="M8" s="14">
        <v>3303906</v>
      </c>
    </row>
    <row r="9" spans="1:13" x14ac:dyDescent="0.25">
      <c r="A9" s="14">
        <v>8</v>
      </c>
      <c r="B9" s="14" t="s">
        <v>81</v>
      </c>
      <c r="C9" s="14" t="s">
        <v>31</v>
      </c>
      <c r="D9" s="14" t="s">
        <v>82</v>
      </c>
      <c r="E9" s="14" t="s">
        <v>83</v>
      </c>
      <c r="F9" s="14" t="s">
        <v>84</v>
      </c>
      <c r="G9" s="14" t="s">
        <v>45</v>
      </c>
      <c r="H9" s="14" t="s">
        <v>85</v>
      </c>
      <c r="I9" s="14" t="s">
        <v>37</v>
      </c>
      <c r="J9" s="14" t="s">
        <v>38</v>
      </c>
      <c r="K9" s="14" t="s">
        <v>86</v>
      </c>
      <c r="L9" s="14" t="s">
        <v>40</v>
      </c>
      <c r="M9" s="14">
        <v>3303906</v>
      </c>
    </row>
    <row r="10" spans="1:13" x14ac:dyDescent="0.25">
      <c r="A10" s="15">
        <v>12</v>
      </c>
      <c r="B10" s="15" t="s">
        <v>87</v>
      </c>
      <c r="C10" s="15" t="s">
        <v>31</v>
      </c>
      <c r="D10" s="15" t="s">
        <v>88</v>
      </c>
      <c r="E10" s="15" t="s">
        <v>89</v>
      </c>
      <c r="F10" s="15" t="s">
        <v>90</v>
      </c>
      <c r="G10" s="15" t="s">
        <v>91</v>
      </c>
      <c r="H10" s="15" t="s">
        <v>92</v>
      </c>
      <c r="I10" s="15" t="s">
        <v>37</v>
      </c>
      <c r="J10" s="15" t="s">
        <v>38</v>
      </c>
      <c r="K10" s="15" t="s">
        <v>93</v>
      </c>
      <c r="L10" s="15" t="s">
        <v>40</v>
      </c>
      <c r="M10" s="15">
        <v>3303906</v>
      </c>
    </row>
    <row r="11" spans="1:13" x14ac:dyDescent="0.25">
      <c r="A11" s="16">
        <v>15</v>
      </c>
      <c r="B11" s="16" t="s">
        <v>94</v>
      </c>
      <c r="C11" s="16" t="s">
        <v>95</v>
      </c>
      <c r="D11" s="16" t="s">
        <v>96</v>
      </c>
      <c r="E11" s="16" t="s">
        <v>97</v>
      </c>
      <c r="F11" s="16" t="s">
        <v>98</v>
      </c>
      <c r="G11" s="16" t="s">
        <v>99</v>
      </c>
      <c r="H11" s="16" t="s">
        <v>100</v>
      </c>
      <c r="I11" s="16" t="s">
        <v>101</v>
      </c>
      <c r="J11" s="16" t="s">
        <v>38</v>
      </c>
      <c r="K11" s="16" t="s">
        <v>102</v>
      </c>
      <c r="L11" s="16" t="s">
        <v>40</v>
      </c>
      <c r="M11" s="16">
        <v>3304557</v>
      </c>
    </row>
    <row r="12" spans="1:13" x14ac:dyDescent="0.25">
      <c r="A12" s="17">
        <v>90</v>
      </c>
      <c r="B12" s="17" t="s">
        <v>103</v>
      </c>
      <c r="C12" s="17" t="s">
        <v>104</v>
      </c>
      <c r="D12" s="17" t="s">
        <v>105</v>
      </c>
      <c r="E12" s="17" t="s">
        <v>106</v>
      </c>
      <c r="F12" s="17" t="s">
        <v>107</v>
      </c>
      <c r="G12" s="17" t="s">
        <v>45</v>
      </c>
      <c r="H12" s="17" t="s">
        <v>108</v>
      </c>
      <c r="I12" s="17" t="s">
        <v>109</v>
      </c>
      <c r="J12" s="17" t="s">
        <v>38</v>
      </c>
      <c r="K12" s="17" t="s">
        <v>110</v>
      </c>
      <c r="L12" s="17" t="s">
        <v>40</v>
      </c>
      <c r="M12" s="17">
        <v>3305802</v>
      </c>
    </row>
    <row r="13" spans="1:13" x14ac:dyDescent="0.25">
      <c r="A13" s="17">
        <v>91</v>
      </c>
      <c r="B13" s="17" t="s">
        <v>111</v>
      </c>
      <c r="C13" s="17" t="s">
        <v>104</v>
      </c>
      <c r="D13" s="17" t="s">
        <v>112</v>
      </c>
      <c r="E13" s="17" t="s">
        <v>113</v>
      </c>
      <c r="F13" s="17" t="s">
        <v>114</v>
      </c>
      <c r="G13" s="17" t="s">
        <v>45</v>
      </c>
      <c r="H13" s="17" t="s">
        <v>115</v>
      </c>
      <c r="I13" s="17" t="s">
        <v>109</v>
      </c>
      <c r="J13" s="17" t="s">
        <v>38</v>
      </c>
      <c r="K13" s="17" t="s">
        <v>116</v>
      </c>
      <c r="L13" s="17" t="s">
        <v>40</v>
      </c>
      <c r="M13" s="17">
        <v>3305802</v>
      </c>
    </row>
    <row r="14" spans="1:13" x14ac:dyDescent="0.25">
      <c r="A14" s="17">
        <v>92</v>
      </c>
      <c r="B14" s="17" t="s">
        <v>117</v>
      </c>
      <c r="C14" s="17" t="s">
        <v>104</v>
      </c>
      <c r="D14" s="17" t="s">
        <v>118</v>
      </c>
      <c r="E14" s="17" t="s">
        <v>119</v>
      </c>
      <c r="F14" s="17" t="s">
        <v>120</v>
      </c>
      <c r="G14" s="17" t="s">
        <v>45</v>
      </c>
      <c r="H14" s="17" t="s">
        <v>121</v>
      </c>
      <c r="I14" s="17" t="s">
        <v>109</v>
      </c>
      <c r="J14" s="17" t="s">
        <v>38</v>
      </c>
      <c r="K14" s="17" t="s">
        <v>122</v>
      </c>
      <c r="L14" s="17" t="s">
        <v>40</v>
      </c>
      <c r="M14" s="17">
        <v>3305802</v>
      </c>
    </row>
    <row r="15" spans="1:13" x14ac:dyDescent="0.25">
      <c r="A15" s="17">
        <v>97</v>
      </c>
      <c r="B15" s="17" t="s">
        <v>123</v>
      </c>
      <c r="C15" s="17" t="s">
        <v>57</v>
      </c>
      <c r="D15" s="17" t="s">
        <v>124</v>
      </c>
      <c r="E15" s="17" t="s">
        <v>125</v>
      </c>
      <c r="F15" s="17" t="s">
        <v>126</v>
      </c>
      <c r="G15" s="17" t="s">
        <v>127</v>
      </c>
      <c r="H15" s="17" t="s">
        <v>128</v>
      </c>
      <c r="I15" s="17" t="s">
        <v>109</v>
      </c>
      <c r="J15" s="17" t="s">
        <v>38</v>
      </c>
      <c r="K15" s="17" t="s">
        <v>129</v>
      </c>
      <c r="L15" s="17" t="s">
        <v>40</v>
      </c>
      <c r="M15" s="17">
        <v>3305802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72DE5-A6BD-4D9D-A83E-0A8E00ED0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16</vt:i4>
      </vt:variant>
    </vt:vector>
  </HeadingPairs>
  <TitlesOfParts>
    <vt:vector size="33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18</vt:lpstr>
      <vt:lpstr>19</vt:lpstr>
      <vt:lpstr>20</vt:lpstr>
      <vt:lpstr>matriz</vt:lpstr>
      <vt:lpstr>ENDEREÇOS</vt:lpstr>
      <vt:lpstr>'02'!Area_de_impressao</vt:lpstr>
      <vt:lpstr>'04'!Area_de_impressao</vt:lpstr>
      <vt:lpstr>'05'!Area_de_impressao</vt:lpstr>
      <vt:lpstr>'06'!Area_de_impressao</vt:lpstr>
      <vt:lpstr>'07'!Area_de_impressao</vt:lpstr>
      <vt:lpstr>'08'!Area_de_impressao</vt:lpstr>
      <vt:lpstr>'09'!Area_de_impressao</vt:lpstr>
      <vt:lpstr>'11'!Area_de_impressao</vt:lpstr>
      <vt:lpstr>'12'!Area_de_impressao</vt:lpstr>
      <vt:lpstr>'13'!Area_de_impressao</vt:lpstr>
      <vt:lpstr>'14'!Area_de_impressao</vt:lpstr>
      <vt:lpstr>'15'!Area_de_impressao</vt:lpstr>
      <vt:lpstr>'18'!Area_de_impressao</vt:lpstr>
      <vt:lpstr>'19'!Area_de_impressao</vt:lpstr>
      <vt:lpstr>'20'!Area_de_impressao</vt:lpstr>
      <vt:lpstr>matriz!Area_de_impressao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 Souza Cortes dso Santos</dc:creator>
  <cp:lastModifiedBy>WIliam  Souza Cortes dso Santos</cp:lastModifiedBy>
  <dcterms:created xsi:type="dcterms:W3CDTF">2026-02-14T02:07:13Z</dcterms:created>
  <dcterms:modified xsi:type="dcterms:W3CDTF">2026-05-21T01:42:42Z</dcterms:modified>
</cp:coreProperties>
</file>