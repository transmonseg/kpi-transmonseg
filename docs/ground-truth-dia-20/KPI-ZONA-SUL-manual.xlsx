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/>
  <mc:AlternateContent xmlns:mc="http://schemas.openxmlformats.org/markup-compatibility/2006">
    <mc:Choice Requires="x15">
      <x15ac:absPath xmlns:x15ac="http://schemas.microsoft.com/office/spreadsheetml/2010/11/ac" url="D:\TRANSMONSEG\BENASSI\KPIS\Maio\"/>
    </mc:Choice>
  </mc:AlternateContent>
  <xr:revisionPtr revIDLastSave="0" documentId="13_ncr:1_{8D2AB33B-4531-473D-90A0-AACCD43289D6}" xr6:coauthVersionLast="47" xr6:coauthVersionMax="47" xr10:uidLastSave="{00000000-0000-0000-0000-000000000000}"/>
  <bookViews>
    <workbookView xWindow="14295" yWindow="0" windowWidth="14610" windowHeight="15585" firstSheet="15" activeTab="20" xr2:uid="{00000000-000D-0000-FFFF-FFFF00000000}"/>
  </bookViews>
  <sheets>
    <sheet name="01" sheetId="67" r:id="rId1"/>
    <sheet name="02" sheetId="68" r:id="rId2"/>
    <sheet name="03" sheetId="69" r:id="rId3"/>
    <sheet name="04" sheetId="70" r:id="rId4"/>
    <sheet name="05" sheetId="71" r:id="rId5"/>
    <sheet name="06" sheetId="72" r:id="rId6"/>
    <sheet name="07" sheetId="73" r:id="rId7"/>
    <sheet name="08" sheetId="74" r:id="rId8"/>
    <sheet name="09" sheetId="75" r:id="rId9"/>
    <sheet name="10" sheetId="76" r:id="rId10"/>
    <sheet name="11" sheetId="77" r:id="rId11"/>
    <sheet name="12" sheetId="78" r:id="rId12"/>
    <sheet name="13" sheetId="79" r:id="rId13"/>
    <sheet name="14" sheetId="80" r:id="rId14"/>
    <sheet name="15" sheetId="81" r:id="rId15"/>
    <sheet name="16" sheetId="82" r:id="rId16"/>
    <sheet name="17" sheetId="83" r:id="rId17"/>
    <sheet name="18" sheetId="84" r:id="rId18"/>
    <sheet name="19" sheetId="85" r:id="rId19"/>
    <sheet name="20" sheetId="86" r:id="rId20"/>
    <sheet name="21" sheetId="87" r:id="rId21"/>
    <sheet name="matriz" sheetId="15" r:id="rId22"/>
    <sheet name="BASE" sheetId="35" r:id="rId23"/>
    <sheet name="endereço filiais" sheetId="18" r:id="rId24"/>
  </sheets>
  <definedNames>
    <definedName name="_xlnm._FilterDatabase" localSheetId="0" hidden="1">'01'!$A$2:$F$38</definedName>
    <definedName name="_xlnm._FilterDatabase" localSheetId="1" hidden="1">'02'!$A$2:$F$38</definedName>
    <definedName name="_xlnm._FilterDatabase" localSheetId="2" hidden="1">'03'!$A$2:$F$37</definedName>
    <definedName name="_xlnm._FilterDatabase" localSheetId="3" hidden="1">'04'!$A$2:$F$29</definedName>
    <definedName name="_xlnm._FilterDatabase" localSheetId="4" hidden="1">'05'!$A$2:$F$38</definedName>
    <definedName name="_xlnm._FilterDatabase" localSheetId="5" hidden="1">'06'!$A$2:$F$38</definedName>
    <definedName name="_xlnm._FilterDatabase" localSheetId="6" hidden="1">'07'!$A$2:$F$38</definedName>
    <definedName name="_xlnm._FilterDatabase" localSheetId="7" hidden="1">'08'!$A$2:$F$38</definedName>
    <definedName name="_xlnm._FilterDatabase" localSheetId="8" hidden="1">'09'!$A$2:$F$38</definedName>
    <definedName name="_xlnm._FilterDatabase" localSheetId="9" hidden="1">'10'!$A$2:$F$38</definedName>
    <definedName name="_xlnm._FilterDatabase" localSheetId="10" hidden="1">'11'!$A$2:$F$37</definedName>
    <definedName name="_xlnm._FilterDatabase" localSheetId="11" hidden="1">'12'!$A$2:$F$38</definedName>
    <definedName name="_xlnm._FilterDatabase" localSheetId="12" hidden="1">'13'!$A$2:$F$37</definedName>
    <definedName name="_xlnm._FilterDatabase" localSheetId="13" hidden="1">'14'!$A$2:$F$38</definedName>
    <definedName name="_xlnm._FilterDatabase" localSheetId="14" hidden="1">'15'!$A$2:$F$38</definedName>
    <definedName name="_xlnm._FilterDatabase" localSheetId="15" hidden="1">'16'!$A$2:$F$38</definedName>
    <definedName name="_xlnm._FilterDatabase" localSheetId="16" hidden="1">'17'!$A$2:$F$38</definedName>
    <definedName name="_xlnm._FilterDatabase" localSheetId="17" hidden="1">'18'!$A$2:$F$38</definedName>
    <definedName name="_xlnm._FilterDatabase" localSheetId="18" hidden="1">'19'!$A$2:$F$38</definedName>
    <definedName name="_xlnm._FilterDatabase" localSheetId="19" hidden="1">'20'!$A$2:$F$38</definedName>
    <definedName name="_xlnm._FilterDatabase" localSheetId="20" hidden="1">'21'!$A$2:$F$38</definedName>
    <definedName name="_xlnm._FilterDatabase" localSheetId="22" hidden="1">BASE!$D$1:$D$251</definedName>
    <definedName name="_xlnm._FilterDatabase" localSheetId="21" hidden="1">matriz!$A$2:$F$38</definedName>
    <definedName name="_xlnm.Print_Area" localSheetId="0">'01'!$A$2:$C$2</definedName>
    <definedName name="_xlnm.Print_Area" localSheetId="1">'02'!$A$2:$C$2</definedName>
    <definedName name="_xlnm.Print_Area" localSheetId="2">'03'!$A$2:$C$2</definedName>
    <definedName name="_xlnm.Print_Area" localSheetId="3">'04'!$A$2:$C$2</definedName>
    <definedName name="_xlnm.Print_Area" localSheetId="4">'05'!$A$2:$C$2</definedName>
    <definedName name="_xlnm.Print_Area" localSheetId="5">'06'!$A$2:$C$2</definedName>
    <definedName name="_xlnm.Print_Area" localSheetId="6">'07'!$A$2:$C$2</definedName>
    <definedName name="_xlnm.Print_Area" localSheetId="7">'08'!$A$2:$C$2</definedName>
    <definedName name="_xlnm.Print_Area" localSheetId="8">'09'!$A$2:$C$2</definedName>
    <definedName name="_xlnm.Print_Area" localSheetId="9">'10'!$A$2:$C$2</definedName>
    <definedName name="_xlnm.Print_Area" localSheetId="10">'11'!$A$2:$C$2</definedName>
    <definedName name="_xlnm.Print_Area" localSheetId="11">'12'!$A$2:$C$2</definedName>
    <definedName name="_xlnm.Print_Area" localSheetId="12">'13'!$A$2:$C$2</definedName>
    <definedName name="_xlnm.Print_Area" localSheetId="13">'14'!$A$2:$C$2</definedName>
    <definedName name="_xlnm.Print_Area" localSheetId="14">'15'!$A$2:$C$2</definedName>
    <definedName name="_xlnm.Print_Area" localSheetId="15">'16'!$A$2:$C$2</definedName>
    <definedName name="_xlnm.Print_Area" localSheetId="16">'17'!$A$2:$C$2</definedName>
    <definedName name="_xlnm.Print_Area" localSheetId="17">'18'!$A$2:$C$2</definedName>
    <definedName name="_xlnm.Print_Area" localSheetId="18">'19'!$A$2:$C$2</definedName>
    <definedName name="_xlnm.Print_Area" localSheetId="19">'20'!$A$2:$C$2</definedName>
    <definedName name="_xlnm.Print_Area" localSheetId="20">'21'!$A$2:$C$2</definedName>
    <definedName name="_xlnm.Print_Area" localSheetId="21">matriz!$A$2:$C$2</definedName>
    <definedName name="CalendárioAno1">#REF!</definedName>
    <definedName name="CalendárioAno10">#REF!</definedName>
    <definedName name="CalendárioAno11">#REF!</definedName>
    <definedName name="CalendárioAno12">#REF!</definedName>
    <definedName name="CalendárioAno2">#REF!</definedName>
    <definedName name="CalendárioAno3">#REF!</definedName>
    <definedName name="CalendárioAno4">#REF!</definedName>
    <definedName name="CalendárioAno5">#REF!</definedName>
    <definedName name="CalendárioAno6">#REF!</definedName>
    <definedName name="CalendárioAno7">#REF!</definedName>
    <definedName name="CalendárioAno8">#REF!</definedName>
    <definedName name="CalendárioAno9">#REF!</definedName>
    <definedName name="CaléndárioMês1">#REF!</definedName>
    <definedName name="CaléndárioMês10">#REF!</definedName>
    <definedName name="CaléndárioMês10Opção" localSheetId="0">MATCH([0]!CaléndárioMês10,[0]!Meses,0)</definedName>
    <definedName name="CaléndárioMês10Opção" localSheetId="1">MATCH([0]!CaléndárioMês10,[0]!Meses,0)</definedName>
    <definedName name="CaléndárioMês10Opção" localSheetId="2">MATCH([0]!CaléndárioMês10,[0]!Meses,0)</definedName>
    <definedName name="CaléndárioMês10Opção" localSheetId="3">MATCH([0]!CaléndárioMês10,[0]!Meses,0)</definedName>
    <definedName name="CaléndárioMês10Opção" localSheetId="4">MATCH([0]!CaléndárioMês10,[0]!Meses,0)</definedName>
    <definedName name="CaléndárioMês10Opção" localSheetId="5">MATCH([0]!CaléndárioMês10,[0]!Meses,0)</definedName>
    <definedName name="CaléndárioMês10Opção" localSheetId="6">MATCH([0]!CaléndárioMês10,[0]!Meses,0)</definedName>
    <definedName name="CaléndárioMês10Opção" localSheetId="7">MATCH([0]!CaléndárioMês10,[0]!Meses,0)</definedName>
    <definedName name="CaléndárioMês10Opção" localSheetId="8">MATCH([0]!CaléndárioMês10,[0]!Meses,0)</definedName>
    <definedName name="CaléndárioMês10Opção" localSheetId="9">MATCH([0]!CaléndárioMês10,[0]!Meses,0)</definedName>
    <definedName name="CaléndárioMês10Opção" localSheetId="10">MATCH([0]!CaléndárioMês10,[0]!Meses,0)</definedName>
    <definedName name="CaléndárioMês10Opção" localSheetId="11">MATCH([0]!CaléndárioMês10,[0]!Meses,0)</definedName>
    <definedName name="CaléndárioMês10Opção" localSheetId="12">MATCH([0]!CaléndárioMês10,[0]!Meses,0)</definedName>
    <definedName name="CaléndárioMês10Opção" localSheetId="13">MATCH([0]!CaléndárioMês10,[0]!Meses,0)</definedName>
    <definedName name="CaléndárioMês10Opção" localSheetId="14">MATCH([0]!CaléndárioMês10,[0]!Meses,0)</definedName>
    <definedName name="CaléndárioMês10Opção" localSheetId="15">MATCH([0]!CaléndárioMês10,[0]!Meses,0)</definedName>
    <definedName name="CaléndárioMês10Opção" localSheetId="16">MATCH([0]!CaléndárioMês10,[0]!Meses,0)</definedName>
    <definedName name="CaléndárioMês10Opção" localSheetId="17">MATCH([0]!CaléndárioMês10,[0]!Meses,0)</definedName>
    <definedName name="CaléndárioMês10Opção" localSheetId="18">MATCH([0]!CaléndárioMês10,[0]!Meses,0)</definedName>
    <definedName name="CaléndárioMês10Opção" localSheetId="19">MATCH([0]!CaléndárioMês10,[0]!Meses,0)</definedName>
    <definedName name="CaléndárioMês10Opção" localSheetId="20">MATCH([0]!CaléndárioMês10,[0]!Meses,0)</definedName>
    <definedName name="CaléndárioMês10Opção" localSheetId="21">MATCH([0]!CaléndárioMês10,[0]!Meses,0)</definedName>
    <definedName name="CaléndárioMês10Opção">MATCH(CaléndárioMês10,Meses,0)</definedName>
    <definedName name="CaléndárioMês11">#REF!</definedName>
    <definedName name="CaléndárioMês11Opção" localSheetId="0">MATCH([0]!CaléndárioMês11,[0]!Meses,0)</definedName>
    <definedName name="CaléndárioMês11Opção" localSheetId="1">MATCH([0]!CaléndárioMês11,[0]!Meses,0)</definedName>
    <definedName name="CaléndárioMês11Opção" localSheetId="2">MATCH([0]!CaléndárioMês11,[0]!Meses,0)</definedName>
    <definedName name="CaléndárioMês11Opção" localSheetId="3">MATCH([0]!CaléndárioMês11,[0]!Meses,0)</definedName>
    <definedName name="CaléndárioMês11Opção" localSheetId="4">MATCH([0]!CaléndárioMês11,[0]!Meses,0)</definedName>
    <definedName name="CaléndárioMês11Opção" localSheetId="5">MATCH([0]!CaléndárioMês11,[0]!Meses,0)</definedName>
    <definedName name="CaléndárioMês11Opção" localSheetId="6">MATCH([0]!CaléndárioMês11,[0]!Meses,0)</definedName>
    <definedName name="CaléndárioMês11Opção" localSheetId="7">MATCH([0]!CaléndárioMês11,[0]!Meses,0)</definedName>
    <definedName name="CaléndárioMês11Opção" localSheetId="8">MATCH([0]!CaléndárioMês11,[0]!Meses,0)</definedName>
    <definedName name="CaléndárioMês11Opção" localSheetId="9">MATCH([0]!CaléndárioMês11,[0]!Meses,0)</definedName>
    <definedName name="CaléndárioMês11Opção" localSheetId="10">MATCH([0]!CaléndárioMês11,[0]!Meses,0)</definedName>
    <definedName name="CaléndárioMês11Opção" localSheetId="11">MATCH([0]!CaléndárioMês11,[0]!Meses,0)</definedName>
    <definedName name="CaléndárioMês11Opção" localSheetId="12">MATCH([0]!CaléndárioMês11,[0]!Meses,0)</definedName>
    <definedName name="CaléndárioMês11Opção" localSheetId="13">MATCH([0]!CaléndárioMês11,[0]!Meses,0)</definedName>
    <definedName name="CaléndárioMês11Opção" localSheetId="14">MATCH([0]!CaléndárioMês11,[0]!Meses,0)</definedName>
    <definedName name="CaléndárioMês11Opção" localSheetId="15">MATCH([0]!CaléndárioMês11,[0]!Meses,0)</definedName>
    <definedName name="CaléndárioMês11Opção" localSheetId="16">MATCH([0]!CaléndárioMês11,[0]!Meses,0)</definedName>
    <definedName name="CaléndárioMês11Opção" localSheetId="17">MATCH([0]!CaléndárioMês11,[0]!Meses,0)</definedName>
    <definedName name="CaléndárioMês11Opção" localSheetId="18">MATCH([0]!CaléndárioMês11,[0]!Meses,0)</definedName>
    <definedName name="CaléndárioMês11Opção" localSheetId="19">MATCH([0]!CaléndárioMês11,[0]!Meses,0)</definedName>
    <definedName name="CaléndárioMês11Opção" localSheetId="20">MATCH([0]!CaléndárioMês11,[0]!Meses,0)</definedName>
    <definedName name="CaléndárioMês11Opção" localSheetId="21">MATCH([0]!CaléndárioMês11,[0]!Meses,0)</definedName>
    <definedName name="CaléndárioMês11Opção">MATCH(CaléndárioMês11,Meses,0)</definedName>
    <definedName name="CaléndárioMês12">#REF!</definedName>
    <definedName name="CaléndárioMês12Opção" localSheetId="0">MATCH([0]!CaléndárioMês12,[0]!Meses,0)</definedName>
    <definedName name="CaléndárioMês12Opção" localSheetId="1">MATCH([0]!CaléndárioMês12,[0]!Meses,0)</definedName>
    <definedName name="CaléndárioMês12Opção" localSheetId="2">MATCH([0]!CaléndárioMês12,[0]!Meses,0)</definedName>
    <definedName name="CaléndárioMês12Opção" localSheetId="3">MATCH([0]!CaléndárioMês12,[0]!Meses,0)</definedName>
    <definedName name="CaléndárioMês12Opção" localSheetId="4">MATCH([0]!CaléndárioMês12,[0]!Meses,0)</definedName>
    <definedName name="CaléndárioMês12Opção" localSheetId="5">MATCH([0]!CaléndárioMês12,[0]!Meses,0)</definedName>
    <definedName name="CaléndárioMês12Opção" localSheetId="6">MATCH([0]!CaléndárioMês12,[0]!Meses,0)</definedName>
    <definedName name="CaléndárioMês12Opção" localSheetId="7">MATCH([0]!CaléndárioMês12,[0]!Meses,0)</definedName>
    <definedName name="CaléndárioMês12Opção" localSheetId="8">MATCH([0]!CaléndárioMês12,[0]!Meses,0)</definedName>
    <definedName name="CaléndárioMês12Opção" localSheetId="9">MATCH([0]!CaléndárioMês12,[0]!Meses,0)</definedName>
    <definedName name="CaléndárioMês12Opção" localSheetId="10">MATCH([0]!CaléndárioMês12,[0]!Meses,0)</definedName>
    <definedName name="CaléndárioMês12Opção" localSheetId="11">MATCH([0]!CaléndárioMês12,[0]!Meses,0)</definedName>
    <definedName name="CaléndárioMês12Opção" localSheetId="12">MATCH([0]!CaléndárioMês12,[0]!Meses,0)</definedName>
    <definedName name="CaléndárioMês12Opção" localSheetId="13">MATCH([0]!CaléndárioMês12,[0]!Meses,0)</definedName>
    <definedName name="CaléndárioMês12Opção" localSheetId="14">MATCH([0]!CaléndárioMês12,[0]!Meses,0)</definedName>
    <definedName name="CaléndárioMês12Opção" localSheetId="15">MATCH([0]!CaléndárioMês12,[0]!Meses,0)</definedName>
    <definedName name="CaléndárioMês12Opção" localSheetId="16">MATCH([0]!CaléndárioMês12,[0]!Meses,0)</definedName>
    <definedName name="CaléndárioMês12Opção" localSheetId="17">MATCH([0]!CaléndárioMês12,[0]!Meses,0)</definedName>
    <definedName name="CaléndárioMês12Opção" localSheetId="18">MATCH([0]!CaléndárioMês12,[0]!Meses,0)</definedName>
    <definedName name="CaléndárioMês12Opção" localSheetId="19">MATCH([0]!CaléndárioMês12,[0]!Meses,0)</definedName>
    <definedName name="CaléndárioMês12Opção" localSheetId="20">MATCH([0]!CaléndárioMês12,[0]!Meses,0)</definedName>
    <definedName name="CaléndárioMês12Opção" localSheetId="21">MATCH([0]!CaléndárioMês12,[0]!Meses,0)</definedName>
    <definedName name="CaléndárioMês12Opção">MATCH(CaléndárioMês12,Meses,0)</definedName>
    <definedName name="CaléndárioMês1Opção" localSheetId="0">MATCH([0]!CaléndárioMês1,[0]!Meses,0)</definedName>
    <definedName name="CaléndárioMês1Opção" localSheetId="1">MATCH([0]!CaléndárioMês1,[0]!Meses,0)</definedName>
    <definedName name="CaléndárioMês1Opção" localSheetId="2">MATCH([0]!CaléndárioMês1,[0]!Meses,0)</definedName>
    <definedName name="CaléndárioMês1Opção" localSheetId="3">MATCH([0]!CaléndárioMês1,[0]!Meses,0)</definedName>
    <definedName name="CaléndárioMês1Opção" localSheetId="4">MATCH([0]!CaléndárioMês1,[0]!Meses,0)</definedName>
    <definedName name="CaléndárioMês1Opção" localSheetId="5">MATCH([0]!CaléndárioMês1,[0]!Meses,0)</definedName>
    <definedName name="CaléndárioMês1Opção" localSheetId="6">MATCH([0]!CaléndárioMês1,[0]!Meses,0)</definedName>
    <definedName name="CaléndárioMês1Opção" localSheetId="7">MATCH([0]!CaléndárioMês1,[0]!Meses,0)</definedName>
    <definedName name="CaléndárioMês1Opção" localSheetId="8">MATCH([0]!CaléndárioMês1,[0]!Meses,0)</definedName>
    <definedName name="CaléndárioMês1Opção" localSheetId="9">MATCH([0]!CaléndárioMês1,[0]!Meses,0)</definedName>
    <definedName name="CaléndárioMês1Opção" localSheetId="10">MATCH([0]!CaléndárioMês1,[0]!Meses,0)</definedName>
    <definedName name="CaléndárioMês1Opção" localSheetId="11">MATCH([0]!CaléndárioMês1,[0]!Meses,0)</definedName>
    <definedName name="CaléndárioMês1Opção" localSheetId="12">MATCH([0]!CaléndárioMês1,[0]!Meses,0)</definedName>
    <definedName name="CaléndárioMês1Opção" localSheetId="13">MATCH([0]!CaléndárioMês1,[0]!Meses,0)</definedName>
    <definedName name="CaléndárioMês1Opção" localSheetId="14">MATCH([0]!CaléndárioMês1,[0]!Meses,0)</definedName>
    <definedName name="CaléndárioMês1Opção" localSheetId="15">MATCH([0]!CaléndárioMês1,[0]!Meses,0)</definedName>
    <definedName name="CaléndárioMês1Opção" localSheetId="16">MATCH([0]!CaléndárioMês1,[0]!Meses,0)</definedName>
    <definedName name="CaléndárioMês1Opção" localSheetId="17">MATCH([0]!CaléndárioMês1,[0]!Meses,0)</definedName>
    <definedName name="CaléndárioMês1Opção" localSheetId="18">MATCH([0]!CaléndárioMês1,[0]!Meses,0)</definedName>
    <definedName name="CaléndárioMês1Opção" localSheetId="19">MATCH([0]!CaléndárioMês1,[0]!Meses,0)</definedName>
    <definedName name="CaléndárioMês1Opção" localSheetId="20">MATCH([0]!CaléndárioMês1,[0]!Meses,0)</definedName>
    <definedName name="CaléndárioMês1Opção" localSheetId="21">MATCH([0]!CaléndárioMês1,[0]!Meses,0)</definedName>
    <definedName name="CaléndárioMês1Opção">MATCH(CaléndárioMês1,Meses,0)</definedName>
    <definedName name="CaléndárioMês2">#REF!</definedName>
    <definedName name="CaléndárioMês2Opção" localSheetId="0">MATCH([0]!CaléndárioMês2,[0]!Meses,0)</definedName>
    <definedName name="CaléndárioMês2Opção" localSheetId="1">MATCH([0]!CaléndárioMês2,[0]!Meses,0)</definedName>
    <definedName name="CaléndárioMês2Opção" localSheetId="2">MATCH([0]!CaléndárioMês2,[0]!Meses,0)</definedName>
    <definedName name="CaléndárioMês2Opção" localSheetId="3">MATCH([0]!CaléndárioMês2,[0]!Meses,0)</definedName>
    <definedName name="CaléndárioMês2Opção" localSheetId="4">MATCH([0]!CaléndárioMês2,[0]!Meses,0)</definedName>
    <definedName name="CaléndárioMês2Opção" localSheetId="5">MATCH([0]!CaléndárioMês2,[0]!Meses,0)</definedName>
    <definedName name="CaléndárioMês2Opção" localSheetId="6">MATCH([0]!CaléndárioMês2,[0]!Meses,0)</definedName>
    <definedName name="CaléndárioMês2Opção" localSheetId="7">MATCH([0]!CaléndárioMês2,[0]!Meses,0)</definedName>
    <definedName name="CaléndárioMês2Opção" localSheetId="8">MATCH([0]!CaléndárioMês2,[0]!Meses,0)</definedName>
    <definedName name="CaléndárioMês2Opção" localSheetId="9">MATCH([0]!CaléndárioMês2,[0]!Meses,0)</definedName>
    <definedName name="CaléndárioMês2Opção" localSheetId="10">MATCH([0]!CaléndárioMês2,[0]!Meses,0)</definedName>
    <definedName name="CaléndárioMês2Opção" localSheetId="11">MATCH([0]!CaléndárioMês2,[0]!Meses,0)</definedName>
    <definedName name="CaléndárioMês2Opção" localSheetId="12">MATCH([0]!CaléndárioMês2,[0]!Meses,0)</definedName>
    <definedName name="CaléndárioMês2Opção" localSheetId="13">MATCH([0]!CaléndárioMês2,[0]!Meses,0)</definedName>
    <definedName name="CaléndárioMês2Opção" localSheetId="14">MATCH([0]!CaléndárioMês2,[0]!Meses,0)</definedName>
    <definedName name="CaléndárioMês2Opção" localSheetId="15">MATCH([0]!CaléndárioMês2,[0]!Meses,0)</definedName>
    <definedName name="CaléndárioMês2Opção" localSheetId="16">MATCH([0]!CaléndárioMês2,[0]!Meses,0)</definedName>
    <definedName name="CaléndárioMês2Opção" localSheetId="17">MATCH([0]!CaléndárioMês2,[0]!Meses,0)</definedName>
    <definedName name="CaléndárioMês2Opção" localSheetId="18">MATCH([0]!CaléndárioMês2,[0]!Meses,0)</definedName>
    <definedName name="CaléndárioMês2Opção" localSheetId="19">MATCH([0]!CaléndárioMês2,[0]!Meses,0)</definedName>
    <definedName name="CaléndárioMês2Opção" localSheetId="20">MATCH([0]!CaléndárioMês2,[0]!Meses,0)</definedName>
    <definedName name="CaléndárioMês2Opção" localSheetId="21">MATCH([0]!CaléndárioMês2,[0]!Meses,0)</definedName>
    <definedName name="CaléndárioMês2Opção">MATCH(CaléndárioMês2,Meses,0)</definedName>
    <definedName name="CaléndárioMês3">#REF!</definedName>
    <definedName name="CaléndárioMês3Opção" localSheetId="0">MATCH([0]!CaléndárioMês3,[0]!Meses,0)</definedName>
    <definedName name="CaléndárioMês3Opção" localSheetId="1">MATCH([0]!CaléndárioMês3,[0]!Meses,0)</definedName>
    <definedName name="CaléndárioMês3Opção" localSheetId="2">MATCH([0]!CaléndárioMês3,[0]!Meses,0)</definedName>
    <definedName name="CaléndárioMês3Opção" localSheetId="3">MATCH([0]!CaléndárioMês3,[0]!Meses,0)</definedName>
    <definedName name="CaléndárioMês3Opção" localSheetId="4">MATCH([0]!CaléndárioMês3,[0]!Meses,0)</definedName>
    <definedName name="CaléndárioMês3Opção" localSheetId="5">MATCH([0]!CaléndárioMês3,[0]!Meses,0)</definedName>
    <definedName name="CaléndárioMês3Opção" localSheetId="6">MATCH([0]!CaléndárioMês3,[0]!Meses,0)</definedName>
    <definedName name="CaléndárioMês3Opção" localSheetId="7">MATCH([0]!CaléndárioMês3,[0]!Meses,0)</definedName>
    <definedName name="CaléndárioMês3Opção" localSheetId="8">MATCH([0]!CaléndárioMês3,[0]!Meses,0)</definedName>
    <definedName name="CaléndárioMês3Opção" localSheetId="9">MATCH([0]!CaléndárioMês3,[0]!Meses,0)</definedName>
    <definedName name="CaléndárioMês3Opção" localSheetId="10">MATCH([0]!CaléndárioMês3,[0]!Meses,0)</definedName>
    <definedName name="CaléndárioMês3Opção" localSheetId="11">MATCH([0]!CaléndárioMês3,[0]!Meses,0)</definedName>
    <definedName name="CaléndárioMês3Opção" localSheetId="12">MATCH([0]!CaléndárioMês3,[0]!Meses,0)</definedName>
    <definedName name="CaléndárioMês3Opção" localSheetId="13">MATCH([0]!CaléndárioMês3,[0]!Meses,0)</definedName>
    <definedName name="CaléndárioMês3Opção" localSheetId="14">MATCH([0]!CaléndárioMês3,[0]!Meses,0)</definedName>
    <definedName name="CaléndárioMês3Opção" localSheetId="15">MATCH([0]!CaléndárioMês3,[0]!Meses,0)</definedName>
    <definedName name="CaléndárioMês3Opção" localSheetId="16">MATCH([0]!CaléndárioMês3,[0]!Meses,0)</definedName>
    <definedName name="CaléndárioMês3Opção" localSheetId="17">MATCH([0]!CaléndárioMês3,[0]!Meses,0)</definedName>
    <definedName name="CaléndárioMês3Opção" localSheetId="18">MATCH([0]!CaléndárioMês3,[0]!Meses,0)</definedName>
    <definedName name="CaléndárioMês3Opção" localSheetId="19">MATCH([0]!CaléndárioMês3,[0]!Meses,0)</definedName>
    <definedName name="CaléndárioMês3Opção" localSheetId="20">MATCH([0]!CaléndárioMês3,[0]!Meses,0)</definedName>
    <definedName name="CaléndárioMês3Opção" localSheetId="21">MATCH([0]!CaléndárioMês3,[0]!Meses,0)</definedName>
    <definedName name="CaléndárioMês3Opção">MATCH(CaléndárioMês3,Meses,0)</definedName>
    <definedName name="CaléndárioMês4">#REF!</definedName>
    <definedName name="CaléndárioMês4Opção" localSheetId="0">MATCH([0]!CaléndárioMês4,[0]!Meses,0)</definedName>
    <definedName name="CaléndárioMês4Opção" localSheetId="1">MATCH([0]!CaléndárioMês4,[0]!Meses,0)</definedName>
    <definedName name="CaléndárioMês4Opção" localSheetId="2">MATCH([0]!CaléndárioMês4,[0]!Meses,0)</definedName>
    <definedName name="CaléndárioMês4Opção" localSheetId="3">MATCH([0]!CaléndárioMês4,[0]!Meses,0)</definedName>
    <definedName name="CaléndárioMês4Opção" localSheetId="4">MATCH([0]!CaléndárioMês4,[0]!Meses,0)</definedName>
    <definedName name="CaléndárioMês4Opção" localSheetId="5">MATCH([0]!CaléndárioMês4,[0]!Meses,0)</definedName>
    <definedName name="CaléndárioMês4Opção" localSheetId="6">MATCH([0]!CaléndárioMês4,[0]!Meses,0)</definedName>
    <definedName name="CaléndárioMês4Opção" localSheetId="7">MATCH([0]!CaléndárioMês4,[0]!Meses,0)</definedName>
    <definedName name="CaléndárioMês4Opção" localSheetId="8">MATCH([0]!CaléndárioMês4,[0]!Meses,0)</definedName>
    <definedName name="CaléndárioMês4Opção" localSheetId="9">MATCH([0]!CaléndárioMês4,[0]!Meses,0)</definedName>
    <definedName name="CaléndárioMês4Opção" localSheetId="10">MATCH([0]!CaléndárioMês4,[0]!Meses,0)</definedName>
    <definedName name="CaléndárioMês4Opção" localSheetId="11">MATCH([0]!CaléndárioMês4,[0]!Meses,0)</definedName>
    <definedName name="CaléndárioMês4Opção" localSheetId="12">MATCH([0]!CaléndárioMês4,[0]!Meses,0)</definedName>
    <definedName name="CaléndárioMês4Opção" localSheetId="13">MATCH([0]!CaléndárioMês4,[0]!Meses,0)</definedName>
    <definedName name="CaléndárioMês4Opção" localSheetId="14">MATCH([0]!CaléndárioMês4,[0]!Meses,0)</definedName>
    <definedName name="CaléndárioMês4Opção" localSheetId="15">MATCH([0]!CaléndárioMês4,[0]!Meses,0)</definedName>
    <definedName name="CaléndárioMês4Opção" localSheetId="16">MATCH([0]!CaléndárioMês4,[0]!Meses,0)</definedName>
    <definedName name="CaléndárioMês4Opção" localSheetId="17">MATCH([0]!CaléndárioMês4,[0]!Meses,0)</definedName>
    <definedName name="CaléndárioMês4Opção" localSheetId="18">MATCH([0]!CaléndárioMês4,[0]!Meses,0)</definedName>
    <definedName name="CaléndárioMês4Opção" localSheetId="19">MATCH([0]!CaléndárioMês4,[0]!Meses,0)</definedName>
    <definedName name="CaléndárioMês4Opção" localSheetId="20">MATCH([0]!CaléndárioMês4,[0]!Meses,0)</definedName>
    <definedName name="CaléndárioMês4Opção" localSheetId="21">MATCH([0]!CaléndárioMês4,[0]!Meses,0)</definedName>
    <definedName name="CaléndárioMês4Opção">MATCH(CaléndárioMês4,Meses,0)</definedName>
    <definedName name="CaléndárioMês5">#REF!</definedName>
    <definedName name="CaléndárioMês5Opção" localSheetId="0">MATCH([0]!CaléndárioMês5,[0]!Meses,0)</definedName>
    <definedName name="CaléndárioMês5Opção" localSheetId="1">MATCH([0]!CaléndárioMês5,[0]!Meses,0)</definedName>
    <definedName name="CaléndárioMês5Opção" localSheetId="2">MATCH([0]!CaléndárioMês5,[0]!Meses,0)</definedName>
    <definedName name="CaléndárioMês5Opção" localSheetId="3">MATCH([0]!CaléndárioMês5,[0]!Meses,0)</definedName>
    <definedName name="CaléndárioMês5Opção" localSheetId="4">MATCH([0]!CaléndárioMês5,[0]!Meses,0)</definedName>
    <definedName name="CaléndárioMês5Opção" localSheetId="5">MATCH([0]!CaléndárioMês5,[0]!Meses,0)</definedName>
    <definedName name="CaléndárioMês5Opção" localSheetId="6">MATCH([0]!CaléndárioMês5,[0]!Meses,0)</definedName>
    <definedName name="CaléndárioMês5Opção" localSheetId="7">MATCH([0]!CaléndárioMês5,[0]!Meses,0)</definedName>
    <definedName name="CaléndárioMês5Opção" localSheetId="8">MATCH([0]!CaléndárioMês5,[0]!Meses,0)</definedName>
    <definedName name="CaléndárioMês5Opção" localSheetId="9">MATCH([0]!CaléndárioMês5,[0]!Meses,0)</definedName>
    <definedName name="CaléndárioMês5Opção" localSheetId="10">MATCH([0]!CaléndárioMês5,[0]!Meses,0)</definedName>
    <definedName name="CaléndárioMês5Opção" localSheetId="11">MATCH([0]!CaléndárioMês5,[0]!Meses,0)</definedName>
    <definedName name="CaléndárioMês5Opção" localSheetId="12">MATCH([0]!CaléndárioMês5,[0]!Meses,0)</definedName>
    <definedName name="CaléndárioMês5Opção" localSheetId="13">MATCH([0]!CaléndárioMês5,[0]!Meses,0)</definedName>
    <definedName name="CaléndárioMês5Opção" localSheetId="14">MATCH([0]!CaléndárioMês5,[0]!Meses,0)</definedName>
    <definedName name="CaléndárioMês5Opção" localSheetId="15">MATCH([0]!CaléndárioMês5,[0]!Meses,0)</definedName>
    <definedName name="CaléndárioMês5Opção" localSheetId="16">MATCH([0]!CaléndárioMês5,[0]!Meses,0)</definedName>
    <definedName name="CaléndárioMês5Opção" localSheetId="17">MATCH([0]!CaléndárioMês5,[0]!Meses,0)</definedName>
    <definedName name="CaléndárioMês5Opção" localSheetId="18">MATCH([0]!CaléndárioMês5,[0]!Meses,0)</definedName>
    <definedName name="CaléndárioMês5Opção" localSheetId="19">MATCH([0]!CaléndárioMês5,[0]!Meses,0)</definedName>
    <definedName name="CaléndárioMês5Opção" localSheetId="20">MATCH([0]!CaléndárioMês5,[0]!Meses,0)</definedName>
    <definedName name="CaléndárioMês5Opção" localSheetId="21">MATCH([0]!CaléndárioMês5,[0]!Meses,0)</definedName>
    <definedName name="CaléndárioMês5Opção">MATCH(CaléndárioMês5,Meses,0)</definedName>
    <definedName name="CaléndárioMês6">#REF!</definedName>
    <definedName name="CaléndárioMês6Opção" localSheetId="0">MATCH([0]!CaléndárioMês6,[0]!Meses,0)</definedName>
    <definedName name="CaléndárioMês6Opção" localSheetId="1">MATCH([0]!CaléndárioMês6,[0]!Meses,0)</definedName>
    <definedName name="CaléndárioMês6Opção" localSheetId="2">MATCH([0]!CaléndárioMês6,[0]!Meses,0)</definedName>
    <definedName name="CaléndárioMês6Opção" localSheetId="3">MATCH([0]!CaléndárioMês6,[0]!Meses,0)</definedName>
    <definedName name="CaléndárioMês6Opção" localSheetId="4">MATCH([0]!CaléndárioMês6,[0]!Meses,0)</definedName>
    <definedName name="CaléndárioMês6Opção" localSheetId="5">MATCH([0]!CaléndárioMês6,[0]!Meses,0)</definedName>
    <definedName name="CaléndárioMês6Opção" localSheetId="6">MATCH([0]!CaléndárioMês6,[0]!Meses,0)</definedName>
    <definedName name="CaléndárioMês6Opção" localSheetId="7">MATCH([0]!CaléndárioMês6,[0]!Meses,0)</definedName>
    <definedName name="CaléndárioMês6Opção" localSheetId="8">MATCH([0]!CaléndárioMês6,[0]!Meses,0)</definedName>
    <definedName name="CaléndárioMês6Opção" localSheetId="9">MATCH([0]!CaléndárioMês6,[0]!Meses,0)</definedName>
    <definedName name="CaléndárioMês6Opção" localSheetId="10">MATCH([0]!CaléndárioMês6,[0]!Meses,0)</definedName>
    <definedName name="CaléndárioMês6Opção" localSheetId="11">MATCH([0]!CaléndárioMês6,[0]!Meses,0)</definedName>
    <definedName name="CaléndárioMês6Opção" localSheetId="12">MATCH([0]!CaléndárioMês6,[0]!Meses,0)</definedName>
    <definedName name="CaléndárioMês6Opção" localSheetId="13">MATCH([0]!CaléndárioMês6,[0]!Meses,0)</definedName>
    <definedName name="CaléndárioMês6Opção" localSheetId="14">MATCH([0]!CaléndárioMês6,[0]!Meses,0)</definedName>
    <definedName name="CaléndárioMês6Opção" localSheetId="15">MATCH([0]!CaléndárioMês6,[0]!Meses,0)</definedName>
    <definedName name="CaléndárioMês6Opção" localSheetId="16">MATCH([0]!CaléndárioMês6,[0]!Meses,0)</definedName>
    <definedName name="CaléndárioMês6Opção" localSheetId="17">MATCH([0]!CaléndárioMês6,[0]!Meses,0)</definedName>
    <definedName name="CaléndárioMês6Opção" localSheetId="18">MATCH([0]!CaléndárioMês6,[0]!Meses,0)</definedName>
    <definedName name="CaléndárioMês6Opção" localSheetId="19">MATCH([0]!CaléndárioMês6,[0]!Meses,0)</definedName>
    <definedName name="CaléndárioMês6Opção" localSheetId="20">MATCH([0]!CaléndárioMês6,[0]!Meses,0)</definedName>
    <definedName name="CaléndárioMês6Opção" localSheetId="21">MATCH([0]!CaléndárioMês6,[0]!Meses,0)</definedName>
    <definedName name="CaléndárioMês6Opção">MATCH(CaléndárioMês6,Meses,0)</definedName>
    <definedName name="CaléndárioMês7">#REF!</definedName>
    <definedName name="CaléndárioMês7Opção" localSheetId="0">MATCH([0]!CaléndárioMês7,[0]!Meses,0)</definedName>
    <definedName name="CaléndárioMês7Opção" localSheetId="1">MATCH([0]!CaléndárioMês7,[0]!Meses,0)</definedName>
    <definedName name="CaléndárioMês7Opção" localSheetId="2">MATCH([0]!CaléndárioMês7,[0]!Meses,0)</definedName>
    <definedName name="CaléndárioMês7Opção" localSheetId="3">MATCH([0]!CaléndárioMês7,[0]!Meses,0)</definedName>
    <definedName name="CaléndárioMês7Opção" localSheetId="4">MATCH([0]!CaléndárioMês7,[0]!Meses,0)</definedName>
    <definedName name="CaléndárioMês7Opção" localSheetId="5">MATCH([0]!CaléndárioMês7,[0]!Meses,0)</definedName>
    <definedName name="CaléndárioMês7Opção" localSheetId="6">MATCH([0]!CaléndárioMês7,[0]!Meses,0)</definedName>
    <definedName name="CaléndárioMês7Opção" localSheetId="7">MATCH([0]!CaléndárioMês7,[0]!Meses,0)</definedName>
    <definedName name="CaléndárioMês7Opção" localSheetId="8">MATCH([0]!CaléndárioMês7,[0]!Meses,0)</definedName>
    <definedName name="CaléndárioMês7Opção" localSheetId="9">MATCH([0]!CaléndárioMês7,[0]!Meses,0)</definedName>
    <definedName name="CaléndárioMês7Opção" localSheetId="10">MATCH([0]!CaléndárioMês7,[0]!Meses,0)</definedName>
    <definedName name="CaléndárioMês7Opção" localSheetId="11">MATCH([0]!CaléndárioMês7,[0]!Meses,0)</definedName>
    <definedName name="CaléndárioMês7Opção" localSheetId="12">MATCH([0]!CaléndárioMês7,[0]!Meses,0)</definedName>
    <definedName name="CaléndárioMês7Opção" localSheetId="13">MATCH([0]!CaléndárioMês7,[0]!Meses,0)</definedName>
    <definedName name="CaléndárioMês7Opção" localSheetId="14">MATCH([0]!CaléndárioMês7,[0]!Meses,0)</definedName>
    <definedName name="CaléndárioMês7Opção" localSheetId="15">MATCH([0]!CaléndárioMês7,[0]!Meses,0)</definedName>
    <definedName name="CaléndárioMês7Opção" localSheetId="16">MATCH([0]!CaléndárioMês7,[0]!Meses,0)</definedName>
    <definedName name="CaléndárioMês7Opção" localSheetId="17">MATCH([0]!CaléndárioMês7,[0]!Meses,0)</definedName>
    <definedName name="CaléndárioMês7Opção" localSheetId="18">MATCH([0]!CaléndárioMês7,[0]!Meses,0)</definedName>
    <definedName name="CaléndárioMês7Opção" localSheetId="19">MATCH([0]!CaléndárioMês7,[0]!Meses,0)</definedName>
    <definedName name="CaléndárioMês7Opção" localSheetId="20">MATCH([0]!CaléndárioMês7,[0]!Meses,0)</definedName>
    <definedName name="CaléndárioMês7Opção" localSheetId="21">MATCH([0]!CaléndárioMês7,[0]!Meses,0)</definedName>
    <definedName name="CaléndárioMês7Opção">MATCH(CaléndárioMês7,Meses,0)</definedName>
    <definedName name="CaléndárioMês8">#REF!</definedName>
    <definedName name="CaléndárioMês8Opção" localSheetId="0">MATCH([0]!CaléndárioMês8,[0]!Meses,0)</definedName>
    <definedName name="CaléndárioMês8Opção" localSheetId="1">MATCH([0]!CaléndárioMês8,[0]!Meses,0)</definedName>
    <definedName name="CaléndárioMês8Opção" localSheetId="2">MATCH([0]!CaléndárioMês8,[0]!Meses,0)</definedName>
    <definedName name="CaléndárioMês8Opção" localSheetId="3">MATCH([0]!CaléndárioMês8,[0]!Meses,0)</definedName>
    <definedName name="CaléndárioMês8Opção" localSheetId="4">MATCH([0]!CaléndárioMês8,[0]!Meses,0)</definedName>
    <definedName name="CaléndárioMês8Opção" localSheetId="5">MATCH([0]!CaléndárioMês8,[0]!Meses,0)</definedName>
    <definedName name="CaléndárioMês8Opção" localSheetId="6">MATCH([0]!CaléndárioMês8,[0]!Meses,0)</definedName>
    <definedName name="CaléndárioMês8Opção" localSheetId="7">MATCH([0]!CaléndárioMês8,[0]!Meses,0)</definedName>
    <definedName name="CaléndárioMês8Opção" localSheetId="8">MATCH([0]!CaléndárioMês8,[0]!Meses,0)</definedName>
    <definedName name="CaléndárioMês8Opção" localSheetId="9">MATCH([0]!CaléndárioMês8,[0]!Meses,0)</definedName>
    <definedName name="CaléndárioMês8Opção" localSheetId="10">MATCH([0]!CaléndárioMês8,[0]!Meses,0)</definedName>
    <definedName name="CaléndárioMês8Opção" localSheetId="11">MATCH([0]!CaléndárioMês8,[0]!Meses,0)</definedName>
    <definedName name="CaléndárioMês8Opção" localSheetId="12">MATCH([0]!CaléndárioMês8,[0]!Meses,0)</definedName>
    <definedName name="CaléndárioMês8Opção" localSheetId="13">MATCH([0]!CaléndárioMês8,[0]!Meses,0)</definedName>
    <definedName name="CaléndárioMês8Opção" localSheetId="14">MATCH([0]!CaléndárioMês8,[0]!Meses,0)</definedName>
    <definedName name="CaléndárioMês8Opção" localSheetId="15">MATCH([0]!CaléndárioMês8,[0]!Meses,0)</definedName>
    <definedName name="CaléndárioMês8Opção" localSheetId="16">MATCH([0]!CaléndárioMês8,[0]!Meses,0)</definedName>
    <definedName name="CaléndárioMês8Opção" localSheetId="17">MATCH([0]!CaléndárioMês8,[0]!Meses,0)</definedName>
    <definedName name="CaléndárioMês8Opção" localSheetId="18">MATCH([0]!CaléndárioMês8,[0]!Meses,0)</definedName>
    <definedName name="CaléndárioMês8Opção" localSheetId="19">MATCH([0]!CaléndárioMês8,[0]!Meses,0)</definedName>
    <definedName name="CaléndárioMês8Opção" localSheetId="20">MATCH([0]!CaléndárioMês8,[0]!Meses,0)</definedName>
    <definedName name="CaléndárioMês8Opção" localSheetId="21">MATCH([0]!CaléndárioMês8,[0]!Meses,0)</definedName>
    <definedName name="CaléndárioMês8Opção">MATCH(CaléndárioMês8,Meses,0)</definedName>
    <definedName name="CaléndárioMês9">#REF!</definedName>
    <definedName name="CaléndárioMês9Opção" localSheetId="0">MATCH([0]!CaléndárioMês9,[0]!Meses,0)</definedName>
    <definedName name="CaléndárioMês9Opção" localSheetId="1">MATCH([0]!CaléndárioMês9,[0]!Meses,0)</definedName>
    <definedName name="CaléndárioMês9Opção" localSheetId="2">MATCH([0]!CaléndárioMês9,[0]!Meses,0)</definedName>
    <definedName name="CaléndárioMês9Opção" localSheetId="3">MATCH([0]!CaléndárioMês9,[0]!Meses,0)</definedName>
    <definedName name="CaléndárioMês9Opção" localSheetId="4">MATCH([0]!CaléndárioMês9,[0]!Meses,0)</definedName>
    <definedName name="CaléndárioMês9Opção" localSheetId="5">MATCH([0]!CaléndárioMês9,[0]!Meses,0)</definedName>
    <definedName name="CaléndárioMês9Opção" localSheetId="6">MATCH([0]!CaléndárioMês9,[0]!Meses,0)</definedName>
    <definedName name="CaléndárioMês9Opção" localSheetId="7">MATCH([0]!CaléndárioMês9,[0]!Meses,0)</definedName>
    <definedName name="CaléndárioMês9Opção" localSheetId="8">MATCH([0]!CaléndárioMês9,[0]!Meses,0)</definedName>
    <definedName name="CaléndárioMês9Opção" localSheetId="9">MATCH([0]!CaléndárioMês9,[0]!Meses,0)</definedName>
    <definedName name="CaléndárioMês9Opção" localSheetId="10">MATCH([0]!CaléndárioMês9,[0]!Meses,0)</definedName>
    <definedName name="CaléndárioMês9Opção" localSheetId="11">MATCH([0]!CaléndárioMês9,[0]!Meses,0)</definedName>
    <definedName name="CaléndárioMês9Opção" localSheetId="12">MATCH([0]!CaléndárioMês9,[0]!Meses,0)</definedName>
    <definedName name="CaléndárioMês9Opção" localSheetId="13">MATCH([0]!CaléndárioMês9,[0]!Meses,0)</definedName>
    <definedName name="CaléndárioMês9Opção" localSheetId="14">MATCH([0]!CaléndárioMês9,[0]!Meses,0)</definedName>
    <definedName name="CaléndárioMês9Opção" localSheetId="15">MATCH([0]!CaléndárioMês9,[0]!Meses,0)</definedName>
    <definedName name="CaléndárioMês9Opção" localSheetId="16">MATCH([0]!CaléndárioMês9,[0]!Meses,0)</definedName>
    <definedName name="CaléndárioMês9Opção" localSheetId="17">MATCH([0]!CaléndárioMês9,[0]!Meses,0)</definedName>
    <definedName name="CaléndárioMês9Opção" localSheetId="18">MATCH([0]!CaléndárioMês9,[0]!Meses,0)</definedName>
    <definedName name="CaléndárioMês9Opção" localSheetId="19">MATCH([0]!CaléndárioMês9,[0]!Meses,0)</definedName>
    <definedName name="CaléndárioMês9Opção" localSheetId="20">MATCH([0]!CaléndárioMês9,[0]!Meses,0)</definedName>
    <definedName name="CaléndárioMês9Opção" localSheetId="21">MATCH([0]!CaléndárioMês9,[0]!Meses,0)</definedName>
    <definedName name="CaléndárioMês9Opção">MATCH(CaléndárioMês9,Meses,0)</definedName>
    <definedName name="DiaDaSemanaOpção" localSheetId="0">MATCH([0]!InícioDaSemana,[0]!DiasDaSemana,0)+10</definedName>
    <definedName name="DiaDaSemanaOpção" localSheetId="1">MATCH([0]!InícioDaSemana,[0]!DiasDaSemana,0)+10</definedName>
    <definedName name="DiaDaSemanaOpção" localSheetId="2">MATCH([0]!InícioDaSemana,[0]!DiasDaSemana,0)+10</definedName>
    <definedName name="DiaDaSemanaOpção" localSheetId="3">MATCH([0]!InícioDaSemana,[0]!DiasDaSemana,0)+10</definedName>
    <definedName name="DiaDaSemanaOpção" localSheetId="4">MATCH([0]!InícioDaSemana,[0]!DiasDaSemana,0)+10</definedName>
    <definedName name="DiaDaSemanaOpção" localSheetId="5">MATCH([0]!InícioDaSemana,[0]!DiasDaSemana,0)+10</definedName>
    <definedName name="DiaDaSemanaOpção" localSheetId="6">MATCH([0]!InícioDaSemana,[0]!DiasDaSemana,0)+10</definedName>
    <definedName name="DiaDaSemanaOpção" localSheetId="7">MATCH([0]!InícioDaSemana,[0]!DiasDaSemana,0)+10</definedName>
    <definedName name="DiaDaSemanaOpção" localSheetId="8">MATCH([0]!InícioDaSemana,[0]!DiasDaSemana,0)+10</definedName>
    <definedName name="DiaDaSemanaOpção" localSheetId="9">MATCH([0]!InícioDaSemana,[0]!DiasDaSemana,0)+10</definedName>
    <definedName name="DiaDaSemanaOpção" localSheetId="10">MATCH([0]!InícioDaSemana,[0]!DiasDaSemana,0)+10</definedName>
    <definedName name="DiaDaSemanaOpção" localSheetId="11">MATCH([0]!InícioDaSemana,[0]!DiasDaSemana,0)+10</definedName>
    <definedName name="DiaDaSemanaOpção" localSheetId="12">MATCH([0]!InícioDaSemana,[0]!DiasDaSemana,0)+10</definedName>
    <definedName name="DiaDaSemanaOpção" localSheetId="13">MATCH([0]!InícioDaSemana,[0]!DiasDaSemana,0)+10</definedName>
    <definedName name="DiaDaSemanaOpção" localSheetId="14">MATCH([0]!InícioDaSemana,[0]!DiasDaSemana,0)+10</definedName>
    <definedName name="DiaDaSemanaOpção" localSheetId="15">MATCH([0]!InícioDaSemana,[0]!DiasDaSemana,0)+10</definedName>
    <definedName name="DiaDaSemanaOpção" localSheetId="16">MATCH([0]!InícioDaSemana,[0]!DiasDaSemana,0)+10</definedName>
    <definedName name="DiaDaSemanaOpção" localSheetId="17">MATCH([0]!InícioDaSemana,[0]!DiasDaSemana,0)+10</definedName>
    <definedName name="DiaDaSemanaOpção" localSheetId="18">MATCH([0]!InícioDaSemana,[0]!DiasDaSemana,0)+10</definedName>
    <definedName name="DiaDaSemanaOpção" localSheetId="19">MATCH([0]!InícioDaSemana,[0]!DiasDaSemana,0)+10</definedName>
    <definedName name="DiaDaSemanaOpção" localSheetId="20">MATCH([0]!InícioDaSemana,[0]!DiasDaSemana,0)+10</definedName>
    <definedName name="DiaDaSemanaOpção" localSheetId="21">MATCH([0]!InícioDaSemana,[0]!DiasDaSemana,0)+10</definedName>
    <definedName name="DiaDaSemanaOpção">MATCH(InícioDaSemana,DiasDaSemana,0)+10</definedName>
    <definedName name="Dias">{0,1,2,3,4,5,6}</definedName>
    <definedName name="DiasDaSemana">{"SEGUNDA-FEIRA","TERÇA-FEIRA","QUARTA-FEIRA","QUINTA-FEIRA","SEXTA-FEIRA","SÁBADO","DOMINGO"}</definedName>
    <definedName name="InícioDaSemana">#REF!</definedName>
    <definedName name="Meses">{"Janeiro","Fevereiro","Março","Abril","Maio","Junho","Julho","Agosto","Setembro","Outubro","Novembro","Dezembro"}</definedName>
    <definedName name="ValorDoInícioDaSemana" localSheetId="0">IF([0]!InícioDaSemana="SEGUNDA-FEIRA",2,1)</definedName>
    <definedName name="ValorDoInícioDaSemana" localSheetId="1">IF([0]!InícioDaSemana="SEGUNDA-FEIRA",2,1)</definedName>
    <definedName name="ValorDoInícioDaSemana" localSheetId="2">IF([0]!InícioDaSemana="SEGUNDA-FEIRA",2,1)</definedName>
    <definedName name="ValorDoInícioDaSemana" localSheetId="3">IF([0]!InícioDaSemana="SEGUNDA-FEIRA",2,1)</definedName>
    <definedName name="ValorDoInícioDaSemana" localSheetId="4">IF([0]!InícioDaSemana="SEGUNDA-FEIRA",2,1)</definedName>
    <definedName name="ValorDoInícioDaSemana" localSheetId="5">IF([0]!InícioDaSemana="SEGUNDA-FEIRA",2,1)</definedName>
    <definedName name="ValorDoInícioDaSemana" localSheetId="6">IF([0]!InícioDaSemana="SEGUNDA-FEIRA",2,1)</definedName>
    <definedName name="ValorDoInícioDaSemana" localSheetId="7">IF([0]!InícioDaSemana="SEGUNDA-FEIRA",2,1)</definedName>
    <definedName name="ValorDoInícioDaSemana" localSheetId="8">IF([0]!InícioDaSemana="SEGUNDA-FEIRA",2,1)</definedName>
    <definedName name="ValorDoInícioDaSemana" localSheetId="9">IF([0]!InícioDaSemana="SEGUNDA-FEIRA",2,1)</definedName>
    <definedName name="ValorDoInícioDaSemana" localSheetId="10">IF([0]!InícioDaSemana="SEGUNDA-FEIRA",2,1)</definedName>
    <definedName name="ValorDoInícioDaSemana" localSheetId="11">IF([0]!InícioDaSemana="SEGUNDA-FEIRA",2,1)</definedName>
    <definedName name="ValorDoInícioDaSemana" localSheetId="12">IF([0]!InícioDaSemana="SEGUNDA-FEIRA",2,1)</definedName>
    <definedName name="ValorDoInícioDaSemana" localSheetId="13">IF([0]!InícioDaSemana="SEGUNDA-FEIRA",2,1)</definedName>
    <definedName name="ValorDoInícioDaSemana" localSheetId="14">IF([0]!InícioDaSemana="SEGUNDA-FEIRA",2,1)</definedName>
    <definedName name="ValorDoInícioDaSemana" localSheetId="15">IF([0]!InícioDaSemana="SEGUNDA-FEIRA",2,1)</definedName>
    <definedName name="ValorDoInícioDaSemana" localSheetId="16">IF([0]!InícioDaSemana="SEGUNDA-FEIRA",2,1)</definedName>
    <definedName name="ValorDoInícioDaSemana" localSheetId="17">IF([0]!InícioDaSemana="SEGUNDA-FEIRA",2,1)</definedName>
    <definedName name="ValorDoInícioDaSemana" localSheetId="18">IF([0]!InícioDaSemana="SEGUNDA-FEIRA",2,1)</definedName>
    <definedName name="ValorDoInícioDaSemana" localSheetId="19">IF([0]!InícioDaSemana="SEGUNDA-FEIRA",2,1)</definedName>
    <definedName name="ValorDoInícioDaSemana" localSheetId="20">IF([0]!InícioDaSemana="SEGUNDA-FEIRA",2,1)</definedName>
    <definedName name="ValorDoInícioDaSemana" localSheetId="21">IF([0]!InícioDaSemana="SEGUNDA-FEIRA",2,1)</definedName>
    <definedName name="ValorDoInícioDaSemana">IF(InícioDaSemana="SEGUNDA-FEIRA",2,1)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87" l="1"/>
  <c r="A5" i="87"/>
  <c r="A6" i="87"/>
  <c r="A7" i="87"/>
  <c r="A8" i="87"/>
  <c r="A9" i="87"/>
  <c r="A10" i="87"/>
  <c r="A11" i="87"/>
  <c r="A12" i="87"/>
  <c r="A13" i="87"/>
  <c r="A3" i="87"/>
  <c r="H69" i="87"/>
  <c r="H68" i="87"/>
  <c r="H67" i="87"/>
  <c r="H66" i="87"/>
  <c r="H65" i="87"/>
  <c r="H64" i="87"/>
  <c r="H63" i="87"/>
  <c r="H62" i="87"/>
  <c r="H61" i="87"/>
  <c r="H60" i="87"/>
  <c r="H59" i="87"/>
  <c r="H58" i="87"/>
  <c r="H57" i="87"/>
  <c r="H56" i="87"/>
  <c r="H55" i="87"/>
  <c r="H54" i="87"/>
  <c r="H53" i="87"/>
  <c r="H52" i="87"/>
  <c r="H51" i="87"/>
  <c r="H50" i="87"/>
  <c r="H49" i="87"/>
  <c r="H48" i="87"/>
  <c r="H47" i="87"/>
  <c r="H46" i="87"/>
  <c r="H45" i="87"/>
  <c r="H44" i="87"/>
  <c r="H43" i="87"/>
  <c r="H42" i="87"/>
  <c r="H41" i="87"/>
  <c r="H40" i="87"/>
  <c r="H39" i="87"/>
  <c r="H38" i="87"/>
  <c r="H37" i="87"/>
  <c r="H36" i="87"/>
  <c r="H35" i="87"/>
  <c r="H34" i="87"/>
  <c r="H33" i="87"/>
  <c r="H32" i="87"/>
  <c r="H31" i="87"/>
  <c r="H30" i="87"/>
  <c r="H29" i="87"/>
  <c r="H28" i="87"/>
  <c r="H27" i="87"/>
  <c r="H26" i="87"/>
  <c r="H25" i="87"/>
  <c r="H24" i="87"/>
  <c r="H23" i="87"/>
  <c r="H22" i="87"/>
  <c r="H21" i="87"/>
  <c r="H20" i="87"/>
  <c r="H19" i="87"/>
  <c r="H18" i="87"/>
  <c r="H17" i="87"/>
  <c r="H16" i="87"/>
  <c r="H15" i="87"/>
  <c r="H14" i="87"/>
  <c r="H13" i="87"/>
  <c r="H12" i="87"/>
  <c r="H11" i="87"/>
  <c r="H10" i="87"/>
  <c r="H9" i="87"/>
  <c r="H8" i="87"/>
  <c r="H7" i="87"/>
  <c r="H6" i="87"/>
  <c r="H5" i="87"/>
  <c r="H4" i="87"/>
  <c r="H3" i="87"/>
  <c r="H69" i="86" l="1"/>
  <c r="H68" i="86"/>
  <c r="H67" i="86"/>
  <c r="H66" i="86"/>
  <c r="H65" i="86"/>
  <c r="H64" i="86"/>
  <c r="H63" i="86"/>
  <c r="H62" i="86"/>
  <c r="H61" i="86"/>
  <c r="H60" i="86"/>
  <c r="H59" i="86"/>
  <c r="H58" i="86"/>
  <c r="H57" i="86"/>
  <c r="H56" i="86"/>
  <c r="H55" i="86"/>
  <c r="H54" i="86"/>
  <c r="H53" i="86"/>
  <c r="H52" i="86"/>
  <c r="H51" i="86"/>
  <c r="H50" i="86"/>
  <c r="H49" i="86"/>
  <c r="H48" i="86"/>
  <c r="H47" i="86"/>
  <c r="H46" i="86"/>
  <c r="H45" i="86"/>
  <c r="H44" i="86"/>
  <c r="H43" i="86"/>
  <c r="H42" i="86"/>
  <c r="H41" i="86"/>
  <c r="H40" i="86"/>
  <c r="H39" i="86"/>
  <c r="H38" i="86"/>
  <c r="H37" i="86"/>
  <c r="H36" i="86"/>
  <c r="H35" i="86"/>
  <c r="H34" i="86"/>
  <c r="H33" i="86"/>
  <c r="H32" i="86"/>
  <c r="H31" i="86"/>
  <c r="H30" i="86"/>
  <c r="H29" i="86"/>
  <c r="H28" i="86"/>
  <c r="H27" i="86"/>
  <c r="H26" i="86"/>
  <c r="H25" i="86"/>
  <c r="H24" i="86"/>
  <c r="H23" i="86"/>
  <c r="H22" i="86"/>
  <c r="H21" i="86"/>
  <c r="H20" i="86"/>
  <c r="H19" i="86"/>
  <c r="H18" i="86"/>
  <c r="H17" i="86"/>
  <c r="H16" i="86"/>
  <c r="H15" i="86"/>
  <c r="H14" i="86"/>
  <c r="H13" i="86"/>
  <c r="H12" i="86"/>
  <c r="H11" i="86"/>
  <c r="H10" i="86"/>
  <c r="H9" i="86"/>
  <c r="H8" i="86"/>
  <c r="H7" i="86"/>
  <c r="H6" i="86"/>
  <c r="H5" i="86"/>
  <c r="H4" i="86"/>
  <c r="H3" i="86"/>
  <c r="H69" i="85" l="1"/>
  <c r="H68" i="85"/>
  <c r="H67" i="85"/>
  <c r="H66" i="85"/>
  <c r="H65" i="85"/>
  <c r="H64" i="85"/>
  <c r="H63" i="85"/>
  <c r="H62" i="85"/>
  <c r="H61" i="85"/>
  <c r="H60" i="85"/>
  <c r="H59" i="85"/>
  <c r="H58" i="85"/>
  <c r="H57" i="85"/>
  <c r="H56" i="85"/>
  <c r="H55" i="85"/>
  <c r="H54" i="85"/>
  <c r="H53" i="85"/>
  <c r="H52" i="85"/>
  <c r="H51" i="85"/>
  <c r="H50" i="85"/>
  <c r="H49" i="85"/>
  <c r="H48" i="85"/>
  <c r="H47" i="85"/>
  <c r="H46" i="85"/>
  <c r="H45" i="85"/>
  <c r="H44" i="85"/>
  <c r="H43" i="85"/>
  <c r="H42" i="85"/>
  <c r="H41" i="85"/>
  <c r="H40" i="85"/>
  <c r="H39" i="85"/>
  <c r="H38" i="85"/>
  <c r="H37" i="85"/>
  <c r="H36" i="85"/>
  <c r="H35" i="85"/>
  <c r="H34" i="85"/>
  <c r="H33" i="85"/>
  <c r="H32" i="85"/>
  <c r="H31" i="85"/>
  <c r="H30" i="85"/>
  <c r="H29" i="85"/>
  <c r="H28" i="85"/>
  <c r="H27" i="85"/>
  <c r="H26" i="85"/>
  <c r="H25" i="85"/>
  <c r="H24" i="85"/>
  <c r="H23" i="85"/>
  <c r="H22" i="85"/>
  <c r="H21" i="85"/>
  <c r="H20" i="85"/>
  <c r="H19" i="85"/>
  <c r="H18" i="85"/>
  <c r="H17" i="85"/>
  <c r="H16" i="85"/>
  <c r="H15" i="85"/>
  <c r="H14" i="85"/>
  <c r="H13" i="85"/>
  <c r="H12" i="85"/>
  <c r="H11" i="85"/>
  <c r="H10" i="85"/>
  <c r="H9" i="85"/>
  <c r="H8" i="85"/>
  <c r="H7" i="85"/>
  <c r="H6" i="85"/>
  <c r="H5" i="85"/>
  <c r="H4" i="85"/>
  <c r="H3" i="85"/>
  <c r="H69" i="84" l="1"/>
  <c r="H68" i="84"/>
  <c r="H67" i="84"/>
  <c r="H66" i="84"/>
  <c r="H65" i="84"/>
  <c r="H64" i="84"/>
  <c r="H63" i="84"/>
  <c r="H62" i="84"/>
  <c r="H61" i="84"/>
  <c r="H60" i="84"/>
  <c r="H59" i="84"/>
  <c r="H58" i="84"/>
  <c r="H57" i="84"/>
  <c r="H56" i="84"/>
  <c r="H55" i="84"/>
  <c r="H54" i="84"/>
  <c r="H53" i="84"/>
  <c r="H52" i="84"/>
  <c r="H51" i="84"/>
  <c r="H50" i="84"/>
  <c r="H49" i="84"/>
  <c r="H48" i="84"/>
  <c r="H47" i="84"/>
  <c r="H46" i="84"/>
  <c r="H45" i="84"/>
  <c r="H44" i="84"/>
  <c r="H43" i="84"/>
  <c r="H42" i="84"/>
  <c r="H41" i="84"/>
  <c r="H40" i="84"/>
  <c r="H39" i="84"/>
  <c r="H38" i="84"/>
  <c r="H37" i="84"/>
  <c r="H36" i="84"/>
  <c r="H35" i="84"/>
  <c r="H34" i="84"/>
  <c r="H33" i="84"/>
  <c r="H32" i="84"/>
  <c r="H31" i="84"/>
  <c r="H30" i="84"/>
  <c r="H29" i="84"/>
  <c r="H28" i="84"/>
  <c r="H27" i="84"/>
  <c r="H26" i="84"/>
  <c r="H25" i="84"/>
  <c r="H24" i="84"/>
  <c r="H23" i="84"/>
  <c r="H22" i="84"/>
  <c r="H21" i="84"/>
  <c r="H20" i="84"/>
  <c r="H19" i="84"/>
  <c r="H18" i="84"/>
  <c r="H17" i="84"/>
  <c r="H16" i="84"/>
  <c r="H15" i="84"/>
  <c r="H14" i="84"/>
  <c r="H13" i="84"/>
  <c r="H12" i="84"/>
  <c r="H11" i="84"/>
  <c r="H10" i="84"/>
  <c r="H9" i="84"/>
  <c r="H8" i="84"/>
  <c r="H7" i="84"/>
  <c r="H6" i="84"/>
  <c r="H5" i="84"/>
  <c r="H4" i="84"/>
  <c r="H3" i="84"/>
  <c r="H69" i="83"/>
  <c r="H68" i="83"/>
  <c r="H67" i="83"/>
  <c r="H66" i="83"/>
  <c r="H65" i="83"/>
  <c r="H64" i="83"/>
  <c r="H63" i="83"/>
  <c r="H62" i="83"/>
  <c r="H61" i="83"/>
  <c r="H60" i="83"/>
  <c r="H59" i="83"/>
  <c r="H58" i="83"/>
  <c r="H57" i="83"/>
  <c r="H56" i="83"/>
  <c r="H55" i="83"/>
  <c r="H54" i="83"/>
  <c r="H53" i="83"/>
  <c r="H52" i="83"/>
  <c r="H51" i="83"/>
  <c r="H50" i="83"/>
  <c r="H49" i="83"/>
  <c r="H48" i="83"/>
  <c r="H47" i="83"/>
  <c r="H46" i="83"/>
  <c r="H45" i="83"/>
  <c r="H44" i="83"/>
  <c r="H43" i="83"/>
  <c r="H42" i="83"/>
  <c r="H41" i="83"/>
  <c r="H40" i="83"/>
  <c r="H39" i="83"/>
  <c r="H38" i="83"/>
  <c r="H37" i="83"/>
  <c r="H36" i="83"/>
  <c r="H35" i="83"/>
  <c r="H34" i="83"/>
  <c r="H33" i="83"/>
  <c r="H32" i="83"/>
  <c r="H31" i="83"/>
  <c r="H30" i="83"/>
  <c r="H29" i="83"/>
  <c r="H28" i="83"/>
  <c r="H27" i="83"/>
  <c r="H26" i="83"/>
  <c r="H25" i="83"/>
  <c r="H24" i="83"/>
  <c r="H23" i="83"/>
  <c r="H22" i="83"/>
  <c r="H21" i="83"/>
  <c r="H20" i="83"/>
  <c r="H19" i="83"/>
  <c r="H18" i="83"/>
  <c r="H17" i="83"/>
  <c r="H16" i="83"/>
  <c r="H15" i="83"/>
  <c r="H14" i="83"/>
  <c r="H13" i="83"/>
  <c r="H12" i="83"/>
  <c r="H11" i="83"/>
  <c r="H10" i="83"/>
  <c r="H9" i="83"/>
  <c r="H8" i="83"/>
  <c r="H7" i="83"/>
  <c r="H6" i="83"/>
  <c r="H5" i="83"/>
  <c r="H4" i="83"/>
  <c r="H3" i="83"/>
  <c r="H69" i="82"/>
  <c r="H68" i="82"/>
  <c r="H67" i="82"/>
  <c r="H66" i="82"/>
  <c r="H65" i="82"/>
  <c r="H64" i="82"/>
  <c r="H63" i="82"/>
  <c r="H62" i="82"/>
  <c r="H61" i="82"/>
  <c r="H60" i="82"/>
  <c r="H59" i="82"/>
  <c r="H58" i="82"/>
  <c r="H57" i="82"/>
  <c r="H56" i="82"/>
  <c r="H55" i="82"/>
  <c r="H54" i="82"/>
  <c r="H53" i="82"/>
  <c r="H52" i="82"/>
  <c r="H51" i="82"/>
  <c r="H50" i="82"/>
  <c r="H49" i="82"/>
  <c r="H48" i="82"/>
  <c r="H47" i="82"/>
  <c r="H46" i="82"/>
  <c r="H45" i="82"/>
  <c r="H44" i="82"/>
  <c r="H43" i="82"/>
  <c r="H42" i="82"/>
  <c r="H41" i="82"/>
  <c r="H40" i="82"/>
  <c r="H39" i="82"/>
  <c r="H38" i="82"/>
  <c r="H37" i="82"/>
  <c r="H36" i="82"/>
  <c r="H35" i="82"/>
  <c r="H34" i="82"/>
  <c r="H33" i="82"/>
  <c r="H32" i="82"/>
  <c r="H31" i="82"/>
  <c r="H30" i="82"/>
  <c r="H29" i="82"/>
  <c r="H28" i="82"/>
  <c r="H27" i="82"/>
  <c r="H26" i="82"/>
  <c r="H25" i="82"/>
  <c r="H24" i="82"/>
  <c r="H23" i="82"/>
  <c r="H22" i="82"/>
  <c r="H21" i="82"/>
  <c r="H20" i="82"/>
  <c r="H19" i="82"/>
  <c r="H18" i="82"/>
  <c r="H17" i="82"/>
  <c r="H16" i="82"/>
  <c r="H15" i="82"/>
  <c r="H14" i="82"/>
  <c r="H13" i="82"/>
  <c r="H12" i="82"/>
  <c r="H11" i="82"/>
  <c r="H10" i="82"/>
  <c r="H9" i="82"/>
  <c r="H8" i="82"/>
  <c r="H7" i="82"/>
  <c r="H6" i="82"/>
  <c r="H5" i="82"/>
  <c r="H4" i="82"/>
  <c r="H3" i="82"/>
  <c r="H69" i="81"/>
  <c r="H68" i="81"/>
  <c r="H67" i="81"/>
  <c r="H66" i="81"/>
  <c r="H65" i="81"/>
  <c r="H64" i="81"/>
  <c r="H63" i="81"/>
  <c r="H62" i="81"/>
  <c r="H61" i="81"/>
  <c r="H60" i="81"/>
  <c r="H59" i="81"/>
  <c r="H58" i="81"/>
  <c r="H57" i="81"/>
  <c r="H56" i="81"/>
  <c r="H55" i="81"/>
  <c r="H54" i="81"/>
  <c r="H53" i="81"/>
  <c r="H52" i="81"/>
  <c r="H51" i="81"/>
  <c r="H50" i="81"/>
  <c r="H49" i="81"/>
  <c r="H48" i="81"/>
  <c r="H47" i="81"/>
  <c r="H46" i="81"/>
  <c r="H45" i="81"/>
  <c r="H44" i="81"/>
  <c r="H43" i="81"/>
  <c r="H42" i="81"/>
  <c r="H41" i="81"/>
  <c r="H40" i="81"/>
  <c r="H39" i="81"/>
  <c r="H38" i="81"/>
  <c r="H37" i="81"/>
  <c r="H36" i="81"/>
  <c r="H35" i="81"/>
  <c r="H34" i="81"/>
  <c r="H33" i="81"/>
  <c r="H32" i="81"/>
  <c r="H31" i="81"/>
  <c r="H30" i="81"/>
  <c r="H29" i="81"/>
  <c r="H28" i="81"/>
  <c r="H27" i="81"/>
  <c r="H26" i="81"/>
  <c r="H25" i="81"/>
  <c r="H24" i="81"/>
  <c r="H23" i="81"/>
  <c r="H22" i="81"/>
  <c r="H21" i="81"/>
  <c r="H20" i="81"/>
  <c r="H19" i="81"/>
  <c r="H18" i="81"/>
  <c r="H17" i="81"/>
  <c r="H16" i="81"/>
  <c r="H15" i="81"/>
  <c r="H14" i="81"/>
  <c r="H13" i="81"/>
  <c r="H12" i="81"/>
  <c r="H11" i="81"/>
  <c r="H10" i="81"/>
  <c r="H9" i="81"/>
  <c r="H8" i="81"/>
  <c r="H7" i="81"/>
  <c r="H6" i="81"/>
  <c r="H5" i="81"/>
  <c r="H4" i="81"/>
  <c r="H3" i="81"/>
  <c r="H69" i="80" l="1"/>
  <c r="H68" i="80"/>
  <c r="H67" i="80"/>
  <c r="H66" i="80"/>
  <c r="H65" i="80"/>
  <c r="H64" i="80"/>
  <c r="H63" i="80"/>
  <c r="H62" i="80"/>
  <c r="H61" i="80"/>
  <c r="H60" i="80"/>
  <c r="H59" i="80"/>
  <c r="H58" i="80"/>
  <c r="H57" i="80"/>
  <c r="H56" i="80"/>
  <c r="H55" i="80"/>
  <c r="H54" i="80"/>
  <c r="H53" i="80"/>
  <c r="H52" i="80"/>
  <c r="H51" i="80"/>
  <c r="H48" i="80"/>
  <c r="H47" i="80"/>
  <c r="H46" i="80"/>
  <c r="H45" i="80"/>
  <c r="H44" i="80"/>
  <c r="H43" i="80"/>
  <c r="H42" i="80"/>
  <c r="H41" i="80"/>
  <c r="H40" i="80"/>
  <c r="H39" i="80"/>
  <c r="H38" i="80"/>
  <c r="H37" i="80"/>
  <c r="H36" i="80"/>
  <c r="H35" i="80"/>
  <c r="H30" i="80"/>
  <c r="H26" i="80"/>
  <c r="H25" i="80"/>
  <c r="H24" i="80"/>
  <c r="H23" i="80"/>
  <c r="H22" i="80"/>
  <c r="H21" i="80"/>
  <c r="H20" i="80"/>
  <c r="H19" i="80"/>
  <c r="H18" i="80"/>
  <c r="H17" i="80"/>
  <c r="H16" i="80"/>
  <c r="H15" i="80"/>
  <c r="H14" i="80"/>
  <c r="H12" i="80"/>
  <c r="H11" i="80"/>
  <c r="H10" i="80"/>
  <c r="H9" i="80"/>
  <c r="H8" i="80"/>
  <c r="H7" i="80"/>
  <c r="H6" i="80"/>
  <c r="H5" i="80"/>
  <c r="H4" i="80"/>
  <c r="H3" i="80"/>
  <c r="H68" i="79" l="1"/>
  <c r="H67" i="79"/>
  <c r="H66" i="79"/>
  <c r="H65" i="79"/>
  <c r="H64" i="79"/>
  <c r="H63" i="79"/>
  <c r="H62" i="79"/>
  <c r="H61" i="79"/>
  <c r="H60" i="79"/>
  <c r="H59" i="79"/>
  <c r="H58" i="79"/>
  <c r="H57" i="79"/>
  <c r="H56" i="79"/>
  <c r="H55" i="79"/>
  <c r="H54" i="79"/>
  <c r="H53" i="79"/>
  <c r="H52" i="79"/>
  <c r="H51" i="79"/>
  <c r="H50" i="79"/>
  <c r="H49" i="79"/>
  <c r="H48" i="79"/>
  <c r="H47" i="79"/>
  <c r="H46" i="79"/>
  <c r="H45" i="79"/>
  <c r="H44" i="79"/>
  <c r="H43" i="79"/>
  <c r="H42" i="79"/>
  <c r="H41" i="79"/>
  <c r="H40" i="79"/>
  <c r="H39" i="79"/>
  <c r="H38" i="79"/>
  <c r="H37" i="79"/>
  <c r="H36" i="79"/>
  <c r="H35" i="79"/>
  <c r="H34" i="79"/>
  <c r="H33" i="79"/>
  <c r="H32" i="79"/>
  <c r="H31" i="79"/>
  <c r="H30" i="79"/>
  <c r="H29" i="79"/>
  <c r="H28" i="79"/>
  <c r="H27" i="79"/>
  <c r="H26" i="79"/>
  <c r="H25" i="79"/>
  <c r="H24" i="79"/>
  <c r="H23" i="79"/>
  <c r="H22" i="79"/>
  <c r="H21" i="79"/>
  <c r="H20" i="79"/>
  <c r="H19" i="79"/>
  <c r="H18" i="79"/>
  <c r="H17" i="79"/>
  <c r="H16" i="79"/>
  <c r="H15" i="79"/>
  <c r="H14" i="79"/>
  <c r="H13" i="79"/>
  <c r="H12" i="79"/>
  <c r="H11" i="79"/>
  <c r="H10" i="79"/>
  <c r="H9" i="79"/>
  <c r="H8" i="79"/>
  <c r="H7" i="79"/>
  <c r="H6" i="79"/>
  <c r="H5" i="79"/>
  <c r="H4" i="79"/>
  <c r="H3" i="79"/>
  <c r="H69" i="78"/>
  <c r="H68" i="78"/>
  <c r="H67" i="78"/>
  <c r="H66" i="78"/>
  <c r="H65" i="78"/>
  <c r="H64" i="78"/>
  <c r="H63" i="78"/>
  <c r="H62" i="78"/>
  <c r="H61" i="78"/>
  <c r="H60" i="78"/>
  <c r="H59" i="78"/>
  <c r="H58" i="78"/>
  <c r="H57" i="78"/>
  <c r="H56" i="78"/>
  <c r="H55" i="78"/>
  <c r="H54" i="78"/>
  <c r="H53" i="78"/>
  <c r="H52" i="78"/>
  <c r="H51" i="78"/>
  <c r="H50" i="78"/>
  <c r="H47" i="78"/>
  <c r="H46" i="78"/>
  <c r="H45" i="78"/>
  <c r="H44" i="78"/>
  <c r="H43" i="78"/>
  <c r="H39" i="78"/>
  <c r="H38" i="78"/>
  <c r="H37" i="78"/>
  <c r="H36" i="78"/>
  <c r="H32" i="78"/>
  <c r="H31" i="78"/>
  <c r="H29" i="78"/>
  <c r="H28" i="78"/>
  <c r="H27" i="78"/>
  <c r="H26" i="78"/>
  <c r="H25" i="78"/>
  <c r="H24" i="78"/>
  <c r="H23" i="78"/>
  <c r="H22" i="78"/>
  <c r="H21" i="78"/>
  <c r="H20" i="78"/>
  <c r="H19" i="78"/>
  <c r="H18" i="78"/>
  <c r="H17" i="78"/>
  <c r="H16" i="78"/>
  <c r="H15" i="78"/>
  <c r="H14" i="78"/>
  <c r="H13" i="78"/>
  <c r="H12" i="78"/>
  <c r="H10" i="78"/>
  <c r="H9" i="78"/>
  <c r="H8" i="78"/>
  <c r="H7" i="78"/>
  <c r="H6" i="78"/>
  <c r="H5" i="78"/>
  <c r="H4" i="78"/>
  <c r="H3" i="78"/>
  <c r="H69" i="77"/>
  <c r="H70" i="77"/>
  <c r="H68" i="77"/>
  <c r="H67" i="77"/>
  <c r="H66" i="77"/>
  <c r="H65" i="77"/>
  <c r="H64" i="77"/>
  <c r="H63" i="77"/>
  <c r="H62" i="77"/>
  <c r="H61" i="77"/>
  <c r="H60" i="77"/>
  <c r="H59" i="77"/>
  <c r="H58" i="77"/>
  <c r="H57" i="77"/>
  <c r="H56" i="77"/>
  <c r="H55" i="77"/>
  <c r="H54" i="77"/>
  <c r="H53" i="77"/>
  <c r="H52" i="77"/>
  <c r="H51" i="77"/>
  <c r="H50" i="77"/>
  <c r="H49" i="77"/>
  <c r="H48" i="77"/>
  <c r="H47" i="77"/>
  <c r="H46" i="77"/>
  <c r="H45" i="77"/>
  <c r="H44" i="77"/>
  <c r="H43" i="77"/>
  <c r="H42" i="77"/>
  <c r="H41" i="77"/>
  <c r="H40" i="77"/>
  <c r="H39" i="77"/>
  <c r="H38" i="77"/>
  <c r="H37" i="77"/>
  <c r="H36" i="77"/>
  <c r="H35" i="77"/>
  <c r="H34" i="77"/>
  <c r="H33" i="77"/>
  <c r="H32" i="77"/>
  <c r="H31" i="77"/>
  <c r="H30" i="77"/>
  <c r="H29" i="77"/>
  <c r="H28" i="77"/>
  <c r="H27" i="77"/>
  <c r="H26" i="77"/>
  <c r="H25" i="77"/>
  <c r="H24" i="77"/>
  <c r="H23" i="77"/>
  <c r="H22" i="77"/>
  <c r="H21" i="77"/>
  <c r="H20" i="77"/>
  <c r="H19" i="77"/>
  <c r="H18" i="77"/>
  <c r="H17" i="77"/>
  <c r="H16" i="77"/>
  <c r="H15" i="77"/>
  <c r="H14" i="77"/>
  <c r="H13" i="77"/>
  <c r="H12" i="77"/>
  <c r="H11" i="77"/>
  <c r="H10" i="77"/>
  <c r="H9" i="77"/>
  <c r="H8" i="77"/>
  <c r="H7" i="77"/>
  <c r="H6" i="77"/>
  <c r="H5" i="77"/>
  <c r="H4" i="77"/>
  <c r="H3" i="77"/>
  <c r="H69" i="76"/>
  <c r="H68" i="76"/>
  <c r="H67" i="76"/>
  <c r="H66" i="76"/>
  <c r="H65" i="76"/>
  <c r="H64" i="76"/>
  <c r="H63" i="76"/>
  <c r="H62" i="76"/>
  <c r="H61" i="76"/>
  <c r="H60" i="76"/>
  <c r="H59" i="76"/>
  <c r="H58" i="76"/>
  <c r="H57" i="76"/>
  <c r="H56" i="76"/>
  <c r="H55" i="76"/>
  <c r="H54" i="76"/>
  <c r="H53" i="76"/>
  <c r="H52" i="76"/>
  <c r="H51" i="76"/>
  <c r="H50" i="76"/>
  <c r="H49" i="76"/>
  <c r="H48" i="76"/>
  <c r="H47" i="76"/>
  <c r="H46" i="76"/>
  <c r="H45" i="76"/>
  <c r="H44" i="76"/>
  <c r="H43" i="76"/>
  <c r="H42" i="76"/>
  <c r="H41" i="76"/>
  <c r="H40" i="76"/>
  <c r="H39" i="76"/>
  <c r="H38" i="76"/>
  <c r="H37" i="76"/>
  <c r="H36" i="76"/>
  <c r="H35" i="76"/>
  <c r="H34" i="76"/>
  <c r="H33" i="76"/>
  <c r="H32" i="76"/>
  <c r="H31" i="76"/>
  <c r="H30" i="76"/>
  <c r="H29" i="76"/>
  <c r="H28" i="76"/>
  <c r="H27" i="76"/>
  <c r="H26" i="76"/>
  <c r="H25" i="76"/>
  <c r="H24" i="76"/>
  <c r="H23" i="76"/>
  <c r="H22" i="76"/>
  <c r="H21" i="76"/>
  <c r="H20" i="76"/>
  <c r="H19" i="76"/>
  <c r="H18" i="76"/>
  <c r="H17" i="76"/>
  <c r="H16" i="76"/>
  <c r="H15" i="76"/>
  <c r="H14" i="76"/>
  <c r="H13" i="76"/>
  <c r="H12" i="76"/>
  <c r="H11" i="76"/>
  <c r="H10" i="76"/>
  <c r="H9" i="76"/>
  <c r="H8" i="76"/>
  <c r="H7" i="76"/>
  <c r="H6" i="76"/>
  <c r="H5" i="76"/>
  <c r="H4" i="76"/>
  <c r="H3" i="76"/>
  <c r="H69" i="75" l="1"/>
  <c r="H68" i="75"/>
  <c r="H67" i="75"/>
  <c r="H66" i="75"/>
  <c r="H65" i="75"/>
  <c r="H64" i="75"/>
  <c r="H63" i="75"/>
  <c r="H62" i="75"/>
  <c r="H61" i="75"/>
  <c r="H60" i="75"/>
  <c r="H59" i="75"/>
  <c r="H58" i="75"/>
  <c r="H57" i="75"/>
  <c r="H56" i="75"/>
  <c r="H55" i="75"/>
  <c r="H54" i="75"/>
  <c r="H53" i="75"/>
  <c r="H52" i="75"/>
  <c r="H51" i="75"/>
  <c r="H50" i="75"/>
  <c r="H49" i="75"/>
  <c r="H48" i="75"/>
  <c r="H47" i="75"/>
  <c r="H46" i="75"/>
  <c r="H45" i="75"/>
  <c r="H44" i="75"/>
  <c r="H43" i="75"/>
  <c r="H42" i="75"/>
  <c r="H41" i="75"/>
  <c r="H40" i="75"/>
  <c r="H39" i="75"/>
  <c r="H38" i="75"/>
  <c r="H37" i="75"/>
  <c r="H36" i="75"/>
  <c r="H35" i="75"/>
  <c r="H34" i="75"/>
  <c r="H33" i="75"/>
  <c r="H32" i="75"/>
  <c r="H31" i="75"/>
  <c r="H30" i="75"/>
  <c r="H29" i="75"/>
  <c r="H28" i="75"/>
  <c r="H27" i="75"/>
  <c r="H26" i="75"/>
  <c r="H25" i="75"/>
  <c r="H24" i="75"/>
  <c r="H23" i="75"/>
  <c r="H22" i="75"/>
  <c r="H21" i="75"/>
  <c r="H20" i="75"/>
  <c r="H19" i="75"/>
  <c r="H18" i="75"/>
  <c r="H17" i="75"/>
  <c r="H16" i="75"/>
  <c r="H15" i="75"/>
  <c r="H14" i="75"/>
  <c r="H13" i="75"/>
  <c r="H12" i="75"/>
  <c r="H11" i="75"/>
  <c r="H10" i="75"/>
  <c r="H9" i="75"/>
  <c r="H8" i="75"/>
  <c r="H7" i="75"/>
  <c r="H6" i="75"/>
  <c r="H5" i="75"/>
  <c r="H4" i="75"/>
  <c r="H3" i="75"/>
  <c r="H69" i="74" l="1"/>
  <c r="H68" i="74"/>
  <c r="H67" i="74"/>
  <c r="H66" i="74"/>
  <c r="H65" i="74"/>
  <c r="H64" i="74"/>
  <c r="H63" i="74"/>
  <c r="H62" i="74"/>
  <c r="H61" i="74"/>
  <c r="H60" i="74"/>
  <c r="H59" i="74"/>
  <c r="H58" i="74"/>
  <c r="H57" i="74"/>
  <c r="H56" i="74"/>
  <c r="H55" i="74"/>
  <c r="H54" i="74"/>
  <c r="H53" i="74"/>
  <c r="H52" i="74"/>
  <c r="H51" i="74"/>
  <c r="H50" i="74"/>
  <c r="H49" i="74"/>
  <c r="H48" i="74"/>
  <c r="H47" i="74"/>
  <c r="H46" i="74"/>
  <c r="H45" i="74"/>
  <c r="H44" i="74"/>
  <c r="H43" i="74"/>
  <c r="H42" i="74"/>
  <c r="H41" i="74"/>
  <c r="H40" i="74"/>
  <c r="H39" i="74"/>
  <c r="H38" i="74"/>
  <c r="H37" i="74"/>
  <c r="H36" i="74"/>
  <c r="H35" i="74"/>
  <c r="H34" i="74"/>
  <c r="H33" i="74"/>
  <c r="H32" i="74"/>
  <c r="H31" i="74"/>
  <c r="H30" i="74"/>
  <c r="H29" i="74"/>
  <c r="H28" i="74"/>
  <c r="H27" i="74"/>
  <c r="H26" i="74"/>
  <c r="H25" i="74"/>
  <c r="H24" i="74"/>
  <c r="H23" i="74"/>
  <c r="H22" i="74"/>
  <c r="H21" i="74"/>
  <c r="H20" i="74"/>
  <c r="H19" i="74"/>
  <c r="H18" i="74"/>
  <c r="H17" i="74"/>
  <c r="H16" i="74"/>
  <c r="H15" i="74"/>
  <c r="H14" i="74"/>
  <c r="H13" i="74"/>
  <c r="H12" i="74"/>
  <c r="H11" i="74"/>
  <c r="H10" i="74"/>
  <c r="H9" i="74"/>
  <c r="H8" i="74"/>
  <c r="H7" i="74"/>
  <c r="H6" i="74"/>
  <c r="H5" i="74"/>
  <c r="H4" i="74"/>
  <c r="H3" i="74"/>
  <c r="H69" i="73" l="1"/>
  <c r="H68" i="73"/>
  <c r="H67" i="73"/>
  <c r="H66" i="73"/>
  <c r="H65" i="73"/>
  <c r="H64" i="73"/>
  <c r="H63" i="73"/>
  <c r="H62" i="73"/>
  <c r="H61" i="73"/>
  <c r="H60" i="73"/>
  <c r="H59" i="73"/>
  <c r="H58" i="73"/>
  <c r="H57" i="73"/>
  <c r="H56" i="73"/>
  <c r="H55" i="73"/>
  <c r="H54" i="73"/>
  <c r="H53" i="73"/>
  <c r="H52" i="73"/>
  <c r="H51" i="73"/>
  <c r="H47" i="73"/>
  <c r="H46" i="73"/>
  <c r="H45" i="73"/>
  <c r="H44" i="73"/>
  <c r="H43" i="73"/>
  <c r="H42" i="73"/>
  <c r="H41" i="73"/>
  <c r="H40" i="73"/>
  <c r="H39" i="73"/>
  <c r="H36" i="73"/>
  <c r="H35" i="73"/>
  <c r="H34" i="73"/>
  <c r="H33" i="73"/>
  <c r="H32" i="73"/>
  <c r="H28" i="73"/>
  <c r="H26" i="73"/>
  <c r="H25" i="73"/>
  <c r="H24" i="73"/>
  <c r="H22" i="73"/>
  <c r="H21" i="73"/>
  <c r="H20" i="73"/>
  <c r="H19" i="73"/>
  <c r="H18" i="73"/>
  <c r="H17" i="73"/>
  <c r="H16" i="73"/>
  <c r="H15" i="73"/>
  <c r="H14" i="73"/>
  <c r="H13" i="73"/>
  <c r="H12" i="73"/>
  <c r="H11" i="73"/>
  <c r="H10" i="73"/>
  <c r="H9" i="73"/>
  <c r="H8" i="73"/>
  <c r="H7" i="73"/>
  <c r="H6" i="73"/>
  <c r="H5" i="73"/>
  <c r="H4" i="73"/>
  <c r="H3" i="73"/>
  <c r="H69" i="72"/>
  <c r="H68" i="72"/>
  <c r="H67" i="72"/>
  <c r="H66" i="72"/>
  <c r="H65" i="72"/>
  <c r="H64" i="72"/>
  <c r="H63" i="72"/>
  <c r="H62" i="72"/>
  <c r="H61" i="72"/>
  <c r="H60" i="72"/>
  <c r="H59" i="72"/>
  <c r="H58" i="72"/>
  <c r="H57" i="72"/>
  <c r="H56" i="72"/>
  <c r="H55" i="72"/>
  <c r="H54" i="72"/>
  <c r="H53" i="72"/>
  <c r="H52" i="72"/>
  <c r="H51" i="72"/>
  <c r="H48" i="72"/>
  <c r="H47" i="72"/>
  <c r="H46" i="72"/>
  <c r="H42" i="72"/>
  <c r="H41" i="72"/>
  <c r="H40" i="72"/>
  <c r="H39" i="72"/>
  <c r="H38" i="72"/>
  <c r="H37" i="72"/>
  <c r="H36" i="72"/>
  <c r="H35" i="72"/>
  <c r="H34" i="72"/>
  <c r="H33" i="72"/>
  <c r="H32" i="72"/>
  <c r="H30" i="72"/>
  <c r="H29" i="72"/>
  <c r="H27" i="72"/>
  <c r="H26" i="72"/>
  <c r="H25" i="72"/>
  <c r="H24" i="72"/>
  <c r="H23" i="72"/>
  <c r="H22" i="72"/>
  <c r="H21" i="72"/>
  <c r="H20" i="72"/>
  <c r="H19" i="72"/>
  <c r="H18" i="72"/>
  <c r="H17" i="72"/>
  <c r="H16" i="72"/>
  <c r="H15" i="72"/>
  <c r="H14" i="72"/>
  <c r="H13" i="72"/>
  <c r="H12" i="72"/>
  <c r="H11" i="72"/>
  <c r="H10" i="72"/>
  <c r="H9" i="72"/>
  <c r="H8" i="72"/>
  <c r="H7" i="72"/>
  <c r="H6" i="72"/>
  <c r="H5" i="72"/>
  <c r="H4" i="72"/>
  <c r="H3" i="72"/>
  <c r="H69" i="71"/>
  <c r="H68" i="71"/>
  <c r="H67" i="71"/>
  <c r="H66" i="71"/>
  <c r="H65" i="71"/>
  <c r="H64" i="71"/>
  <c r="H63" i="71"/>
  <c r="H62" i="71"/>
  <c r="H61" i="71"/>
  <c r="H60" i="71"/>
  <c r="H59" i="71"/>
  <c r="H58" i="71"/>
  <c r="H57" i="71"/>
  <c r="H56" i="71"/>
  <c r="H55" i="71"/>
  <c r="H54" i="71"/>
  <c r="H53" i="71"/>
  <c r="H52" i="71"/>
  <c r="H51" i="71"/>
  <c r="H50" i="71"/>
  <c r="H49" i="71"/>
  <c r="H48" i="71"/>
  <c r="H47" i="71"/>
  <c r="H46" i="71"/>
  <c r="H45" i="71"/>
  <c r="H44" i="71"/>
  <c r="H43" i="71"/>
  <c r="H42" i="71"/>
  <c r="H41" i="71"/>
  <c r="H40" i="71"/>
  <c r="H39" i="71"/>
  <c r="H38" i="71"/>
  <c r="H37" i="71"/>
  <c r="H36" i="71"/>
  <c r="H35" i="71"/>
  <c r="H34" i="71"/>
  <c r="H33" i="71"/>
  <c r="H32" i="71"/>
  <c r="H31" i="71"/>
  <c r="H30" i="71"/>
  <c r="H29" i="71"/>
  <c r="H28" i="71"/>
  <c r="H27" i="71"/>
  <c r="H26" i="71"/>
  <c r="H25" i="71"/>
  <c r="H24" i="71"/>
  <c r="H23" i="71"/>
  <c r="H22" i="71"/>
  <c r="H21" i="71"/>
  <c r="H20" i="71"/>
  <c r="H19" i="71"/>
  <c r="H18" i="71"/>
  <c r="H17" i="71"/>
  <c r="H16" i="71"/>
  <c r="H15" i="71"/>
  <c r="H14" i="71"/>
  <c r="H13" i="71"/>
  <c r="H12" i="71"/>
  <c r="H11" i="71"/>
  <c r="H10" i="71"/>
  <c r="H9" i="71"/>
  <c r="H8" i="71"/>
  <c r="H7" i="71"/>
  <c r="H6" i="71"/>
  <c r="H5" i="71"/>
  <c r="H4" i="71"/>
  <c r="H3" i="71"/>
  <c r="H61" i="70"/>
  <c r="H62" i="70"/>
  <c r="H65" i="70"/>
  <c r="H66" i="70"/>
  <c r="H67" i="70"/>
  <c r="H68" i="70"/>
  <c r="F65" i="35"/>
  <c r="F66" i="35"/>
  <c r="F67" i="35"/>
  <c r="F68" i="35"/>
  <c r="F69" i="35"/>
  <c r="F70" i="35"/>
  <c r="F71" i="35"/>
  <c r="F72" i="35"/>
  <c r="F73" i="35"/>
  <c r="F74" i="35"/>
  <c r="F75" i="35"/>
  <c r="H60" i="70" l="1"/>
  <c r="H59" i="70"/>
  <c r="H56" i="70"/>
  <c r="H55" i="70"/>
  <c r="H53" i="70"/>
  <c r="H52" i="70"/>
  <c r="H51" i="70"/>
  <c r="H50" i="70"/>
  <c r="H49" i="70"/>
  <c r="H48" i="70"/>
  <c r="H46" i="70"/>
  <c r="H45" i="70"/>
  <c r="H44" i="70"/>
  <c r="H42" i="70"/>
  <c r="H41" i="70"/>
  <c r="H40" i="70"/>
  <c r="H39" i="70"/>
  <c r="H38" i="70"/>
  <c r="H34" i="70"/>
  <c r="H33" i="70"/>
  <c r="H32" i="70"/>
  <c r="H31" i="70"/>
  <c r="H30" i="70"/>
  <c r="H29" i="70"/>
  <c r="H28" i="70"/>
  <c r="H27" i="70"/>
  <c r="H26" i="70"/>
  <c r="H25" i="70"/>
  <c r="H24" i="70"/>
  <c r="H21" i="70"/>
  <c r="H20" i="70"/>
  <c r="H19" i="70"/>
  <c r="H18" i="70"/>
  <c r="H17" i="70"/>
  <c r="H16" i="70"/>
  <c r="H15" i="70"/>
  <c r="H14" i="70"/>
  <c r="H13" i="70"/>
  <c r="H12" i="70"/>
  <c r="H10" i="70"/>
  <c r="H9" i="70"/>
  <c r="H6" i="70"/>
  <c r="H68" i="69"/>
  <c r="H67" i="69"/>
  <c r="H66" i="69"/>
  <c r="H65" i="69"/>
  <c r="H64" i="69"/>
  <c r="H63" i="69"/>
  <c r="H62" i="69"/>
  <c r="H61" i="69"/>
  <c r="H60" i="69"/>
  <c r="H59" i="69"/>
  <c r="H58" i="69"/>
  <c r="H57" i="69"/>
  <c r="H56" i="69"/>
  <c r="H55" i="69"/>
  <c r="H54" i="69"/>
  <c r="H53" i="69"/>
  <c r="H52" i="69"/>
  <c r="H51" i="69"/>
  <c r="H50" i="69"/>
  <c r="H49" i="69"/>
  <c r="H48" i="69"/>
  <c r="H47" i="69"/>
  <c r="H46" i="69"/>
  <c r="H45" i="69"/>
  <c r="H44" i="69"/>
  <c r="H43" i="69"/>
  <c r="H42" i="69"/>
  <c r="H41" i="69"/>
  <c r="H40" i="69"/>
  <c r="H39" i="69"/>
  <c r="H38" i="69"/>
  <c r="H37" i="69"/>
  <c r="H36" i="69"/>
  <c r="H35" i="69"/>
  <c r="H34" i="69"/>
  <c r="H33" i="69"/>
  <c r="H32" i="69"/>
  <c r="H31" i="69"/>
  <c r="H30" i="69"/>
  <c r="H29" i="69"/>
  <c r="H28" i="69"/>
  <c r="H27" i="69"/>
  <c r="H26" i="69"/>
  <c r="H25" i="69"/>
  <c r="H24" i="69"/>
  <c r="H23" i="69"/>
  <c r="H22" i="69"/>
  <c r="H21" i="69"/>
  <c r="H20" i="69"/>
  <c r="H19" i="69"/>
  <c r="H18" i="69"/>
  <c r="H17" i="69"/>
  <c r="H16" i="69"/>
  <c r="H15" i="69"/>
  <c r="H14" i="69"/>
  <c r="H13" i="69"/>
  <c r="H12" i="69"/>
  <c r="H11" i="69"/>
  <c r="H10" i="69"/>
  <c r="H9" i="69"/>
  <c r="H8" i="69"/>
  <c r="H7" i="69"/>
  <c r="H6" i="69"/>
  <c r="H5" i="69"/>
  <c r="H4" i="69"/>
  <c r="H3" i="69"/>
  <c r="H69" i="68" l="1"/>
  <c r="H68" i="68"/>
  <c r="H67" i="68"/>
  <c r="H66" i="68"/>
  <c r="H65" i="68"/>
  <c r="H64" i="68"/>
  <c r="H63" i="68"/>
  <c r="H62" i="68"/>
  <c r="H61" i="68"/>
  <c r="H60" i="68"/>
  <c r="H59" i="68"/>
  <c r="H58" i="68"/>
  <c r="H57" i="68"/>
  <c r="H56" i="68"/>
  <c r="H55" i="68"/>
  <c r="H54" i="68"/>
  <c r="H53" i="68"/>
  <c r="H52" i="68"/>
  <c r="H51" i="68"/>
  <c r="H50" i="68"/>
  <c r="H49" i="68"/>
  <c r="H48" i="68"/>
  <c r="H47" i="68"/>
  <c r="H46" i="68"/>
  <c r="H45" i="68"/>
  <c r="H44" i="68"/>
  <c r="H43" i="68"/>
  <c r="H42" i="68"/>
  <c r="H41" i="68"/>
  <c r="H40" i="68"/>
  <c r="H39" i="68"/>
  <c r="H37" i="68"/>
  <c r="H36" i="68"/>
  <c r="H35" i="68"/>
  <c r="H31" i="68"/>
  <c r="H29" i="68"/>
  <c r="H28" i="68"/>
  <c r="H27" i="68"/>
  <c r="H26" i="68"/>
  <c r="H25" i="68"/>
  <c r="H23" i="68"/>
  <c r="H21" i="68"/>
  <c r="H19" i="68"/>
  <c r="H18" i="68"/>
  <c r="H17" i="68"/>
  <c r="H16" i="68"/>
  <c r="H15" i="68"/>
  <c r="H14" i="68"/>
  <c r="H13" i="68"/>
  <c r="H12" i="68"/>
  <c r="H11" i="68"/>
  <c r="H10" i="68"/>
  <c r="H9" i="68"/>
  <c r="H8" i="68"/>
  <c r="H7" i="68"/>
  <c r="H6" i="68"/>
  <c r="H5" i="68"/>
  <c r="H69" i="67"/>
  <c r="H68" i="67"/>
  <c r="H67" i="67"/>
  <c r="H66" i="67"/>
  <c r="H65" i="67"/>
  <c r="H64" i="67"/>
  <c r="H63" i="67"/>
  <c r="H62" i="67"/>
  <c r="H61" i="67"/>
  <c r="H60" i="67"/>
  <c r="H59" i="67"/>
  <c r="H58" i="67"/>
  <c r="H57" i="67"/>
  <c r="H56" i="67"/>
  <c r="H55" i="67"/>
  <c r="H54" i="67"/>
  <c r="H53" i="67"/>
  <c r="H52" i="67"/>
  <c r="H51" i="67"/>
  <c r="H50" i="67"/>
  <c r="H49" i="67"/>
  <c r="H48" i="67"/>
  <c r="H47" i="67"/>
  <c r="H46" i="67"/>
  <c r="H45" i="67"/>
  <c r="H43" i="67"/>
  <c r="H42" i="67"/>
  <c r="H41" i="67"/>
  <c r="H40" i="67"/>
  <c r="H39" i="67"/>
  <c r="H38" i="67"/>
  <c r="H37" i="67"/>
  <c r="H36" i="67"/>
  <c r="H34" i="67"/>
  <c r="H33" i="67"/>
  <c r="H32" i="67"/>
  <c r="H31" i="67"/>
  <c r="H30" i="67"/>
  <c r="H29" i="67"/>
  <c r="H28" i="67"/>
  <c r="H27" i="67"/>
  <c r="H26" i="67"/>
  <c r="H25" i="67"/>
  <c r="H24" i="67"/>
  <c r="H21" i="67"/>
  <c r="H19" i="67"/>
  <c r="H17" i="67"/>
  <c r="H16" i="67"/>
  <c r="H15" i="67"/>
  <c r="H14" i="67"/>
  <c r="H13" i="67"/>
  <c r="H12" i="67"/>
  <c r="H11" i="67"/>
  <c r="H10" i="67"/>
  <c r="H9" i="67"/>
  <c r="H8" i="67"/>
  <c r="H7" i="67"/>
  <c r="H6" i="67"/>
  <c r="H5" i="67"/>
  <c r="H4" i="67"/>
  <c r="H3" i="67"/>
  <c r="H59" i="15" l="1"/>
  <c r="H60" i="15"/>
  <c r="H61" i="15"/>
  <c r="H62" i="15"/>
  <c r="H63" i="15"/>
  <c r="H64" i="15"/>
  <c r="H65" i="15"/>
  <c r="H66" i="15"/>
  <c r="H67" i="15"/>
  <c r="H68" i="15"/>
  <c r="H6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H4" i="15"/>
  <c r="H3" i="15"/>
  <c r="F55" i="35" l="1"/>
  <c r="F56" i="35"/>
  <c r="F57" i="35"/>
  <c r="F58" i="35"/>
  <c r="F59" i="35"/>
  <c r="F60" i="35"/>
  <c r="F61" i="35"/>
  <c r="F62" i="35"/>
  <c r="F63" i="35"/>
  <c r="F64" i="35"/>
  <c r="F15" i="35" l="1"/>
  <c r="F16" i="35"/>
  <c r="F17" i="35"/>
  <c r="F18" i="35"/>
  <c r="F19" i="35"/>
  <c r="F20" i="35"/>
  <c r="F21" i="35"/>
  <c r="F22" i="35"/>
  <c r="F23" i="35"/>
  <c r="F24" i="35"/>
  <c r="F25" i="35"/>
  <c r="F26" i="35"/>
  <c r="F27" i="35"/>
  <c r="F28" i="35"/>
  <c r="F29" i="35"/>
  <c r="F30" i="35"/>
  <c r="F31" i="35"/>
  <c r="F32" i="35"/>
  <c r="F33" i="35"/>
  <c r="F34" i="35"/>
  <c r="F35" i="35"/>
  <c r="F36" i="35"/>
  <c r="F37" i="35"/>
  <c r="F38" i="35"/>
  <c r="F39" i="35"/>
  <c r="F40" i="35"/>
  <c r="F41" i="35"/>
  <c r="F42" i="35"/>
  <c r="F43" i="35"/>
  <c r="F44" i="35"/>
  <c r="F45" i="35"/>
  <c r="F46" i="35"/>
  <c r="F47" i="35"/>
  <c r="F48" i="35"/>
  <c r="F49" i="35"/>
  <c r="F50" i="35"/>
  <c r="F51" i="35"/>
  <c r="F52" i="35"/>
  <c r="F53" i="35"/>
  <c r="F54" i="35"/>
  <c r="F14" i="35"/>
  <c r="F13" i="35"/>
  <c r="F12" i="35" l="1"/>
  <c r="F11" i="35"/>
  <c r="F10" i="35"/>
  <c r="B2" i="35" l="1"/>
  <c r="F9" i="35"/>
  <c r="F3" i="35"/>
  <c r="F4" i="35"/>
  <c r="F5" i="35"/>
  <c r="F6" i="35"/>
  <c r="F7" i="35"/>
  <c r="F8" i="35"/>
  <c r="F2" i="35"/>
</calcChain>
</file>

<file path=xl/sharedStrings.xml><?xml version="1.0" encoding="utf-8"?>
<sst xmlns="http://schemas.openxmlformats.org/spreadsheetml/2006/main" count="3616" uniqueCount="419">
  <si>
    <t>REDES / FILIAIS</t>
  </si>
  <si>
    <t>MOTORISTA</t>
  </si>
  <si>
    <t>PLACA</t>
  </si>
  <si>
    <t>SAIDA CD</t>
  </si>
  <si>
    <r>
      <t xml:space="preserve">RELATÓRIO KPI - Zona Sul
</t>
    </r>
    <r>
      <rPr>
        <b/>
        <sz val="20"/>
        <color theme="0"/>
        <rFont val="Arial"/>
        <family val="2"/>
      </rPr>
      <t>BENASSI</t>
    </r>
  </si>
  <si>
    <t>SAIDA LOJA 1</t>
  </si>
  <si>
    <t>LOJAS DO SUPERMERCADO ZONA SUL</t>
  </si>
  <si>
    <r>
      <rPr>
        <b/>
        <sz val="12"/>
        <rFont val="Aptos Narrow"/>
        <family val="2"/>
        <scheme val="minor"/>
      </rPr>
      <t xml:space="preserve">LOJA 01 - </t>
    </r>
    <r>
      <rPr>
        <b/>
        <i/>
        <sz val="12"/>
        <color rgb="FFFF0000"/>
        <rFont val="Aptos Narrow"/>
        <family val="2"/>
        <scheme val="minor"/>
      </rPr>
      <t>IPANEMA</t>
    </r>
  </si>
  <si>
    <t>RUA VISCONDE DE PIRAJÁ, 118/122/124 E 128-A - IPANEMA - RJ -             CEP: 22410-000 - TEL.: 2523-0099</t>
  </si>
  <si>
    <r>
      <rPr>
        <b/>
        <sz val="12"/>
        <rFont val="Aptos Narrow"/>
        <family val="2"/>
        <scheme val="minor"/>
      </rPr>
      <t xml:space="preserve">LOJA 27 - </t>
    </r>
    <r>
      <rPr>
        <b/>
        <i/>
        <sz val="12"/>
        <color rgb="FFFF0000"/>
        <rFont val="Aptos Narrow"/>
        <family val="2"/>
        <scheme val="minor"/>
      </rPr>
      <t>IPANEMA</t>
    </r>
  </si>
  <si>
    <t>RUA VISCONDE DE PIRAJÁ, 577 - LOJA A - IPANEMA - RJ -                            CEP: 22410-003 - TEL.: 2540-5279</t>
  </si>
  <si>
    <r>
      <rPr>
        <b/>
        <sz val="12"/>
        <rFont val="Aptos Narrow"/>
        <family val="2"/>
        <scheme val="minor"/>
      </rPr>
      <t xml:space="preserve">LOJA 02 - </t>
    </r>
    <r>
      <rPr>
        <b/>
        <i/>
        <sz val="12"/>
        <color rgb="FFFF0000"/>
        <rFont val="Aptos Narrow"/>
        <family val="2"/>
        <scheme val="minor"/>
      </rPr>
      <t>IPANEMA</t>
    </r>
  </si>
  <si>
    <t>RUA VISCONDE DE PIRAJÁ, 25 A/B - IPANEMA - RJ -                                     CEP: 2241-001 - TEL.: 2523-8005</t>
  </si>
  <si>
    <r>
      <rPr>
        <b/>
        <sz val="12"/>
        <rFont val="Aptos Narrow"/>
        <family val="2"/>
        <scheme val="minor"/>
      </rPr>
      <t xml:space="preserve">LOJA 28 -           </t>
    </r>
    <r>
      <rPr>
        <b/>
        <i/>
        <sz val="12"/>
        <color rgb="FFFF0000"/>
        <rFont val="Aptos Narrow"/>
        <family val="2"/>
        <scheme val="minor"/>
      </rPr>
      <t>URCA</t>
    </r>
  </si>
  <si>
    <t>RUA MARECHAL CANTUÁRIA, 178 - A - URCA - RJ - CEP: 22291-000 -           TEL.: 2295-1570</t>
  </si>
  <si>
    <r>
      <rPr>
        <b/>
        <sz val="12"/>
        <rFont val="Aptos Narrow"/>
        <family val="2"/>
        <scheme val="minor"/>
      </rPr>
      <t xml:space="preserve">LOJA 03 - </t>
    </r>
    <r>
      <rPr>
        <b/>
        <i/>
        <sz val="12"/>
        <color rgb="FFFF0000"/>
        <rFont val="Aptos Narrow"/>
        <family val="2"/>
        <scheme val="minor"/>
      </rPr>
      <t>COPACABANA</t>
    </r>
  </si>
  <si>
    <t>RUA FRANCISCO SÁ, 35 - C/D/E/F/G/H/I/J E 101 - SS - COPACABANA - RJ   - CEP: 22080-010 - TEL.: 2523-4846</t>
  </si>
  <si>
    <r>
      <rPr>
        <b/>
        <sz val="12"/>
        <rFont val="Aptos Narrow"/>
        <family val="2"/>
        <scheme val="minor"/>
      </rPr>
      <t xml:space="preserve">LOJA 29 - </t>
    </r>
    <r>
      <rPr>
        <b/>
        <i/>
        <sz val="12"/>
        <color rgb="FFFF0000"/>
        <rFont val="Aptos Narrow"/>
        <family val="2"/>
        <scheme val="minor"/>
      </rPr>
      <t>FLAMENGO</t>
    </r>
  </si>
  <si>
    <t>RUA MARQUÊS DE ABRANTES, 181 - FLAMENGO - RJ -                                 CEP: 22230-060 - TEL.: 2553-0300</t>
  </si>
  <si>
    <r>
      <rPr>
        <b/>
        <sz val="12"/>
        <rFont val="Aptos Narrow"/>
        <family val="2"/>
        <scheme val="minor"/>
      </rPr>
      <t xml:space="preserve">LOJA 04 - </t>
    </r>
    <r>
      <rPr>
        <b/>
        <i/>
        <sz val="12"/>
        <color rgb="FFFF0000"/>
        <rFont val="Aptos Narrow"/>
        <family val="2"/>
        <scheme val="minor"/>
      </rPr>
      <t>COPACABANA</t>
    </r>
  </si>
  <si>
    <t>AV. RAINHA ELIZABETH, 325/333 - COPACABANA - RJ -                                CEP: 22081-030 - TEL.: 2523-0209</t>
  </si>
  <si>
    <r>
      <rPr>
        <b/>
        <sz val="12"/>
        <rFont val="Aptos Narrow"/>
        <family val="2"/>
        <scheme val="minor"/>
      </rPr>
      <t xml:space="preserve">LOJA 30 - </t>
    </r>
    <r>
      <rPr>
        <b/>
        <i/>
        <sz val="12"/>
        <color rgb="FFFF0000"/>
        <rFont val="Aptos Narrow"/>
        <family val="2"/>
        <scheme val="minor"/>
      </rPr>
      <t>LARANJEIRAS</t>
    </r>
  </si>
  <si>
    <t>RUA ESTEVES JÚNIOR, 36 - LARANJEIRAS (PRAÇA SÃO SALVADOR) - RJ - CEP: 22231-160 - TEL.: 2285-1089</t>
  </si>
  <si>
    <r>
      <rPr>
        <b/>
        <sz val="12"/>
        <rFont val="Aptos Narrow"/>
        <family val="2"/>
        <scheme val="minor"/>
      </rPr>
      <t xml:space="preserve">LOJA 05 - </t>
    </r>
    <r>
      <rPr>
        <b/>
        <i/>
        <sz val="12"/>
        <color rgb="FFFF0000"/>
        <rFont val="Aptos Narrow"/>
        <family val="2"/>
        <scheme val="minor"/>
      </rPr>
      <t>COPACABANA</t>
    </r>
  </si>
  <si>
    <t>AV. NOSSA SENHORA DE COPACABANA, 1.369 - LOJA A - COPACABANA - RJ - CEP: 22070-010 - TEL.: 2523-6068</t>
  </si>
  <si>
    <r>
      <rPr>
        <b/>
        <sz val="12"/>
        <rFont val="Aptos Narrow"/>
        <family val="2"/>
        <scheme val="minor"/>
      </rPr>
      <t xml:space="preserve">LOJA 1129-0 - </t>
    </r>
    <r>
      <rPr>
        <b/>
        <i/>
        <sz val="12"/>
        <color rgb="FFFF0000"/>
        <rFont val="Aptos Narrow"/>
        <family val="2"/>
        <scheme val="minor"/>
      </rPr>
      <t>OLARIA</t>
    </r>
  </si>
  <si>
    <t>RUA COMANDANTE VERGUEIRO DA CRUZ - OLARIA, 380 -                       TEL.: 3924-8084</t>
  </si>
  <si>
    <r>
      <rPr>
        <b/>
        <sz val="12"/>
        <rFont val="Aptos Narrow"/>
        <family val="2"/>
        <scheme val="minor"/>
      </rPr>
      <t xml:space="preserve">LOJA 06 - </t>
    </r>
    <r>
      <rPr>
        <b/>
        <i/>
        <sz val="12"/>
        <color rgb="FFFF0000"/>
        <rFont val="Aptos Narrow"/>
        <family val="2"/>
        <scheme val="minor"/>
      </rPr>
      <t>GÁVEA</t>
    </r>
  </si>
  <si>
    <t>AV. RODRIGO OTÁVIO, 269 - LOJA B/C - GÁVEA - RJ -                                    CEP: 22450-060 - TEL.: 2511-1599</t>
  </si>
  <si>
    <r>
      <rPr>
        <b/>
        <sz val="12"/>
        <rFont val="Aptos Narrow"/>
        <family val="2"/>
        <scheme val="minor"/>
      </rPr>
      <t xml:space="preserve">LOJA 31 - </t>
    </r>
    <r>
      <rPr>
        <b/>
        <i/>
        <sz val="12"/>
        <color rgb="FFFF0000"/>
        <rFont val="Aptos Narrow"/>
        <family val="2"/>
        <scheme val="minor"/>
      </rPr>
      <t>JD.BOTÂNICO</t>
    </r>
  </si>
  <si>
    <t>RUA JARDIM BOTÂNICO, 81 - JARDIM BOTÂNICO - RJ -                                 CEP: 22470-050 - TEL.: 2286-2174</t>
  </si>
  <si>
    <r>
      <rPr>
        <b/>
        <sz val="12"/>
        <rFont val="Aptos Narrow"/>
        <family val="2"/>
        <scheme val="minor"/>
      </rPr>
      <t xml:space="preserve">LOJA 07 - </t>
    </r>
    <r>
      <rPr>
        <b/>
        <i/>
        <sz val="12"/>
        <color rgb="FFFF0000"/>
        <rFont val="Aptos Narrow"/>
        <family val="2"/>
        <scheme val="minor"/>
      </rPr>
      <t>LEBLON</t>
    </r>
  </si>
  <si>
    <t>RUA DIAS FERREIRA, 290 - LOJA A/B - LEBLON - RJ -                                     CEP: 22431-050 - TEL.: 2259-4699</t>
  </si>
  <si>
    <r>
      <rPr>
        <b/>
        <sz val="12"/>
        <rFont val="Aptos Narrow"/>
        <family val="2"/>
        <scheme val="minor"/>
      </rPr>
      <t xml:space="preserve">LOJA 32 - </t>
    </r>
    <r>
      <rPr>
        <b/>
        <i/>
        <sz val="12"/>
        <color rgb="FFFF0000"/>
        <rFont val="Aptos Narrow"/>
        <family val="2"/>
        <scheme val="minor"/>
      </rPr>
      <t>LARANJEIRAS</t>
    </r>
  </si>
  <si>
    <t>RUA DAS LARANJEIRAS, 215/219 - LARANJEIRAS - RJ -                                 CEP: 22240-004 - TEL.: 2246-0658</t>
  </si>
  <si>
    <r>
      <rPr>
        <b/>
        <sz val="12"/>
        <rFont val="Aptos Narrow"/>
        <family val="2"/>
        <scheme val="minor"/>
      </rPr>
      <t xml:space="preserve">LOJA 08 - </t>
    </r>
    <r>
      <rPr>
        <b/>
        <i/>
        <sz val="12"/>
        <color rgb="FFFF0000"/>
        <rFont val="Aptos Narrow"/>
        <family val="2"/>
        <scheme val="minor"/>
      </rPr>
      <t>IPANEMA</t>
    </r>
  </si>
  <si>
    <t>RUA VISCONDE DE PIRAJÁ, 504-508 - IPANEMA - RJ -                                   CEP: 22410-002 - TEL.: 2540-7878</t>
  </si>
  <si>
    <r>
      <rPr>
        <b/>
        <sz val="12"/>
        <rFont val="Aptos Narrow"/>
        <family val="2"/>
        <scheme val="minor"/>
      </rPr>
      <t xml:space="preserve">LOJA 33 - </t>
    </r>
    <r>
      <rPr>
        <b/>
        <i/>
        <sz val="12"/>
        <color rgb="FFFF0000"/>
        <rFont val="Aptos Narrow"/>
        <family val="2"/>
        <scheme val="minor"/>
      </rPr>
      <t>HUMAITÁ</t>
    </r>
  </si>
  <si>
    <t>RUA HUMAITÁ, 110 - HUMAITÁ - RJ - CEP: 2247-050 -                                   TEL.: 2246-0658</t>
  </si>
  <si>
    <r>
      <rPr>
        <b/>
        <sz val="12"/>
        <rFont val="Aptos Narrow"/>
        <family val="2"/>
        <scheme val="minor"/>
      </rPr>
      <t xml:space="preserve">LOJA 09 - </t>
    </r>
    <r>
      <rPr>
        <b/>
        <i/>
        <sz val="12"/>
        <color rgb="FFFF0000"/>
        <rFont val="Aptos Narrow"/>
        <family val="2"/>
        <scheme val="minor"/>
      </rPr>
      <t>IPANEMA</t>
    </r>
  </si>
  <si>
    <t>RUA PRUDENTE DE MORAES, 49 - IPANEMA - RJ -                                          CEP: 22420-040 - TEL.: 2267-0361</t>
  </si>
  <si>
    <r>
      <rPr>
        <b/>
        <sz val="12"/>
        <rFont val="Aptos Narrow"/>
        <family val="2"/>
        <scheme val="minor"/>
      </rPr>
      <t xml:space="preserve">LOJA 34 - </t>
    </r>
    <r>
      <rPr>
        <b/>
        <i/>
        <sz val="12"/>
        <color rgb="FFFF0000"/>
        <rFont val="Aptos Narrow"/>
        <family val="2"/>
        <scheme val="minor"/>
      </rPr>
      <t>BARRA</t>
    </r>
  </si>
  <si>
    <t>AVENIDA DAS AMÉRICAS, 7870 - BARRA DA TIJUCA - RJ - CEP: 22793-020 - TEL.: 2499-3849</t>
  </si>
  <si>
    <r>
      <rPr>
        <b/>
        <sz val="12"/>
        <rFont val="Aptos Narrow"/>
        <family val="2"/>
        <scheme val="minor"/>
      </rPr>
      <t xml:space="preserve">LOJA 10 - </t>
    </r>
    <r>
      <rPr>
        <b/>
        <i/>
        <sz val="12"/>
        <color rgb="FFFF0000"/>
        <rFont val="Aptos Narrow"/>
        <family val="2"/>
        <scheme val="minor"/>
      </rPr>
      <t>RECREIO</t>
    </r>
  </si>
  <si>
    <t>AV. DAS AMÉRICAS, 16.237 - KM 16 - RECREIO -                                            CEP: 22790-701 - TEL.: 2437-6533</t>
  </si>
  <si>
    <r>
      <rPr>
        <b/>
        <sz val="12"/>
        <rFont val="Aptos Narrow"/>
        <family val="2"/>
        <scheme val="minor"/>
      </rPr>
      <t xml:space="preserve">LOJA 35 - </t>
    </r>
    <r>
      <rPr>
        <b/>
        <i/>
        <sz val="12"/>
        <color rgb="FFFF0000"/>
        <rFont val="Aptos Narrow"/>
        <family val="2"/>
        <scheme val="minor"/>
      </rPr>
      <t>BARRA</t>
    </r>
  </si>
  <si>
    <t>AV. LÚCIO COSTA, 4.700 - SETOR 1 - LOJA A - BARRA DA TIJUCA - RJ - CEP: 22630-011 - TEL.: 2434-5879</t>
  </si>
  <si>
    <r>
      <rPr>
        <b/>
        <sz val="12"/>
        <rFont val="Aptos Narrow"/>
        <family val="2"/>
        <scheme val="minor"/>
      </rPr>
      <t xml:space="preserve">LOJA 11 - </t>
    </r>
    <r>
      <rPr>
        <b/>
        <i/>
        <sz val="12"/>
        <color rgb="FFFF0000"/>
        <rFont val="Aptos Narrow"/>
        <family val="2"/>
        <scheme val="minor"/>
      </rPr>
      <t>LEBLON</t>
    </r>
  </si>
  <si>
    <t>RUA CARLOS GÓES, 344 - LEBLON - RJ - CEP: 22440-040 -                             TEL.: 2512-2200</t>
  </si>
  <si>
    <r>
      <rPr>
        <b/>
        <sz val="12"/>
        <rFont val="Aptos Narrow"/>
        <family val="2"/>
        <scheme val="minor"/>
      </rPr>
      <t xml:space="preserve">LOJA 36 - </t>
    </r>
    <r>
      <rPr>
        <b/>
        <i/>
        <sz val="12"/>
        <color rgb="FFFF0000"/>
        <rFont val="Aptos Narrow"/>
        <family val="2"/>
        <scheme val="minor"/>
      </rPr>
      <t>BOTAFOGO</t>
    </r>
  </si>
  <si>
    <t>RUA ARNALDO QUINTELA, 70 - BOTAFOGO - RJ - CEP: 22280-070 -              TEL.: 3172-3636</t>
  </si>
  <si>
    <r>
      <rPr>
        <b/>
        <sz val="12"/>
        <rFont val="Aptos Narrow"/>
        <family val="2"/>
        <scheme val="minor"/>
      </rPr>
      <t xml:space="preserve">LOJA 12 -            </t>
    </r>
    <r>
      <rPr>
        <b/>
        <i/>
        <sz val="12"/>
        <color rgb="FFFF0000"/>
        <rFont val="Aptos Narrow"/>
        <family val="2"/>
        <scheme val="minor"/>
      </rPr>
      <t>LEME</t>
    </r>
  </si>
  <si>
    <t>AVENIDA ATLÂNTICA, 866 - LEME - RJ - CEP: 22010-000 -                              TEL.: 2542-6949</t>
  </si>
  <si>
    <r>
      <rPr>
        <b/>
        <sz val="12"/>
        <rFont val="Aptos Narrow"/>
        <family val="2"/>
        <scheme val="minor"/>
      </rPr>
      <t xml:space="preserve">LOJA 37 - </t>
    </r>
    <r>
      <rPr>
        <b/>
        <i/>
        <sz val="12"/>
        <color rgb="FFFF0000"/>
        <rFont val="Aptos Narrow"/>
        <family val="2"/>
        <scheme val="minor"/>
      </rPr>
      <t>BOTAFOGO</t>
    </r>
  </si>
  <si>
    <t>RUA SÃO JOÃO BATISTA, 27 - LOJA A/B/C/D - BOTAFOGO - RJ -                  CEP: 22270-030 - TEL.: 2135-2009</t>
  </si>
  <si>
    <r>
      <rPr>
        <b/>
        <sz val="12"/>
        <rFont val="Aptos Narrow"/>
        <family val="2"/>
        <scheme val="minor"/>
      </rPr>
      <t xml:space="preserve">LOJA 13 - </t>
    </r>
    <r>
      <rPr>
        <b/>
        <i/>
        <sz val="12"/>
        <color rgb="FFFF0000"/>
        <rFont val="Aptos Narrow"/>
        <family val="2"/>
        <scheme val="minor"/>
      </rPr>
      <t>ANGRA</t>
    </r>
  </si>
  <si>
    <t>PRAIA DO JARDIM, S/Nº - LOJA 121 - ANGRA DOS REIS (SHOPPING PIRATAS MALL) - RJ - CEP: 23900-000 - TELEFONE.: (24) 3367-2000</t>
  </si>
  <si>
    <r>
      <rPr>
        <b/>
        <sz val="12"/>
        <rFont val="Aptos Narrow"/>
        <family val="2"/>
        <scheme val="minor"/>
      </rPr>
      <t xml:space="preserve">LOJA 38 - </t>
    </r>
    <r>
      <rPr>
        <b/>
        <i/>
        <sz val="12"/>
        <color rgb="FFFF0000"/>
        <rFont val="Aptos Narrow"/>
        <family val="2"/>
        <scheme val="minor"/>
      </rPr>
      <t>COPACABANA</t>
    </r>
  </si>
  <si>
    <t>RUA DIAS DA ROCHA, 29 - COPACABANA - RJ - CEP: 22051-020 -                 TEL.: 3268-0141</t>
  </si>
  <si>
    <r>
      <rPr>
        <b/>
        <sz val="12"/>
        <rFont val="Aptos Narrow"/>
        <family val="2"/>
        <scheme val="minor"/>
      </rPr>
      <t xml:space="preserve">LOJA 14 - </t>
    </r>
    <r>
      <rPr>
        <b/>
        <i/>
        <sz val="12"/>
        <color rgb="FFFF0000"/>
        <rFont val="Aptos Narrow"/>
        <family val="2"/>
        <scheme val="minor"/>
      </rPr>
      <t>LEBLON</t>
    </r>
  </si>
  <si>
    <t>RUA BARTOLOMEU MITRE, 705 - LEBLON - RJ - CEP: 22431-000 -                 TEL.: 2512-2200</t>
  </si>
  <si>
    <r>
      <rPr>
        <b/>
        <sz val="12"/>
        <rFont val="Aptos Narrow"/>
        <family val="2"/>
        <scheme val="minor"/>
      </rPr>
      <t xml:space="preserve">LOJA 39 - </t>
    </r>
    <r>
      <rPr>
        <b/>
        <i/>
        <sz val="12"/>
        <color rgb="FFFF0000"/>
        <rFont val="Aptos Narrow"/>
        <family val="2"/>
        <scheme val="minor"/>
      </rPr>
      <t>CENTRO</t>
    </r>
  </si>
  <si>
    <t>RUA DA ALFÂNDEGA, 33 - CENTRO - TEL.: 2209-1499</t>
  </si>
  <si>
    <r>
      <rPr>
        <b/>
        <sz val="12"/>
        <rFont val="Aptos Narrow"/>
        <family val="2"/>
        <scheme val="minor"/>
      </rPr>
      <t xml:space="preserve">LOJA 15 - </t>
    </r>
    <r>
      <rPr>
        <b/>
        <i/>
        <sz val="12"/>
        <color rgb="FFFF0000"/>
        <rFont val="Aptos Narrow"/>
        <family val="2"/>
        <scheme val="minor"/>
      </rPr>
      <t>LEBLON</t>
    </r>
  </si>
  <si>
    <t>RUA GENERAL ARTIGAS, 325 - LEBLON - RJ - CEP: 22450-010 -                     TEL.: 2274-3828</t>
  </si>
  <si>
    <r>
      <rPr>
        <b/>
        <sz val="12"/>
        <rFont val="Aptos Narrow"/>
        <family val="2"/>
        <scheme val="minor"/>
      </rPr>
      <t xml:space="preserve">LOJA 40 - </t>
    </r>
    <r>
      <rPr>
        <b/>
        <i/>
        <sz val="12"/>
        <color rgb="FFFF0000"/>
        <rFont val="Aptos Narrow"/>
        <family val="2"/>
        <scheme val="minor"/>
      </rPr>
      <t>IPANEMA</t>
    </r>
  </si>
  <si>
    <t xml:space="preserve"> RUA BARÃO TORRE,220 - IPANEMA - TEL.: 2122-0093</t>
  </si>
  <si>
    <r>
      <rPr>
        <b/>
        <sz val="12"/>
        <rFont val="Aptos Narrow"/>
        <family val="2"/>
        <scheme val="minor"/>
      </rPr>
      <t xml:space="preserve">LOJA 16 - </t>
    </r>
    <r>
      <rPr>
        <b/>
        <i/>
        <sz val="12"/>
        <color rgb="FFFF0000"/>
        <rFont val="Aptos Narrow"/>
        <family val="2"/>
        <scheme val="minor"/>
      </rPr>
      <t>LEBLON</t>
    </r>
  </si>
  <si>
    <t>RUA DIAS FERREIRA, 320 - LOJA A/B/C/D/E/F - LEBLON - RJ -                      CEP: 22431-080 - TEL.: 2529-6889</t>
  </si>
  <si>
    <r>
      <rPr>
        <b/>
        <sz val="12"/>
        <rFont val="Aptos Narrow"/>
        <family val="2"/>
        <scheme val="minor"/>
      </rPr>
      <t xml:space="preserve">LOJA 41 - </t>
    </r>
    <r>
      <rPr>
        <b/>
        <i/>
        <sz val="12"/>
        <color rgb="FFFF0000"/>
        <rFont val="Aptos Narrow"/>
        <family val="2"/>
        <scheme val="minor"/>
      </rPr>
      <t>LARANJEIRAS</t>
    </r>
  </si>
  <si>
    <t>RUA SÃO SALVADOR, 87 - LARANJEIRAS - TEL.: 2122-0094</t>
  </si>
  <si>
    <r>
      <rPr>
        <b/>
        <sz val="12"/>
        <rFont val="Aptos Narrow"/>
        <family val="2"/>
        <scheme val="minor"/>
      </rPr>
      <t xml:space="preserve">LOJA 17 - </t>
    </r>
    <r>
      <rPr>
        <b/>
        <i/>
        <sz val="12"/>
        <color rgb="FFFF0000"/>
        <rFont val="Aptos Narrow"/>
        <family val="2"/>
        <scheme val="minor"/>
      </rPr>
      <t>BARRA</t>
    </r>
  </si>
  <si>
    <t>AV. DAS AMÉRICAS, 3.665 A - BARRA DA TIJUCA (SHOPPING BARRA SQUARE EXPANSÃO) - RJ - CEP: 22631-003 -                                                             TELEFONE.: 3325-1177</t>
  </si>
  <si>
    <r>
      <rPr>
        <b/>
        <sz val="12"/>
        <rFont val="Aptos Narrow"/>
        <family val="2"/>
        <scheme val="minor"/>
      </rPr>
      <t xml:space="preserve">LOJA 42 - </t>
    </r>
    <r>
      <rPr>
        <b/>
        <i/>
        <sz val="12"/>
        <color rgb="FFFF0000"/>
        <rFont val="Aptos Narrow"/>
        <family val="2"/>
        <scheme val="minor"/>
      </rPr>
      <t>BOTAFOGO</t>
    </r>
  </si>
  <si>
    <t>RUA SÃO CLEMENTE, Nº.00114 - BLC. 1 - LOJA A - BOTAFOGO - CEP: 22260-002</t>
  </si>
  <si>
    <r>
      <rPr>
        <b/>
        <sz val="12"/>
        <rFont val="Aptos Narrow"/>
        <family val="2"/>
        <scheme val="minor"/>
      </rPr>
      <t xml:space="preserve">LOJA 18 - </t>
    </r>
    <r>
      <rPr>
        <b/>
        <i/>
        <sz val="12"/>
        <color rgb="FFFF0000"/>
        <rFont val="Aptos Narrow"/>
        <family val="2"/>
        <scheme val="minor"/>
      </rPr>
      <t>COPACABANA</t>
    </r>
  </si>
  <si>
    <t>AV. NOSSA SENHORA DE COPACABANA, 1.200 - LOJA A - COPACABANA - RJ - CEP: 22070-010 - TEL.: 2523-0816</t>
  </si>
  <si>
    <r>
      <rPr>
        <b/>
        <sz val="12"/>
        <rFont val="Aptos Narrow"/>
        <family val="2"/>
        <scheme val="minor"/>
      </rPr>
      <t xml:space="preserve">LOJA 43 - </t>
    </r>
    <r>
      <rPr>
        <b/>
        <i/>
        <sz val="12"/>
        <color rgb="FFFF0000"/>
        <rFont val="Aptos Narrow"/>
        <family val="2"/>
        <scheme val="minor"/>
      </rPr>
      <t>BARRA (PENÍNSULA)</t>
    </r>
  </si>
  <si>
    <t>AVENIDA FLAMBOYANTS DA PENÍNSULA, Nº.00855 - LOJAS 108 / 109 - BARRA DA TIJUCA - CEP: 22776-070</t>
  </si>
  <si>
    <r>
      <rPr>
        <b/>
        <sz val="12"/>
        <rFont val="Aptos Narrow"/>
        <family val="2"/>
        <scheme val="minor"/>
      </rPr>
      <t xml:space="preserve">LOJA 19 - </t>
    </r>
    <r>
      <rPr>
        <b/>
        <i/>
        <sz val="12"/>
        <color rgb="FFFF0000"/>
        <rFont val="Aptos Narrow"/>
        <family val="2"/>
        <scheme val="minor"/>
      </rPr>
      <t>COPACABANA</t>
    </r>
  </si>
  <si>
    <t>AV. NOSSA SENHORA DE COPACABANA, 936 - COPACABANA - RJ -            CEP: 22206-000 - TEL.: 2256-4477</t>
  </si>
  <si>
    <r>
      <rPr>
        <b/>
        <sz val="12"/>
        <rFont val="Aptos Narrow"/>
        <family val="2"/>
        <scheme val="minor"/>
      </rPr>
      <t xml:space="preserve">LOJA 44 - </t>
    </r>
    <r>
      <rPr>
        <b/>
        <i/>
        <sz val="12"/>
        <color rgb="FFFF0000"/>
        <rFont val="Aptos Narrow"/>
        <family val="2"/>
        <scheme val="minor"/>
      </rPr>
      <t>BARRA</t>
    </r>
  </si>
  <si>
    <t>AVENIDA OLEGÁRIO MACIEL, Nº.00293 - LOJAS A/B/C - BARRA DA TIJUCA - CEP: 22621-200</t>
  </si>
  <si>
    <r>
      <rPr>
        <b/>
        <sz val="12"/>
        <rFont val="Aptos Narrow"/>
        <family val="2"/>
        <scheme val="minor"/>
      </rPr>
      <t xml:space="preserve">LOJA 20 - </t>
    </r>
    <r>
      <rPr>
        <b/>
        <i/>
        <sz val="12"/>
        <color rgb="FFFF0000"/>
        <rFont val="Aptos Narrow"/>
        <family val="2"/>
        <scheme val="minor"/>
      </rPr>
      <t>BOTAFOGO</t>
    </r>
  </si>
  <si>
    <t>RUA BAMBINA, 36 - BOTAFOGO - RJ - CEP: 2251-050 -                                  TEL.: 2246-3828</t>
  </si>
  <si>
    <r>
      <rPr>
        <b/>
        <sz val="12"/>
        <rFont val="Aptos Narrow"/>
        <family val="2"/>
        <scheme val="minor"/>
      </rPr>
      <t xml:space="preserve">LOJA- 45 - </t>
    </r>
    <r>
      <rPr>
        <b/>
        <i/>
        <sz val="12"/>
        <color rgb="FFFF0000"/>
        <rFont val="Aptos Narrow"/>
        <family val="2"/>
        <scheme val="minor"/>
      </rPr>
      <t>FLAMENGO</t>
    </r>
  </si>
  <si>
    <t>RUA MACHADO DE ASSIS, 40 - FLAMENGO - TEL.: 99703-9980</t>
  </si>
  <si>
    <r>
      <rPr>
        <b/>
        <sz val="12"/>
        <rFont val="Aptos Narrow"/>
        <family val="2"/>
        <scheme val="minor"/>
      </rPr>
      <t xml:space="preserve">LOJA 21 - </t>
    </r>
    <r>
      <rPr>
        <b/>
        <i/>
        <sz val="12"/>
        <color rgb="FFFF0000"/>
        <rFont val="Aptos Narrow"/>
        <family val="2"/>
        <scheme val="minor"/>
      </rPr>
      <t>FLAMENGO</t>
    </r>
  </si>
  <si>
    <t>RUA SENADOR VERGUEIRO, 51 A/B - FLAMENGO - RJ -                                CEP: 22230-000 - TEL.: 2558-0458</t>
  </si>
  <si>
    <r>
      <rPr>
        <b/>
        <sz val="12"/>
        <rFont val="Aptos Narrow"/>
        <family val="2"/>
        <scheme val="minor"/>
      </rPr>
      <t xml:space="preserve">LOJA 46 </t>
    </r>
    <r>
      <rPr>
        <b/>
        <i/>
        <sz val="12"/>
        <color rgb="FFFF0000"/>
        <rFont val="Aptos Narrow"/>
        <family val="2"/>
        <scheme val="minor"/>
      </rPr>
      <t>BOTAFOGO</t>
    </r>
  </si>
  <si>
    <t>RUA VOLUNTÁRIOS DA PÁTRIA, 190  - BOTAFOGO - TEL.:</t>
  </si>
  <si>
    <r>
      <rPr>
        <b/>
        <sz val="12"/>
        <rFont val="Aptos Narrow"/>
        <family val="2"/>
        <scheme val="minor"/>
      </rPr>
      <t xml:space="preserve">LOJA 22 - </t>
    </r>
    <r>
      <rPr>
        <b/>
        <i/>
        <sz val="12"/>
        <color rgb="FFFF0000"/>
        <rFont val="Aptos Narrow"/>
        <family val="2"/>
        <scheme val="minor"/>
      </rPr>
      <t>S.CONRADO</t>
    </r>
  </si>
  <si>
    <t>ESTRADA DA GÁVEA, 870 - SÃO CONRADO - RJ - CEP: 22610-008 -              TEL.: 3323-8002</t>
  </si>
  <si>
    <r>
      <rPr>
        <b/>
        <sz val="12"/>
        <rFont val="Aptos Narrow"/>
        <family val="2"/>
        <scheme val="minor"/>
      </rPr>
      <t xml:space="preserve">LOJA 48 - </t>
    </r>
    <r>
      <rPr>
        <b/>
        <i/>
        <sz val="12"/>
        <color rgb="FFFF0000"/>
        <rFont val="Aptos Narrow"/>
        <family val="2"/>
        <scheme val="minor"/>
      </rPr>
      <t>RECREIO</t>
    </r>
  </si>
  <si>
    <t>AV. DAS AMÉRICAS, 18.001             - RECREIO -                                            CEP: 22790-704 - TEL.: 96704-2050</t>
  </si>
  <si>
    <r>
      <rPr>
        <b/>
        <sz val="12"/>
        <rFont val="Aptos Narrow"/>
        <family val="2"/>
        <scheme val="minor"/>
      </rPr>
      <t xml:space="preserve">LOJA 23 - </t>
    </r>
    <r>
      <rPr>
        <b/>
        <i/>
        <sz val="12"/>
        <color rgb="FFFF0000"/>
        <rFont val="Aptos Narrow"/>
        <family val="2"/>
        <scheme val="minor"/>
      </rPr>
      <t>BARRA</t>
    </r>
  </si>
  <si>
    <t>AV. ÉRICO VERÍSSIMO, 565 - BARRA DA TIJUCA (JARDIM OCEÂNICO) - RJ - CEP: 22021-180 - TELEFONE.: 2493-5557</t>
  </si>
  <si>
    <r>
      <rPr>
        <b/>
        <sz val="12"/>
        <rFont val="Aptos Narrow"/>
        <family val="2"/>
        <scheme val="minor"/>
      </rPr>
      <t xml:space="preserve">CENTRAL (CD) - </t>
    </r>
    <r>
      <rPr>
        <b/>
        <i/>
        <sz val="12"/>
        <color rgb="FFFF0000"/>
        <rFont val="Aptos Narrow"/>
        <family val="2"/>
        <scheme val="minor"/>
      </rPr>
      <t>OLARIA</t>
    </r>
  </si>
  <si>
    <t>RUA COMANDANTE VERGUEIRO DA CRUZ, 226 - OLARIA -                     CEP: 21021-020 - TEL.: 2209-1212</t>
  </si>
  <si>
    <r>
      <rPr>
        <b/>
        <sz val="12"/>
        <rFont val="Aptos Narrow"/>
        <family val="2"/>
        <scheme val="minor"/>
      </rPr>
      <t xml:space="preserve">LOJA 24 - </t>
    </r>
    <r>
      <rPr>
        <b/>
        <i/>
        <sz val="12"/>
        <color rgb="FFFF0000"/>
        <rFont val="Aptos Narrow"/>
        <family val="2"/>
        <scheme val="minor"/>
      </rPr>
      <t>PENHA</t>
    </r>
  </si>
  <si>
    <t>RUA DO FEIJÃO, 721 - MERCADO SÃO SEBASTIÃO - PENHA - RJ                      CEP: 21011-050 - TEL.:2112-8000</t>
  </si>
  <si>
    <r>
      <rPr>
        <b/>
        <sz val="12"/>
        <rFont val="Aptos Narrow"/>
        <family val="2"/>
        <scheme val="minor"/>
      </rPr>
      <t xml:space="preserve">GARAGEM - </t>
    </r>
    <r>
      <rPr>
        <b/>
        <i/>
        <sz val="12"/>
        <color rgb="FFFF0000"/>
        <rFont val="Aptos Narrow"/>
        <family val="2"/>
        <scheme val="minor"/>
      </rPr>
      <t>PENHA</t>
    </r>
  </si>
  <si>
    <t>RUA DA BATATA, 132 - PENHA - TEL.: 3889-6465</t>
  </si>
  <si>
    <t>OUTROS CONTATOS</t>
  </si>
  <si>
    <t>ESCRITÓRIO CENTRAL - TEL.: 2209-1212/2122-0010                                                  DEPÓSITO CENTRAL - TEL.: 2209-1238</t>
  </si>
  <si>
    <r>
      <rPr>
        <b/>
        <sz val="12"/>
        <rFont val="Aptos Narrow"/>
        <family val="2"/>
        <scheme val="minor"/>
      </rPr>
      <t xml:space="preserve">MEGA BOX - </t>
    </r>
    <r>
      <rPr>
        <b/>
        <i/>
        <sz val="12"/>
        <color rgb="FFFF0000"/>
        <rFont val="Aptos Narrow"/>
        <family val="2"/>
        <scheme val="minor"/>
      </rPr>
      <t>OLARIA</t>
    </r>
  </si>
  <si>
    <t>ENTRADA 1 - AV. BRASIL, 9561 - OLARIA - RJ - TEL.: 2209-1299</t>
  </si>
  <si>
    <r>
      <rPr>
        <b/>
        <sz val="12"/>
        <rFont val="Aptos Narrow"/>
        <family val="2"/>
        <scheme val="minor"/>
      </rPr>
      <t xml:space="preserve">LOJA 25 - </t>
    </r>
    <r>
      <rPr>
        <b/>
        <i/>
        <sz val="12"/>
        <color rgb="FFFF0000"/>
        <rFont val="Aptos Narrow"/>
        <family val="2"/>
        <scheme val="minor"/>
      </rPr>
      <t>JD.BOTÂNICO</t>
    </r>
  </si>
  <si>
    <t>RUA PACHECO LEÃO, 16 - JARDIM BOTÂNICO - RJ -  CEP: 2246-030 -           TEL.: 3874-4551</t>
  </si>
  <si>
    <t>ENTRADA 2 - RUA COMANDANTE VERGUEIRO DA CRUZ, 380 - OLARIA - RJ - TEL.: 2209-1299</t>
  </si>
  <si>
    <r>
      <rPr>
        <b/>
        <sz val="12"/>
        <rFont val="Aptos Narrow"/>
        <family val="2"/>
        <scheme val="minor"/>
      </rPr>
      <t xml:space="preserve">LOJA 26 - </t>
    </r>
    <r>
      <rPr>
        <b/>
        <i/>
        <sz val="12"/>
        <color rgb="FFFF0000"/>
        <rFont val="Aptos Narrow"/>
        <family val="2"/>
        <scheme val="minor"/>
      </rPr>
      <t>COPACABANA</t>
    </r>
  </si>
  <si>
    <t>AV. NOSSA SENHORA DE COPACABANA, 591/595 - COPACABANA - RJ - CEP: 22020-001 - TEL.: 2257-1172</t>
  </si>
  <si>
    <r>
      <rPr>
        <b/>
        <sz val="12"/>
        <rFont val="Aptos Narrow"/>
        <family val="2"/>
        <scheme val="minor"/>
      </rPr>
      <t xml:space="preserve">MEGA BOX 2 - </t>
    </r>
    <r>
      <rPr>
        <b/>
        <i/>
        <sz val="12"/>
        <color rgb="FFFF0000"/>
        <rFont val="Aptos Narrow"/>
        <family val="2"/>
        <scheme val="minor"/>
      </rPr>
      <t>RECREIO</t>
    </r>
  </si>
  <si>
    <t>AV. DAS AMÉRICAS, 13.700  - KM 16 - RECREIO -                                            CEP: 22790-702 - TEL.: 2209-1236</t>
  </si>
  <si>
    <t>CENTRAL (CD) - OLARIA</t>
  </si>
  <si>
    <t>GARAGEM - PENHA</t>
  </si>
  <si>
    <t>LOJA</t>
  </si>
  <si>
    <t>JOSUE DOS SANTOS</t>
  </si>
  <si>
    <t>FÁBIO P. / LUIZ ALBERTO</t>
  </si>
  <si>
    <t xml:space="preserve">SIDNEI ANTONIO MENDES </t>
  </si>
  <si>
    <t>JÚLIO COUTO/INACIO ARAUJO</t>
  </si>
  <si>
    <t>SANDRO EDUARDO/ MARCIO</t>
  </si>
  <si>
    <t>ALEX</t>
  </si>
  <si>
    <t xml:space="preserve">RAPHAEL /LUIZ ALVES </t>
  </si>
  <si>
    <t>FRANCISCO IRAN</t>
  </si>
  <si>
    <t>DOUGLAS</t>
  </si>
  <si>
    <t>BBH-1C94</t>
  </si>
  <si>
    <t>KQY-9E24</t>
  </si>
  <si>
    <t>LQE-5401</t>
  </si>
  <si>
    <t>LQU-5546</t>
  </si>
  <si>
    <t>KVH-9J42</t>
  </si>
  <si>
    <t>LKW-2B80</t>
  </si>
  <si>
    <t>AOP-3C73</t>
  </si>
  <si>
    <t>LCO-0978</t>
  </si>
  <si>
    <t>RJL-7D33</t>
  </si>
  <si>
    <t>Central (Cd) - Olaria</t>
  </si>
  <si>
    <t>Garagem - Penha</t>
  </si>
  <si>
    <t>CYB-3B90</t>
  </si>
  <si>
    <t>INW-8A51</t>
  </si>
  <si>
    <t>JAJ-6B36</t>
  </si>
  <si>
    <t>KRK-3D12</t>
  </si>
  <si>
    <t>KWK-4593</t>
  </si>
  <si>
    <t>MEGABOX 1</t>
  </si>
  <si>
    <t>MEGABOX 2</t>
  </si>
  <si>
    <t>WILLIAM</t>
  </si>
  <si>
    <t>EVERTON</t>
  </si>
  <si>
    <t xml:space="preserve">EDUARDO /  JOSENILDO ANISIO </t>
  </si>
  <si>
    <t>SANDRO EDUARDO / MARCIO</t>
  </si>
  <si>
    <t>FÁBIO / RODRIGO</t>
  </si>
  <si>
    <t>JÚLIO COUTO / INACIO ARAUJO</t>
  </si>
  <si>
    <t>RENATO</t>
  </si>
  <si>
    <t>MOBRICI</t>
  </si>
  <si>
    <t xml:space="preserve">FRANCISCO IRAN </t>
  </si>
  <si>
    <t>LUP-1F13</t>
  </si>
  <si>
    <t>KRH-5H67</t>
  </si>
  <si>
    <t>LUIZ / CARLOS</t>
  </si>
  <si>
    <t>RAPHAEL / LUIZ ALVES</t>
  </si>
  <si>
    <t>ALESSANDRA/ JONESON</t>
  </si>
  <si>
    <t>EBG-2D13</t>
  </si>
  <si>
    <t>LVE-0688</t>
  </si>
  <si>
    <t>LUCIANO / ANDERSON</t>
  </si>
  <si>
    <t>LJS-2172</t>
  </si>
  <si>
    <t>SÉRGIO JOSE DA SILVA</t>
  </si>
  <si>
    <t>CZB-9J19</t>
  </si>
  <si>
    <t>MARCIO / ERIVELTON</t>
  </si>
  <si>
    <t xml:space="preserve">CARLOS GONÇALVES </t>
  </si>
  <si>
    <t>HLOG / FABRICIO</t>
  </si>
  <si>
    <t>LNU-9595</t>
  </si>
  <si>
    <t>TML-7D21</t>
  </si>
  <si>
    <t>SIDNEI / AGNALDO</t>
  </si>
  <si>
    <t>LKR-5990</t>
  </si>
  <si>
    <t>EFU-5704</t>
  </si>
  <si>
    <t>WILIAN FERES</t>
  </si>
  <si>
    <t>UBF-5G33</t>
  </si>
  <si>
    <t>Zona Sul Loja 01 - Ipanema</t>
  </si>
  <si>
    <t>Zona Sul Loja 02 - Ipanema</t>
  </si>
  <si>
    <t>Zona Sul Loja 03 - Copacabana I</t>
  </si>
  <si>
    <t>Zona Sul Loja 04 - Copacabana II</t>
  </si>
  <si>
    <t>Zona Sul Loja 05 - Copacabana III</t>
  </si>
  <si>
    <t>Zona Sul Loja 06 - Gávea</t>
  </si>
  <si>
    <t>Zona Sul Loja 07 - Leblon</t>
  </si>
  <si>
    <t>Zona Sul Loja 08 - Ipanema</t>
  </si>
  <si>
    <t>Zona Sul Loja 09 - Ipanema</t>
  </si>
  <si>
    <t>Zona Sul Loja 10 - Recreio</t>
  </si>
  <si>
    <t>Zona Sul Loja 11 - Leblon</t>
  </si>
  <si>
    <t>Zona Sul Loja 1129 - Olaria</t>
  </si>
  <si>
    <t>Zona Sul Loja 12 - Leme</t>
  </si>
  <si>
    <t>Zona Sul Loja 13 - Angra</t>
  </si>
  <si>
    <t>Zona Sul Loja 14 - Leblon</t>
  </si>
  <si>
    <t>Zona Sul Loja 15 - Leblon</t>
  </si>
  <si>
    <t>Zona Sul Loja 16 - Leblon</t>
  </si>
  <si>
    <t>Zona Sul Loja 17 - Barra</t>
  </si>
  <si>
    <t>Zona Sul Loja 18 - Copacabana</t>
  </si>
  <si>
    <t>Zona Sul Loja 19 - Copacabana</t>
  </si>
  <si>
    <t>Zona Sul Loja 20 - Botafogo</t>
  </si>
  <si>
    <t>Zona Sul Loja 21 - Flamengo</t>
  </si>
  <si>
    <t>Zona Sul Loja 22 - S.Conrado</t>
  </si>
  <si>
    <t>Zona Sul Loja 23 - Barra</t>
  </si>
  <si>
    <t>Zona Sul Loja 24 - Penha</t>
  </si>
  <si>
    <t>Zona Sul Loja 25 - Jd.Botânico</t>
  </si>
  <si>
    <t>Zona Sul Loja 26 - Copacabana</t>
  </si>
  <si>
    <t>Zona Sul Loja 27 - Ipanema</t>
  </si>
  <si>
    <t>Zona Sul Loja 28 - Urca</t>
  </si>
  <si>
    <t>Zona Sul Loja 29 - Flamengo</t>
  </si>
  <si>
    <t>Zona Sul Loja 30 - Laranjeiras</t>
  </si>
  <si>
    <t>Zona Sul Loja 31 - Jd.Botânico</t>
  </si>
  <si>
    <t>Zona Sul Loja 32 - Laranjeiras</t>
  </si>
  <si>
    <t>Zona Sul Loja 33 - Humaitá</t>
  </si>
  <si>
    <t>Zona Sul Loja 34 - Barra</t>
  </si>
  <si>
    <t>Zona Sul Loja 35 - Barra</t>
  </si>
  <si>
    <t>Zona Sul Loja 36 - Botafogo</t>
  </si>
  <si>
    <t>Zona Sul Loja 37 - Botafogo</t>
  </si>
  <si>
    <t>Zona Sul Loja 38 - Copacabana</t>
  </si>
  <si>
    <t>Zona Sul Loja 39 - Centro</t>
  </si>
  <si>
    <t>Zona Sul Loja 40 - Ipanema</t>
  </si>
  <si>
    <t>Zona Sul Loja 41 - Laranjeiras</t>
  </si>
  <si>
    <t>Zona Sul Loja 42 - Botafogo</t>
  </si>
  <si>
    <t>Zona Sul Loja 43 - Barra (Península)</t>
  </si>
  <si>
    <t>Zona Sul Loja 44 - Barra</t>
  </si>
  <si>
    <t>Zona Sul Loja 45 - Flamengo</t>
  </si>
  <si>
    <t>Zona Sul Loja 46 - Botafogo</t>
  </si>
  <si>
    <t>Zona Sul Loja 48 - Recreio</t>
  </si>
  <si>
    <t>Zona Sul Mega Box 1 - Olaria</t>
  </si>
  <si>
    <t>Zona Sul Mega Box 2 - Recreio</t>
  </si>
  <si>
    <t>Zona Sul Loja 47 - Catete</t>
  </si>
  <si>
    <t>KYM-2I62</t>
  </si>
  <si>
    <t>LAF-0697</t>
  </si>
  <si>
    <t>FÁBIO BORGES</t>
  </si>
  <si>
    <t>FÁBIO / VLADIMIR</t>
  </si>
  <si>
    <t xml:space="preserve">EDUARDO </t>
  </si>
  <si>
    <t>JHONATA FREIRE DA SILVA</t>
  </si>
  <si>
    <t>SIDNEI / DIEGO</t>
  </si>
  <si>
    <t>KQB-3F31</t>
  </si>
  <si>
    <t>UGA-1D55</t>
  </si>
  <si>
    <t>HLOG / MARCOS</t>
  </si>
  <si>
    <t>HLOG / SILVIO</t>
  </si>
  <si>
    <t>CHD LOJA 1</t>
  </si>
  <si>
    <t>TEMPOI EM LOJA 1</t>
  </si>
  <si>
    <t>SIDNEI</t>
  </si>
  <si>
    <t xml:space="preserve">CHD LOJA </t>
  </si>
  <si>
    <t xml:space="preserve">SAIDA LOJA </t>
  </si>
  <si>
    <t>HLOG / BRUNO / MARTINS</t>
  </si>
  <si>
    <t>TML-3B11</t>
  </si>
  <si>
    <t>LTE-0E64</t>
  </si>
  <si>
    <t>não</t>
  </si>
  <si>
    <t>foi  ao</t>
  </si>
  <si>
    <t>cliente</t>
  </si>
  <si>
    <t>SEM</t>
  </si>
  <si>
    <t>RASTREADOR</t>
  </si>
  <si>
    <t>KOP-4978</t>
  </si>
  <si>
    <t>LTQ-0783</t>
  </si>
  <si>
    <t>MILTON</t>
  </si>
  <si>
    <t xml:space="preserve">WILLIAM / EDMILSON JOSÉ </t>
  </si>
  <si>
    <t>HLOG / MARCOS FERNANDO</t>
  </si>
  <si>
    <t xml:space="preserve">LUIZ / NILTON RODRIGUES </t>
  </si>
  <si>
    <t>HLOG / JONATHAN MARCIO</t>
  </si>
  <si>
    <t>FELIPE SILVA</t>
  </si>
  <si>
    <t xml:space="preserve">PAULO ROBERTO </t>
  </si>
  <si>
    <t>LTE-0A64</t>
  </si>
  <si>
    <t>QSU-6I54</t>
  </si>
  <si>
    <t>AKZ-2594</t>
  </si>
  <si>
    <t>TML-9I75</t>
  </si>
  <si>
    <t>KUL-1425</t>
  </si>
  <si>
    <t>MDV-3746</t>
  </si>
  <si>
    <t xml:space="preserve">RAPHAEL / LUIZ ANTONIO ALVES </t>
  </si>
  <si>
    <t>KMY-5561</t>
  </si>
  <si>
    <t>FELIPE / PAULO CESAR</t>
  </si>
  <si>
    <t>MARCIO</t>
  </si>
  <si>
    <t>LNU-7733</t>
  </si>
  <si>
    <t>LTH-4J15</t>
  </si>
  <si>
    <t>FÁBIO P. /RODRIGO</t>
  </si>
  <si>
    <t>MOBRICE</t>
  </si>
  <si>
    <t>JULIO</t>
  </si>
  <si>
    <t>RAPHAEL /LUIZ ALVES</t>
  </si>
  <si>
    <t>TEMPO EM LOJA 1</t>
  </si>
  <si>
    <t>NÃO</t>
  </si>
  <si>
    <t>FOI  AO</t>
  </si>
  <si>
    <t>CLIENTE</t>
  </si>
  <si>
    <t>ANTONIO</t>
  </si>
  <si>
    <t>MES7F27</t>
  </si>
  <si>
    <t xml:space="preserve">FÁBIO P. /RODRIGO </t>
  </si>
  <si>
    <t>SIDNEI /DIEGO</t>
  </si>
  <si>
    <t>SÉRGIO JOSE DA SILVA*</t>
  </si>
  <si>
    <t>THIAGO</t>
  </si>
  <si>
    <t>ALESSIO</t>
  </si>
  <si>
    <t>HLOG / DENIS/FABIO</t>
  </si>
  <si>
    <t>KQR-2J11</t>
  </si>
  <si>
    <t>TTX-9E34</t>
  </si>
  <si>
    <t>TIAGO DA COSTA</t>
  </si>
  <si>
    <t>CARLOS GONÇALVES  (1º CARRO)</t>
  </si>
  <si>
    <t>FÁBIO BORGES (2º CARRO)</t>
  </si>
  <si>
    <t>QAH-2H50</t>
  </si>
  <si>
    <t>MES-7F27</t>
  </si>
  <si>
    <t xml:space="preserve">SIDNEI ANTONIO </t>
  </si>
  <si>
    <t/>
  </si>
  <si>
    <t>FELIPE</t>
  </si>
  <si>
    <t>LNU7H38</t>
  </si>
  <si>
    <t>EDUARDO</t>
  </si>
  <si>
    <t>QHA2H50</t>
  </si>
  <si>
    <t>RAFAEL</t>
  </si>
  <si>
    <t>MARCOS</t>
  </si>
  <si>
    <t xml:space="preserve">NÃO </t>
  </si>
  <si>
    <t>UBG-7F79</t>
  </si>
  <si>
    <t>DBB-8D19</t>
  </si>
  <si>
    <t>PAULO HENRIQUE</t>
  </si>
  <si>
    <t>DOUGLAS (1º CARRO)</t>
  </si>
  <si>
    <t>LUIZ / NILTON RODRIGUES (2º CARRO FL. 34)</t>
  </si>
  <si>
    <t>RAPHAEL / LUIZ ALVES (1º CARRO)</t>
  </si>
  <si>
    <t>MILTON (2º carro fl. 10 e MEGA BOX 2)</t>
  </si>
  <si>
    <t>FÁBIO / LUIZ ALBERTO</t>
  </si>
  <si>
    <t>KNC5J75</t>
  </si>
  <si>
    <t>SERGIO</t>
  </si>
  <si>
    <t>LJS2172</t>
  </si>
  <si>
    <t>LUIZ</t>
  </si>
  <si>
    <t>MARCIO / ERIVELTON (1º CARRO)</t>
  </si>
  <si>
    <t>WILLIAM (2º CARRO)</t>
  </si>
  <si>
    <t>HLOG / ALEXANDRE / JONATHAN MARCIO (1º CARRO FL. 09)</t>
  </si>
  <si>
    <t>HLOG / SILVIO LEAL (2º CARRO FL. 09)</t>
  </si>
  <si>
    <t>CARLOS GONÇALVES (1º CARRO)</t>
  </si>
  <si>
    <t>FÁBIO / RODRIGO (2º CARRO FL. 34)</t>
  </si>
  <si>
    <t>TML-2D79</t>
  </si>
  <si>
    <t>TML-7D61</t>
  </si>
  <si>
    <t>LQA-5883</t>
  </si>
  <si>
    <t>PAULO</t>
  </si>
  <si>
    <t>SÉRGIO JOSE DA SILVA (1º CARRO)</t>
  </si>
  <si>
    <t>FÁBIO / VLADIMIR (2º CARRO FL.34 )</t>
  </si>
  <si>
    <t>WANDERLEY</t>
  </si>
  <si>
    <t>AFY-7J99</t>
  </si>
  <si>
    <t>FÁBIO / RODRIGO (2º CARRO)</t>
  </si>
  <si>
    <t>EDUARDO (1º CARRO)</t>
  </si>
  <si>
    <t>WANDERLEY (2º CARRO MEGA BOX 2)</t>
  </si>
  <si>
    <t>LQE5401</t>
  </si>
  <si>
    <t>JOSUÉ</t>
  </si>
  <si>
    <t>BBH1C94</t>
  </si>
  <si>
    <t>JONESON</t>
  </si>
  <si>
    <t>EBG2313</t>
  </si>
  <si>
    <t>JAJ6B36</t>
  </si>
  <si>
    <t>SIDNEY</t>
  </si>
  <si>
    <t>LQE5H01</t>
  </si>
  <si>
    <t>RAPHAEL /LUIZ ALVES  (1º CARRO)</t>
  </si>
  <si>
    <t>ALEX (2º CARRO)</t>
  </si>
  <si>
    <t>PAULO HENRIQUE (2º CARRO)</t>
  </si>
  <si>
    <t>WANDERLEY (2º CARRO)</t>
  </si>
  <si>
    <t>HLOG /MARCOS VINICIUS</t>
  </si>
  <si>
    <t>HLOG /MARCIO LUIZ</t>
  </si>
  <si>
    <t>MOBRICI  (2º CARRO)</t>
  </si>
  <si>
    <t>HLOG / ALEXANDRE / MARCOS FERNANDO (1º CARRO)</t>
  </si>
  <si>
    <t>HLOG /FABRICIO</t>
  </si>
  <si>
    <t>SIDNEI / AGNALDO (2º CARRO)</t>
  </si>
  <si>
    <t>RAPHAEL / DANIEL</t>
  </si>
  <si>
    <t>PAULO ROBERTO  (1º CARRO)</t>
  </si>
  <si>
    <t>RAPHAEL / LUIZ ANTONIO ALVES (2ºCARRO)</t>
  </si>
  <si>
    <t>EVERTON (2º CARRO FL. 10 E MEGA BOX 2)</t>
  </si>
  <si>
    <t>QSS-1E48</t>
  </si>
  <si>
    <t>FKY-8H51</t>
  </si>
  <si>
    <t>LKV-5067</t>
  </si>
  <si>
    <t>KXX-6922</t>
  </si>
  <si>
    <t xml:space="preserve">FÁBIO / VLADIMIR </t>
  </si>
  <si>
    <t>UBF-5G34</t>
  </si>
  <si>
    <t>HLOG / BRUNO PEREIRA</t>
  </si>
  <si>
    <t>HLOG / VICTOR</t>
  </si>
  <si>
    <t>UBF-5G36</t>
  </si>
  <si>
    <t>HLOG / SILVIO LEAL</t>
  </si>
  <si>
    <t>LTE0A64</t>
  </si>
  <si>
    <t>PAULO HENRIQUE (1º CARRO)</t>
  </si>
  <si>
    <t>MARCIO / ERIVELTON (2º CARRO)</t>
  </si>
  <si>
    <t>LUIZ / NILTON RODRIGUES (1º CARRO)</t>
  </si>
  <si>
    <t>WANDERLEY (2º CARRO FL. 08)</t>
  </si>
  <si>
    <t>MOBRICI (1º CARRO)</t>
  </si>
  <si>
    <t>ALEX  (2º CARRO FL. 34)</t>
  </si>
  <si>
    <t>KWS-8205</t>
  </si>
  <si>
    <t>TIAGO DA COSTA (1º CARRO)</t>
  </si>
  <si>
    <t>JOSUE DOS SANTOS (2º CARRO FL. 19)</t>
  </si>
  <si>
    <t>UBF-5G32</t>
  </si>
  <si>
    <t>HLOG / FABIO</t>
  </si>
  <si>
    <t>17:30</t>
  </si>
  <si>
    <t>18:45</t>
  </si>
  <si>
    <t>DOUGLAS / CARLOS DOS SANTOS</t>
  </si>
  <si>
    <t>LTB-1B31</t>
  </si>
  <si>
    <t>UBO-5E05</t>
  </si>
  <si>
    <t>HLOG /DENIS</t>
  </si>
  <si>
    <t>HLOG / FABIO (3º CARRO)</t>
  </si>
  <si>
    <t>FÁBIO / RODRIGO (1º CARRO)</t>
  </si>
  <si>
    <t>CARLOS GONÇALVES  (2º CARRO)</t>
  </si>
  <si>
    <t>HLOG /MARCOS FERNANDO</t>
  </si>
  <si>
    <t>MILTON (2º CARRO)</t>
  </si>
  <si>
    <t>FABIO / VLADIMIR (2º CARRO)</t>
  </si>
  <si>
    <t xml:space="preserve">FABIO </t>
  </si>
  <si>
    <t>WILLIAM / EDMILSON JOSÉ (2º CARRO)</t>
  </si>
  <si>
    <t>UFW-OH63</t>
  </si>
  <si>
    <t>KYQ-4846</t>
  </si>
  <si>
    <t>PXA-9727</t>
  </si>
  <si>
    <t>ALESSANDRA/ JONESON  (2º CARRO FL. 19)</t>
  </si>
  <si>
    <t xml:space="preserve">EVERTON </t>
  </si>
  <si>
    <t>PAULO ROBERTO (1º CARRO)</t>
  </si>
  <si>
    <t>RAPHAEL / DANIEL (2º CARRO FL. 17)</t>
  </si>
  <si>
    <t>RAPHAEL / LUIZ ANTONIO ALVES (1º CARRO)</t>
  </si>
  <si>
    <t>ANTONIO (1º CARRO)</t>
  </si>
  <si>
    <t>FELIPE / PAULO CESAR (2º CARRO FL.10 E MEGA BOX 2)</t>
  </si>
  <si>
    <t>RENATO (2º CARRO FL. 20)</t>
  </si>
  <si>
    <t>HLOG / FABRICIO (1º CARRO)</t>
  </si>
  <si>
    <t>JHONATA FREIRE DA SILVA (2º CARRO MEGA BOX 1)</t>
  </si>
  <si>
    <t>KNC-5J75</t>
  </si>
  <si>
    <t>FOI AO</t>
  </si>
  <si>
    <t>HLOG / MATHEUS</t>
  </si>
  <si>
    <t>HLOG / RODRIGO</t>
  </si>
  <si>
    <t>CLEYTON</t>
  </si>
  <si>
    <t>FHO-5F88</t>
  </si>
  <si>
    <t>HLOG / JOSE ROBERTO</t>
  </si>
  <si>
    <t>HLOG / FERNANDO CARDOSO</t>
  </si>
  <si>
    <t>TML-5I70</t>
  </si>
  <si>
    <t>UFW-0H63</t>
  </si>
  <si>
    <t>UDC-6I03</t>
  </si>
  <si>
    <t>LQA5883</t>
  </si>
  <si>
    <t>LKV5067</t>
  </si>
  <si>
    <t>KRK3D12</t>
  </si>
  <si>
    <t>LUP1F13</t>
  </si>
  <si>
    <t>WILLIAM / EDMILSON JOSÉ DE MELO</t>
  </si>
  <si>
    <t>FABIO/RODRIGO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</si>
</sst>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h:mm;@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48"/>
      <color theme="0"/>
      <name val="Arial"/>
      <family val="2"/>
    </font>
    <font>
      <b/>
      <sz val="20"/>
      <color theme="0"/>
      <name val="Arial"/>
      <family val="2"/>
    </font>
    <font>
      <sz val="16"/>
      <color theme="0"/>
      <name val="Arial"/>
      <family val="2"/>
    </font>
    <font>
      <sz val="18"/>
      <color theme="0"/>
      <name val="Arial"/>
      <family val="2"/>
    </font>
    <font>
      <sz val="18"/>
      <name val="Arial"/>
      <family val="2"/>
    </font>
    <font>
      <b/>
      <sz val="16"/>
      <color theme="0"/>
      <name val="Aptos Narrow"/>
      <family val="2"/>
      <scheme val="minor"/>
    </font>
    <font>
      <sz val="16"/>
      <name val="Arial"/>
      <family val="2"/>
    </font>
    <font>
      <b/>
      <sz val="12"/>
      <name val="Arial"/>
      <family val="2"/>
    </font>
    <font>
      <sz val="18"/>
      <color rgb="FFFF0000"/>
      <name val="Arial"/>
      <family val="2"/>
    </font>
    <font>
      <b/>
      <sz val="20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b/>
      <i/>
      <sz val="12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sz val="8"/>
      <name val="Aptos Narrow"/>
      <family val="2"/>
      <scheme val="minor"/>
    </font>
    <font>
      <b/>
      <sz val="12"/>
      <color theme="1"/>
      <name val="Arial"/>
      <family val="2"/>
    </font>
    <font>
      <sz val="12"/>
      <name val="Arial"/>
      <family val="2"/>
    </font>
    <font>
      <sz val="11"/>
      <color theme="1"/>
      <name val="Aptos Narrow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34080019531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</patternFill>
    </fill>
    <fill>
      <patternFill patternType="solid">
        <fgColor theme="3" tint="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</borders>
  <cellStyleXfs count="8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7" borderId="16" applyNumberFormat="0" applyFont="0" applyAlignment="0" applyProtection="0"/>
    <xf numFmtId="0" fontId="22" fillId="0" borderId="0"/>
  </cellStyleXfs>
  <cellXfs count="62">
    <xf numFmtId="0" fontId="0" fillId="0" borderId="0" xfId="0"/>
    <xf numFmtId="0" fontId="7" fillId="0" borderId="0" xfId="1" applyFont="1"/>
    <xf numFmtId="0" fontId="7" fillId="0" borderId="0" xfId="1" applyFont="1" applyAlignment="1">
      <alignment horizontal="center"/>
    </xf>
    <xf numFmtId="0" fontId="7" fillId="0" borderId="0" xfId="1" applyFont="1" applyAlignment="1">
      <alignment horizontal="center" vertical="center"/>
    </xf>
    <xf numFmtId="0" fontId="11" fillId="0" borderId="0" xfId="1" applyFont="1"/>
    <xf numFmtId="164" fontId="7" fillId="0" borderId="0" xfId="1" applyNumberFormat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164" fontId="7" fillId="0" borderId="0" xfId="1" applyNumberFormat="1" applyFont="1" applyAlignment="1">
      <alignment vertical="center"/>
    </xf>
    <xf numFmtId="0" fontId="1" fillId="2" borderId="0" xfId="5" applyFill="1"/>
    <xf numFmtId="0" fontId="13" fillId="4" borderId="6" xfId="5" applyFont="1" applyFill="1" applyBorder="1" applyAlignment="1">
      <alignment horizontal="center" vertical="center" wrapText="1"/>
    </xf>
    <xf numFmtId="0" fontId="15" fillId="2" borderId="0" xfId="5" applyFont="1" applyFill="1" applyAlignment="1">
      <alignment wrapText="1"/>
    </xf>
    <xf numFmtId="0" fontId="13" fillId="2" borderId="7" xfId="5" applyFont="1" applyFill="1" applyBorder="1" applyAlignment="1">
      <alignment horizontal="center" vertical="center" wrapText="1"/>
    </xf>
    <xf numFmtId="0" fontId="13" fillId="4" borderId="7" xfId="5" applyFont="1" applyFill="1" applyBorder="1" applyAlignment="1">
      <alignment horizontal="center" vertical="center" wrapText="1"/>
    </xf>
    <xf numFmtId="0" fontId="13" fillId="2" borderId="8" xfId="5" applyFont="1" applyFill="1" applyBorder="1" applyAlignment="1">
      <alignment horizontal="center" vertical="center" wrapText="1"/>
    </xf>
    <xf numFmtId="0" fontId="13" fillId="4" borderId="9" xfId="5" applyFont="1" applyFill="1" applyBorder="1" applyAlignment="1">
      <alignment horizontal="center" vertical="center" wrapText="1"/>
    </xf>
    <xf numFmtId="0" fontId="13" fillId="4" borderId="10" xfId="5" applyFont="1" applyFill="1" applyBorder="1" applyAlignment="1">
      <alignment horizontal="center" vertical="center" wrapText="1"/>
    </xf>
    <xf numFmtId="0" fontId="13" fillId="2" borderId="9" xfId="5" applyFont="1" applyFill="1" applyBorder="1" applyAlignment="1">
      <alignment horizontal="center" vertical="center" wrapText="1"/>
    </xf>
    <xf numFmtId="0" fontId="13" fillId="2" borderId="10" xfId="5" applyFont="1" applyFill="1" applyBorder="1" applyAlignment="1">
      <alignment horizontal="center" vertical="center" wrapText="1"/>
    </xf>
    <xf numFmtId="0" fontId="13" fillId="4" borderId="8" xfId="5" applyFont="1" applyFill="1" applyBorder="1" applyAlignment="1">
      <alignment horizontal="center" vertical="center" wrapText="1"/>
    </xf>
    <xf numFmtId="0" fontId="13" fillId="2" borderId="11" xfId="5" applyFont="1" applyFill="1" applyBorder="1" applyAlignment="1">
      <alignment horizontal="center" vertical="center" wrapText="1"/>
    </xf>
    <xf numFmtId="0" fontId="13" fillId="4" borderId="13" xfId="5" applyFont="1" applyFill="1" applyBorder="1" applyAlignment="1">
      <alignment horizontal="center" vertical="center" wrapText="1"/>
    </xf>
    <xf numFmtId="0" fontId="13" fillId="2" borderId="14" xfId="5" applyFont="1" applyFill="1" applyBorder="1" applyAlignment="1">
      <alignment horizontal="center" vertical="center" wrapText="1"/>
    </xf>
    <xf numFmtId="0" fontId="16" fillId="2" borderId="0" xfId="5" applyFont="1" applyFill="1" applyAlignment="1">
      <alignment horizontal="center" vertical="center" wrapText="1"/>
    </xf>
    <xf numFmtId="0" fontId="15" fillId="2" borderId="0" xfId="5" applyFont="1" applyFill="1" applyAlignment="1">
      <alignment horizontal="left" vertical="top" wrapText="1"/>
    </xf>
    <xf numFmtId="0" fontId="15" fillId="2" borderId="0" xfId="5" applyFont="1" applyFill="1" applyAlignment="1">
      <alignment horizontal="left" vertical="top"/>
    </xf>
    <xf numFmtId="0" fontId="1" fillId="2" borderId="0" xfId="5" applyFill="1" applyAlignment="1">
      <alignment vertical="top" wrapText="1"/>
    </xf>
    <xf numFmtId="0" fontId="9" fillId="0" borderId="1" xfId="1" applyFont="1" applyBorder="1" applyAlignment="1">
      <alignment horizontal="left" vertical="center"/>
    </xf>
    <xf numFmtId="49" fontId="7" fillId="0" borderId="0" xfId="1" applyNumberFormat="1" applyFont="1"/>
    <xf numFmtId="0" fontId="9" fillId="0" borderId="0" xfId="1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0" fillId="5" borderId="0" xfId="5" applyFont="1" applyFill="1" applyAlignment="1">
      <alignment horizontal="left" vertical="center" wrapText="1"/>
    </xf>
    <xf numFmtId="0" fontId="10" fillId="5" borderId="0" xfId="5" applyFont="1" applyFill="1" applyAlignment="1">
      <alignment vertical="center" wrapText="1"/>
    </xf>
    <xf numFmtId="0" fontId="17" fillId="5" borderId="0" xfId="0" applyFont="1" applyFill="1" applyAlignment="1">
      <alignment horizontal="left" vertical="center"/>
    </xf>
    <xf numFmtId="0" fontId="17" fillId="6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10" fillId="5" borderId="0" xfId="5" applyFont="1" applyFill="1" applyAlignment="1">
      <alignment horizontal="center" vertical="center" wrapText="1"/>
    </xf>
    <xf numFmtId="0" fontId="3" fillId="8" borderId="0" xfId="1" applyFont="1" applyFill="1" applyAlignment="1">
      <alignment horizontal="centerContinuous" vertical="center" wrapText="1"/>
    </xf>
    <xf numFmtId="0" fontId="3" fillId="8" borderId="0" xfId="1" applyFont="1" applyFill="1" applyAlignment="1">
      <alignment horizontal="centerContinuous" vertical="center"/>
    </xf>
    <xf numFmtId="0" fontId="5" fillId="8" borderId="0" xfId="1" applyFont="1" applyFill="1" applyAlignment="1">
      <alignment horizontal="centerContinuous" vertical="center"/>
    </xf>
    <xf numFmtId="164" fontId="6" fillId="8" borderId="0" xfId="1" applyNumberFormat="1" applyFont="1" applyFill="1" applyAlignment="1">
      <alignment horizontal="centerContinuous" vertical="center"/>
    </xf>
    <xf numFmtId="0" fontId="6" fillId="8" borderId="0" xfId="1" applyFont="1" applyFill="1" applyAlignment="1">
      <alignment horizontal="centerContinuous" vertical="center"/>
    </xf>
    <xf numFmtId="0" fontId="7" fillId="8" borderId="0" xfId="1" applyFont="1" applyFill="1" applyAlignment="1">
      <alignment horizontal="centerContinuous"/>
    </xf>
    <xf numFmtId="0" fontId="8" fillId="8" borderId="2" xfId="1" applyFont="1" applyFill="1" applyBorder="1" applyAlignment="1">
      <alignment horizontal="center" vertical="center"/>
    </xf>
    <xf numFmtId="164" fontId="8" fillId="8" borderId="2" xfId="1" applyNumberFormat="1" applyFont="1" applyFill="1" applyBorder="1" applyAlignment="1">
      <alignment horizontal="center" vertical="center"/>
    </xf>
    <xf numFmtId="0" fontId="8" fillId="8" borderId="15" xfId="1" applyFont="1" applyFill="1" applyBorder="1" applyAlignment="1">
      <alignment horizontal="center" vertical="center"/>
    </xf>
    <xf numFmtId="0" fontId="8" fillId="8" borderId="1" xfId="1" applyFont="1" applyFill="1" applyBorder="1" applyAlignment="1">
      <alignment horizontal="center" vertical="center"/>
    </xf>
    <xf numFmtId="165" fontId="21" fillId="7" borderId="17" xfId="6" applyNumberFormat="1" applyFont="1" applyBorder="1" applyAlignment="1">
      <alignment horizontal="left" vertical="center"/>
    </xf>
    <xf numFmtId="165" fontId="21" fillId="7" borderId="17" xfId="6" applyNumberFormat="1" applyFont="1" applyBorder="1" applyAlignment="1">
      <alignment horizontal="center" vertical="center"/>
    </xf>
    <xf numFmtId="49" fontId="7" fillId="8" borderId="0" xfId="1" applyNumberFormat="1" applyFont="1" applyFill="1" applyAlignment="1">
      <alignment horizontal="centerContinuous"/>
    </xf>
    <xf numFmtId="0" fontId="17" fillId="0" borderId="0" xfId="0" applyFont="1" applyAlignment="1">
      <alignment horizontal="center" vertical="center"/>
    </xf>
    <xf numFmtId="49" fontId="21" fillId="7" borderId="17" xfId="6" applyNumberFormat="1" applyFont="1" applyBorder="1" applyAlignment="1">
      <alignment horizontal="left" vertical="center"/>
    </xf>
    <xf numFmtId="49" fontId="21" fillId="7" borderId="17" xfId="6" applyNumberFormat="1" applyFont="1" applyBorder="1" applyAlignment="1">
      <alignment horizontal="center" vertical="center"/>
    </xf>
    <xf numFmtId="0" fontId="16" fillId="2" borderId="0" xfId="5" applyFont="1" applyFill="1" applyAlignment="1">
      <alignment horizontal="center" vertical="center" wrapText="1"/>
    </xf>
    <xf numFmtId="0" fontId="12" fillId="3" borderId="3" xfId="5" applyFont="1" applyFill="1" applyBorder="1" applyAlignment="1">
      <alignment horizontal="center" vertical="center"/>
    </xf>
    <xf numFmtId="0" fontId="12" fillId="3" borderId="4" xfId="5" applyFont="1" applyFill="1" applyBorder="1" applyAlignment="1">
      <alignment horizontal="center" vertical="center"/>
    </xf>
    <xf numFmtId="0" fontId="1" fillId="2" borderId="5" xfId="5" applyFill="1" applyBorder="1" applyAlignment="1">
      <alignment horizontal="center"/>
    </xf>
    <xf numFmtId="0" fontId="1" fillId="2" borderId="0" xfId="5" applyFill="1" applyAlignment="1">
      <alignment horizontal="center"/>
    </xf>
    <xf numFmtId="0" fontId="13" fillId="2" borderId="10" xfId="5" applyFont="1" applyFill="1" applyBorder="1" applyAlignment="1">
      <alignment horizontal="center" vertical="center" wrapText="1"/>
    </xf>
    <xf numFmtId="0" fontId="13" fillId="2" borderId="12" xfId="5" applyFont="1" applyFill="1" applyBorder="1" applyAlignment="1">
      <alignment horizontal="center" vertical="center" wrapText="1"/>
    </xf>
  </cellXfs>
  <cellStyles count="8">
    <cellStyle name="Normal" xfId="0" builtinId="0"/>
    <cellStyle name="Normal 2 2" xfId="1" xr:uid="{00000000-0005-0000-0000-000001000000}"/>
    <cellStyle name="Normal 2 3 2 2 2 2 2 2 2" xfId="3" xr:uid="{E4AF4FF0-130D-45CB-878A-430F6A1F9B76}"/>
    <cellStyle name="Normal 2 3 2 2 2 2 2 2 2 2" xfId="4" xr:uid="{6F18961C-0AEF-4444-8F18-1EAAFACA0D0F}"/>
    <cellStyle name="Normal 3 2 2 2 2 2 2 2" xfId="7" xr:uid="{F2221744-740E-45F0-99E9-FE62C378054C}"/>
    <cellStyle name="Normal 3 2 2 2 2 2 2 2 2" xfId="5" xr:uid="{B636456D-F9BB-49F2-8C2D-8B8A8F6B570D}"/>
    <cellStyle name="Normal 3 2 2 2 2 2 2 2 3" xfId="2" xr:uid="{00000000-0005-0000-0000-000002000000}"/>
    <cellStyle name="Nota" xfId="6" builtinId="10"/>
  </cellStyles>
  <dxfs count="1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74543</xdr:colOff>
      <xdr:row>0</xdr:row>
      <xdr:rowOff>0</xdr:rowOff>
    </xdr:from>
    <xdr:to>
      <xdr:col>0</xdr:col>
      <xdr:colOff>1508896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BAACCC7-DE6B-4567-8A61-8EA926781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130103</xdr:colOff>
      <xdr:row>0</xdr:row>
      <xdr:rowOff>0</xdr:rowOff>
    </xdr:from>
    <xdr:to>
      <xdr:col>7</xdr:col>
      <xdr:colOff>1563336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82DE144-3BC5-4D90-B155-CB3B858F0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9803" y="0"/>
          <a:ext cx="1433233" cy="10249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74543</xdr:colOff>
      <xdr:row>0</xdr:row>
      <xdr:rowOff>0</xdr:rowOff>
    </xdr:from>
    <xdr:to>
      <xdr:col>0</xdr:col>
      <xdr:colOff>1508896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8DB6A8E-FE91-48D1-BD13-0521B380B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130103</xdr:colOff>
      <xdr:row>0</xdr:row>
      <xdr:rowOff>0</xdr:rowOff>
    </xdr:from>
    <xdr:to>
      <xdr:col>7</xdr:col>
      <xdr:colOff>1563336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B8B9E7F-D670-4929-9868-31D3B57BE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9803" y="0"/>
          <a:ext cx="1433233" cy="10249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74543</xdr:colOff>
      <xdr:row>0</xdr:row>
      <xdr:rowOff>0</xdr:rowOff>
    </xdr:from>
    <xdr:to>
      <xdr:col>0</xdr:col>
      <xdr:colOff>1508896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6C78622-129E-494B-8951-C5BDFFCCB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130103</xdr:colOff>
      <xdr:row>0</xdr:row>
      <xdr:rowOff>0</xdr:rowOff>
    </xdr:from>
    <xdr:to>
      <xdr:col>7</xdr:col>
      <xdr:colOff>1563336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6999A46-0CA5-4D7C-86ED-9D4481668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9803" y="0"/>
          <a:ext cx="1433233" cy="102493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74543</xdr:colOff>
      <xdr:row>0</xdr:row>
      <xdr:rowOff>0</xdr:rowOff>
    </xdr:from>
    <xdr:to>
      <xdr:col>0</xdr:col>
      <xdr:colOff>1508896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3FFAD4A-5B6E-484A-A730-E5813D159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130103</xdr:colOff>
      <xdr:row>0</xdr:row>
      <xdr:rowOff>0</xdr:rowOff>
    </xdr:from>
    <xdr:to>
      <xdr:col>7</xdr:col>
      <xdr:colOff>1563336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71A462F-0FCB-48A9-8BEF-23FD7FF50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9803" y="0"/>
          <a:ext cx="1433233" cy="10249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74543</xdr:colOff>
      <xdr:row>0</xdr:row>
      <xdr:rowOff>0</xdr:rowOff>
    </xdr:from>
    <xdr:to>
      <xdr:col>0</xdr:col>
      <xdr:colOff>1508896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4B3FCCA-AF7E-4A7C-BDBB-C1F458A97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130103</xdr:colOff>
      <xdr:row>0</xdr:row>
      <xdr:rowOff>0</xdr:rowOff>
    </xdr:from>
    <xdr:to>
      <xdr:col>7</xdr:col>
      <xdr:colOff>1563336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70F4BCB-6DEF-4E90-A6EB-15A6061FC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9803" y="0"/>
          <a:ext cx="1433233" cy="102493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74543</xdr:colOff>
      <xdr:row>0</xdr:row>
      <xdr:rowOff>0</xdr:rowOff>
    </xdr:from>
    <xdr:to>
      <xdr:col>0</xdr:col>
      <xdr:colOff>1508896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1BA4240-ECD4-4A46-9485-BE823277A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130103</xdr:colOff>
      <xdr:row>0</xdr:row>
      <xdr:rowOff>0</xdr:rowOff>
    </xdr:from>
    <xdr:to>
      <xdr:col>7</xdr:col>
      <xdr:colOff>1563336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798BAB3-0891-4D94-813F-83939D4EA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9803" y="0"/>
          <a:ext cx="1433233" cy="102493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74543</xdr:colOff>
      <xdr:row>0</xdr:row>
      <xdr:rowOff>0</xdr:rowOff>
    </xdr:from>
    <xdr:to>
      <xdr:col>0</xdr:col>
      <xdr:colOff>1508896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E51D8BF-CB6D-4C4F-A93D-AE9965CBF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130103</xdr:colOff>
      <xdr:row>0</xdr:row>
      <xdr:rowOff>0</xdr:rowOff>
    </xdr:from>
    <xdr:to>
      <xdr:col>7</xdr:col>
      <xdr:colOff>1563336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571A698-18B6-4136-9586-52F2FE898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9803" y="0"/>
          <a:ext cx="1433233" cy="102493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74543</xdr:colOff>
      <xdr:row>0</xdr:row>
      <xdr:rowOff>0</xdr:rowOff>
    </xdr:from>
    <xdr:to>
      <xdr:col>0</xdr:col>
      <xdr:colOff>1508896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E1781F0-E589-4132-8C01-4B104EEBB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130103</xdr:colOff>
      <xdr:row>0</xdr:row>
      <xdr:rowOff>0</xdr:rowOff>
    </xdr:from>
    <xdr:to>
      <xdr:col>7</xdr:col>
      <xdr:colOff>1563336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3AA1C4A-1D1E-4824-8A80-E8FDE96BE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9803" y="0"/>
          <a:ext cx="1433233" cy="102493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74543</xdr:colOff>
      <xdr:row>0</xdr:row>
      <xdr:rowOff>0</xdr:rowOff>
    </xdr:from>
    <xdr:to>
      <xdr:col>0</xdr:col>
      <xdr:colOff>1508896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6E4A46F-C17B-4FB4-9E52-28CAF6E00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130103</xdr:colOff>
      <xdr:row>0</xdr:row>
      <xdr:rowOff>0</xdr:rowOff>
    </xdr:from>
    <xdr:to>
      <xdr:col>7</xdr:col>
      <xdr:colOff>1563336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2B1B56C-F6F7-4FDA-9E49-6ADEB8F28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9803" y="0"/>
          <a:ext cx="1433233" cy="102493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74543</xdr:colOff>
      <xdr:row>0</xdr:row>
      <xdr:rowOff>0</xdr:rowOff>
    </xdr:from>
    <xdr:to>
      <xdr:col>0</xdr:col>
      <xdr:colOff>1508896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55CA6CB-792B-4BB8-867C-145DB9517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130103</xdr:colOff>
      <xdr:row>0</xdr:row>
      <xdr:rowOff>0</xdr:rowOff>
    </xdr:from>
    <xdr:to>
      <xdr:col>7</xdr:col>
      <xdr:colOff>1563336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B6E6304-A166-4816-B4C9-ABA0D55A9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9803" y="0"/>
          <a:ext cx="1433233" cy="10249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74543</xdr:colOff>
      <xdr:row>0</xdr:row>
      <xdr:rowOff>0</xdr:rowOff>
    </xdr:from>
    <xdr:to>
      <xdr:col>0</xdr:col>
      <xdr:colOff>1508896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C4C51C1-2FED-45A4-9A52-D011C4019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130103</xdr:colOff>
      <xdr:row>0</xdr:row>
      <xdr:rowOff>0</xdr:rowOff>
    </xdr:from>
    <xdr:to>
      <xdr:col>7</xdr:col>
      <xdr:colOff>1563336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6B2C911-AFF4-4CAF-9D50-1079E919C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9803" y="0"/>
          <a:ext cx="1433233" cy="102493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74543</xdr:colOff>
      <xdr:row>0</xdr:row>
      <xdr:rowOff>0</xdr:rowOff>
    </xdr:from>
    <xdr:to>
      <xdr:col>0</xdr:col>
      <xdr:colOff>1508896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6B91B04-8D4D-4059-9CF8-A0C7EBF96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130103</xdr:colOff>
      <xdr:row>0</xdr:row>
      <xdr:rowOff>0</xdr:rowOff>
    </xdr:from>
    <xdr:to>
      <xdr:col>7</xdr:col>
      <xdr:colOff>1563336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9DE0E8E-1D84-45A6-8B06-1F92EF382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9803" y="0"/>
          <a:ext cx="1433233" cy="102493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74543</xdr:colOff>
      <xdr:row>0</xdr:row>
      <xdr:rowOff>0</xdr:rowOff>
    </xdr:from>
    <xdr:to>
      <xdr:col>0</xdr:col>
      <xdr:colOff>1508896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81E193A-6A8C-43E8-AF08-5D31FA3CE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130103</xdr:colOff>
      <xdr:row>0</xdr:row>
      <xdr:rowOff>0</xdr:rowOff>
    </xdr:from>
    <xdr:to>
      <xdr:col>7</xdr:col>
      <xdr:colOff>1563336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94CD7B8-9273-4F29-A0A2-B8C85DC80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9803" y="0"/>
          <a:ext cx="1433233" cy="102493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74543</xdr:colOff>
      <xdr:row>0</xdr:row>
      <xdr:rowOff>0</xdr:rowOff>
    </xdr:from>
    <xdr:to>
      <xdr:col>0</xdr:col>
      <xdr:colOff>1508896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A0394D1-CE65-4AEC-952B-75A5E580E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130103</xdr:colOff>
      <xdr:row>0</xdr:row>
      <xdr:rowOff>0</xdr:rowOff>
    </xdr:from>
    <xdr:to>
      <xdr:col>7</xdr:col>
      <xdr:colOff>1563336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F5E475D-2C53-4551-939A-6695B07BF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9803" y="0"/>
          <a:ext cx="1433233" cy="102493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74543</xdr:colOff>
      <xdr:row>0</xdr:row>
      <xdr:rowOff>0</xdr:rowOff>
    </xdr:from>
    <xdr:to>
      <xdr:col>0</xdr:col>
      <xdr:colOff>1508896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DB60E8C-0494-45C7-90C8-B225960B5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130103</xdr:colOff>
      <xdr:row>0</xdr:row>
      <xdr:rowOff>0</xdr:rowOff>
    </xdr:from>
    <xdr:to>
      <xdr:col>7</xdr:col>
      <xdr:colOff>1563336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A1BFF28-5467-45FD-BD12-EDD1F7FC4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9803" y="0"/>
          <a:ext cx="1433233" cy="102493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74543</xdr:colOff>
      <xdr:row>0</xdr:row>
      <xdr:rowOff>0</xdr:rowOff>
    </xdr:from>
    <xdr:to>
      <xdr:col>0</xdr:col>
      <xdr:colOff>1508896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038FBA8-CE97-4E65-8743-E8755A133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130103</xdr:colOff>
      <xdr:row>0</xdr:row>
      <xdr:rowOff>0</xdr:rowOff>
    </xdr:from>
    <xdr:to>
      <xdr:col>7</xdr:col>
      <xdr:colOff>1563336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2FECB95-F92F-4239-9128-7FD6ECEAE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9803" y="0"/>
          <a:ext cx="1433233" cy="102493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74543</xdr:colOff>
      <xdr:row>0</xdr:row>
      <xdr:rowOff>0</xdr:rowOff>
    </xdr:from>
    <xdr:to>
      <xdr:col>0</xdr:col>
      <xdr:colOff>1508896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0F60A2F-3CB5-40AB-A01A-A0562F9A46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130103</xdr:colOff>
      <xdr:row>0</xdr:row>
      <xdr:rowOff>0</xdr:rowOff>
    </xdr:from>
    <xdr:to>
      <xdr:col>7</xdr:col>
      <xdr:colOff>1563336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E403D7D-E49F-480E-9721-22522B2CB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9803" y="0"/>
          <a:ext cx="1433233" cy="102493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74543</xdr:colOff>
      <xdr:row>0</xdr:row>
      <xdr:rowOff>0</xdr:rowOff>
    </xdr:from>
    <xdr:to>
      <xdr:col>0</xdr:col>
      <xdr:colOff>1508896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E8C5BD0-FA4C-4EB3-BE76-E0349EB9E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130103</xdr:colOff>
      <xdr:row>0</xdr:row>
      <xdr:rowOff>0</xdr:rowOff>
    </xdr:from>
    <xdr:to>
      <xdr:col>7</xdr:col>
      <xdr:colOff>1563336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FF9E277-3BCF-4D4A-B739-EDCCD14F7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9803" y="0"/>
          <a:ext cx="1433233" cy="1024937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74543</xdr:colOff>
      <xdr:row>0</xdr:row>
      <xdr:rowOff>0</xdr:rowOff>
    </xdr:from>
    <xdr:to>
      <xdr:col>0</xdr:col>
      <xdr:colOff>1508896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21BD7B2-A6AB-4ACF-A3CC-94399F14C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130103</xdr:colOff>
      <xdr:row>0</xdr:row>
      <xdr:rowOff>0</xdr:rowOff>
    </xdr:from>
    <xdr:to>
      <xdr:col>7</xdr:col>
      <xdr:colOff>1563336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AAE0D75-C139-4275-AE58-7160C6DFD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9803" y="0"/>
          <a:ext cx="1433233" cy="1024937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74543</xdr:colOff>
      <xdr:row>0</xdr:row>
      <xdr:rowOff>0</xdr:rowOff>
    </xdr:from>
    <xdr:to>
      <xdr:col>0</xdr:col>
      <xdr:colOff>1508896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EEB6978-A721-43FE-9231-201736393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130103</xdr:colOff>
      <xdr:row>0</xdr:row>
      <xdr:rowOff>0</xdr:rowOff>
    </xdr:from>
    <xdr:to>
      <xdr:col>7</xdr:col>
      <xdr:colOff>1563336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185EC24-A13F-47DF-8FD0-7F980FE1E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9803" y="0"/>
          <a:ext cx="1433233" cy="1024937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74543</xdr:colOff>
      <xdr:row>0</xdr:row>
      <xdr:rowOff>0</xdr:rowOff>
    </xdr:from>
    <xdr:to>
      <xdr:col>0</xdr:col>
      <xdr:colOff>1508896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6237A3B-5C61-4195-B4C0-B6E712735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130103</xdr:colOff>
      <xdr:row>0</xdr:row>
      <xdr:rowOff>0</xdr:rowOff>
    </xdr:from>
    <xdr:to>
      <xdr:col>7</xdr:col>
      <xdr:colOff>1563336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D3AE884-A452-42E5-B56D-1B8CFE15E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9803" y="0"/>
          <a:ext cx="1433233" cy="1024937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74543</xdr:colOff>
      <xdr:row>0</xdr:row>
      <xdr:rowOff>0</xdr:rowOff>
    </xdr:from>
    <xdr:to>
      <xdr:col>0</xdr:col>
      <xdr:colOff>1508896</xdr:colOff>
      <xdr:row>0</xdr:row>
      <xdr:rowOff>1033008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C13C719-6429-4A12-8CC6-DF174352C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7</xdr:col>
      <xdr:colOff>130103</xdr:colOff>
      <xdr:row>0</xdr:row>
      <xdr:rowOff>0</xdr:rowOff>
    </xdr:from>
    <xdr:to>
      <xdr:col>7</xdr:col>
      <xdr:colOff>1563336</xdr:colOff>
      <xdr:row>0</xdr:row>
      <xdr:rowOff>1024937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44512C49-046E-44F7-A2DF-B32550C29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70194" y="0"/>
          <a:ext cx="1433233" cy="10249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DBCF5-DF9D-4F48-8A47-8774D59E4DA0}">
  <sheetPr>
    <pageSetUpPr fitToPage="1"/>
  </sheetPr>
  <dimension ref="A1:K69"/>
  <sheetViews>
    <sheetView showGridLines="0" zoomScale="70" zoomScaleNormal="70" workbookViewId="0">
      <pane ySplit="2" topLeftCell="A27" activePane="bottomLeft" state="frozen"/>
      <selection pane="bottomLeft" activeCell="D44" sqref="D44"/>
    </sheetView>
  </sheetViews>
  <sheetFormatPr defaultColWidth="9" defaultRowHeight="23.25" x14ac:dyDescent="0.35"/>
  <cols>
    <col min="1" max="1" width="41.28515625" style="29" bestFit="1" customWidth="1"/>
    <col min="2" max="2" width="37.85546875" style="7" bestFit="1" customWidth="1"/>
    <col min="3" max="3" width="16.28515625" style="6" bestFit="1" customWidth="1"/>
    <col min="4" max="4" width="20.28515625" style="5" bestFit="1" customWidth="1"/>
    <col min="5" max="5" width="23" style="5" bestFit="1" customWidth="1"/>
    <col min="6" max="6" width="24.5703125" style="3" bestFit="1" customWidth="1"/>
    <col min="7" max="7" width="0.28515625" style="1" customWidth="1"/>
    <col min="8" max="8" width="24.85546875" style="28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39" t="s">
        <v>4</v>
      </c>
      <c r="B1" s="40"/>
      <c r="C1" s="41"/>
      <c r="D1" s="42"/>
      <c r="E1" s="42"/>
      <c r="F1" s="43"/>
      <c r="G1" s="44"/>
      <c r="H1" s="51"/>
    </row>
    <row r="2" spans="1:10" s="2" customFormat="1" x14ac:dyDescent="0.35">
      <c r="A2" s="45" t="s">
        <v>0</v>
      </c>
      <c r="B2" s="45" t="s">
        <v>1</v>
      </c>
      <c r="C2" s="45" t="s">
        <v>2</v>
      </c>
      <c r="D2" s="46" t="s">
        <v>3</v>
      </c>
      <c r="E2" s="46" t="s">
        <v>239</v>
      </c>
      <c r="F2" s="45" t="s">
        <v>240</v>
      </c>
      <c r="G2" s="47"/>
      <c r="H2" s="48" t="s">
        <v>237</v>
      </c>
    </row>
    <row r="3" spans="1:10" x14ac:dyDescent="0.35">
      <c r="A3" s="53" t="s">
        <v>210</v>
      </c>
      <c r="B3" s="54" t="s">
        <v>169</v>
      </c>
      <c r="C3" s="54" t="s">
        <v>170</v>
      </c>
      <c r="D3" s="50">
        <v>0.22222222222222221</v>
      </c>
      <c r="E3" s="50">
        <v>0.2673611111111111</v>
      </c>
      <c r="F3" s="50">
        <v>0.3298611111111111</v>
      </c>
      <c r="G3" s="50"/>
      <c r="H3" s="50">
        <f t="shared" ref="H3:H34" si="0">MOD(F3-E3, 1)</f>
        <v>6.25E-2</v>
      </c>
    </row>
    <row r="4" spans="1:10" s="4" customFormat="1" x14ac:dyDescent="0.35">
      <c r="A4" s="53" t="s">
        <v>207</v>
      </c>
      <c r="B4" s="54" t="s">
        <v>118</v>
      </c>
      <c r="C4" s="54" t="s">
        <v>127</v>
      </c>
      <c r="D4" s="50">
        <v>0.21875</v>
      </c>
      <c r="E4" s="50">
        <v>0.24305555555555555</v>
      </c>
      <c r="F4" s="50">
        <v>0.30208333333333331</v>
      </c>
      <c r="G4" s="50"/>
      <c r="H4" s="50">
        <f t="shared" si="0"/>
        <v>5.9027777777777762E-2</v>
      </c>
    </row>
    <row r="5" spans="1:10" s="4" customFormat="1" x14ac:dyDescent="0.35">
      <c r="A5" s="53" t="s">
        <v>204</v>
      </c>
      <c r="B5" s="54" t="s">
        <v>119</v>
      </c>
      <c r="C5" s="54" t="s">
        <v>128</v>
      </c>
      <c r="D5" s="50">
        <v>0.1875</v>
      </c>
      <c r="E5" s="50">
        <v>0.2048611111111111</v>
      </c>
      <c r="F5" s="50">
        <v>0.2326388888888889</v>
      </c>
      <c r="G5" s="50"/>
      <c r="H5" s="50">
        <f t="shared" si="0"/>
        <v>2.777777777777779E-2</v>
      </c>
    </row>
    <row r="6" spans="1:10" x14ac:dyDescent="0.35">
      <c r="A6" s="53" t="s">
        <v>195</v>
      </c>
      <c r="B6" s="54" t="s">
        <v>117</v>
      </c>
      <c r="C6" s="54" t="s">
        <v>126</v>
      </c>
      <c r="D6" s="50">
        <v>0.25694444444444442</v>
      </c>
      <c r="E6" s="50">
        <v>0.28125</v>
      </c>
      <c r="F6" s="50">
        <v>0.3298611111111111</v>
      </c>
      <c r="G6" s="50"/>
      <c r="H6" s="50">
        <f t="shared" si="0"/>
        <v>4.8611111111111105E-2</v>
      </c>
    </row>
    <row r="7" spans="1:10" x14ac:dyDescent="0.35">
      <c r="A7" s="53" t="s">
        <v>177</v>
      </c>
      <c r="B7" s="54" t="s">
        <v>121</v>
      </c>
      <c r="C7" s="54" t="s">
        <v>130</v>
      </c>
      <c r="D7" s="50">
        <v>0.30902777777777779</v>
      </c>
      <c r="E7" s="50">
        <v>0.3576388888888889</v>
      </c>
      <c r="F7" s="50">
        <v>0.37152777777777779</v>
      </c>
      <c r="G7" s="50"/>
      <c r="H7" s="50">
        <f t="shared" si="0"/>
        <v>1.3888888888888895E-2</v>
      </c>
    </row>
    <row r="8" spans="1:10" x14ac:dyDescent="0.35">
      <c r="A8" s="53" t="s">
        <v>192</v>
      </c>
      <c r="B8" s="54" t="s">
        <v>122</v>
      </c>
      <c r="C8" s="54" t="s">
        <v>131</v>
      </c>
      <c r="D8" s="50">
        <v>0.21875</v>
      </c>
      <c r="E8" s="50">
        <v>0.25347222222222221</v>
      </c>
      <c r="F8" s="50">
        <v>0.31944444444444442</v>
      </c>
      <c r="G8" s="50"/>
      <c r="H8" s="50">
        <f t="shared" si="0"/>
        <v>6.597222222222221E-2</v>
      </c>
    </row>
    <row r="9" spans="1:10" s="4" customFormat="1" x14ac:dyDescent="0.35">
      <c r="A9" s="53" t="s">
        <v>180</v>
      </c>
      <c r="B9" s="54" t="s">
        <v>123</v>
      </c>
      <c r="C9" s="54" t="s">
        <v>133</v>
      </c>
      <c r="D9" s="50">
        <v>0.25347222222222221</v>
      </c>
      <c r="E9" s="50">
        <v>0.28472222222222221</v>
      </c>
      <c r="F9" s="50">
        <v>0.38194444444444442</v>
      </c>
      <c r="G9" s="50"/>
      <c r="H9" s="50">
        <f t="shared" si="0"/>
        <v>9.722222222222221E-2</v>
      </c>
      <c r="I9" s="8"/>
      <c r="J9" s="8"/>
    </row>
    <row r="10" spans="1:10" s="4" customFormat="1" x14ac:dyDescent="0.35">
      <c r="A10" s="53" t="s">
        <v>221</v>
      </c>
      <c r="B10" s="54" t="s">
        <v>152</v>
      </c>
      <c r="C10" s="54" t="s">
        <v>134</v>
      </c>
      <c r="D10" s="50">
        <v>0.14583333333333334</v>
      </c>
      <c r="E10" s="50">
        <v>0.18055555555555555</v>
      </c>
      <c r="F10" s="50">
        <v>0.2951388888888889</v>
      </c>
      <c r="G10" s="50"/>
      <c r="H10" s="50">
        <f t="shared" si="0"/>
        <v>0.11458333333333334</v>
      </c>
      <c r="I10" s="8"/>
      <c r="J10" s="8"/>
    </row>
    <row r="11" spans="1:10" x14ac:dyDescent="0.35">
      <c r="A11" s="53" t="s">
        <v>187</v>
      </c>
      <c r="B11" s="54" t="s">
        <v>125</v>
      </c>
      <c r="C11" s="54" t="s">
        <v>163</v>
      </c>
      <c r="D11" s="50">
        <v>0</v>
      </c>
      <c r="E11" s="50">
        <v>0.2673611111111111</v>
      </c>
      <c r="F11" s="50">
        <v>0.30555555555555558</v>
      </c>
      <c r="G11" s="50"/>
      <c r="H11" s="50">
        <f t="shared" si="0"/>
        <v>3.8194444444444475E-2</v>
      </c>
      <c r="I11" s="8"/>
      <c r="J11" s="8"/>
    </row>
    <row r="12" spans="1:10" x14ac:dyDescent="0.35">
      <c r="A12" s="53" t="s">
        <v>202</v>
      </c>
      <c r="B12" s="54" t="s">
        <v>166</v>
      </c>
      <c r="C12" s="54" t="s">
        <v>168</v>
      </c>
      <c r="D12" s="50">
        <v>0.64583333333333337</v>
      </c>
      <c r="E12" s="50">
        <v>0.6875</v>
      </c>
      <c r="F12" s="50">
        <v>0.72222222222222221</v>
      </c>
      <c r="G12" s="50"/>
      <c r="H12" s="50">
        <f t="shared" si="0"/>
        <v>3.472222222222221E-2</v>
      </c>
    </row>
    <row r="13" spans="1:10" x14ac:dyDescent="0.35">
      <c r="A13" s="53" t="s">
        <v>203</v>
      </c>
      <c r="B13" s="54" t="s">
        <v>166</v>
      </c>
      <c r="C13" s="54" t="s">
        <v>168</v>
      </c>
      <c r="D13" s="50">
        <v>0.64583333333333337</v>
      </c>
      <c r="E13" s="50">
        <v>0.73263888888888884</v>
      </c>
      <c r="F13" s="50">
        <v>0.74305555555555558</v>
      </c>
      <c r="G13" s="50"/>
      <c r="H13" s="50">
        <f t="shared" si="0"/>
        <v>1.0416666666666741E-2</v>
      </c>
    </row>
    <row r="14" spans="1:10" x14ac:dyDescent="0.35">
      <c r="A14" s="53" t="s">
        <v>181</v>
      </c>
      <c r="B14" s="54" t="s">
        <v>146</v>
      </c>
      <c r="C14" s="54" t="s">
        <v>140</v>
      </c>
      <c r="D14" s="50">
        <v>0.62847222222222221</v>
      </c>
      <c r="E14" s="50">
        <v>0.68055555555555558</v>
      </c>
      <c r="F14" s="50">
        <v>0.69791666666666663</v>
      </c>
      <c r="G14" s="50"/>
      <c r="H14" s="50">
        <f t="shared" si="0"/>
        <v>1.7361111111111049E-2</v>
      </c>
    </row>
    <row r="15" spans="1:10" x14ac:dyDescent="0.35">
      <c r="A15" s="53" t="s">
        <v>174</v>
      </c>
      <c r="B15" s="54" t="s">
        <v>238</v>
      </c>
      <c r="C15" s="54" t="s">
        <v>128</v>
      </c>
      <c r="D15" s="50">
        <v>0.6875</v>
      </c>
      <c r="E15" s="50">
        <v>0.72222222222222221</v>
      </c>
      <c r="F15" s="50">
        <v>0.74652777777777779</v>
      </c>
      <c r="G15" s="50"/>
      <c r="H15" s="50">
        <f t="shared" si="0"/>
        <v>2.430555555555558E-2</v>
      </c>
    </row>
    <row r="16" spans="1:10" x14ac:dyDescent="0.35">
      <c r="A16" s="53" t="s">
        <v>182</v>
      </c>
      <c r="B16" s="54" t="s">
        <v>149</v>
      </c>
      <c r="C16" s="54" t="s">
        <v>129</v>
      </c>
      <c r="D16" s="50">
        <v>0.63541666666666663</v>
      </c>
      <c r="E16" s="50">
        <v>0.68055555555555558</v>
      </c>
      <c r="F16" s="50">
        <v>0.71180555555555558</v>
      </c>
      <c r="G16" s="50"/>
      <c r="H16" s="50">
        <f t="shared" si="0"/>
        <v>3.125E-2</v>
      </c>
    </row>
    <row r="17" spans="1:11" x14ac:dyDescent="0.35">
      <c r="A17" s="53" t="s">
        <v>186</v>
      </c>
      <c r="B17" s="54" t="s">
        <v>235</v>
      </c>
      <c r="C17" s="54" t="s">
        <v>233</v>
      </c>
      <c r="D17" s="50">
        <v>0.65277777777777779</v>
      </c>
      <c r="E17" s="50">
        <v>0.6875</v>
      </c>
      <c r="F17" s="50">
        <v>0.73263888888888884</v>
      </c>
      <c r="G17" s="50"/>
      <c r="H17" s="50">
        <f t="shared" si="0"/>
        <v>4.513888888888884E-2</v>
      </c>
    </row>
    <row r="18" spans="1:11" x14ac:dyDescent="0.35">
      <c r="A18" s="53" t="s">
        <v>212</v>
      </c>
      <c r="B18" s="54" t="s">
        <v>156</v>
      </c>
      <c r="C18" s="54" t="s">
        <v>133</v>
      </c>
      <c r="D18" s="50" t="s">
        <v>244</v>
      </c>
      <c r="E18" s="50" t="s">
        <v>245</v>
      </c>
      <c r="F18" s="50" t="s">
        <v>246</v>
      </c>
      <c r="G18" s="50"/>
      <c r="H18" s="50">
        <v>0</v>
      </c>
    </row>
    <row r="19" spans="1:11" x14ac:dyDescent="0.35">
      <c r="A19" s="53" t="s">
        <v>214</v>
      </c>
      <c r="B19" s="54" t="s">
        <v>160</v>
      </c>
      <c r="C19" s="54" t="s">
        <v>159</v>
      </c>
      <c r="D19" s="50">
        <v>0.66319444444444442</v>
      </c>
      <c r="E19" s="50">
        <v>0.70486111111111116</v>
      </c>
      <c r="F19" s="50">
        <v>0.75694444444444442</v>
      </c>
      <c r="G19" s="50"/>
      <c r="H19" s="50">
        <f t="shared" si="0"/>
        <v>5.2083333333333259E-2</v>
      </c>
    </row>
    <row r="20" spans="1:11" x14ac:dyDescent="0.35">
      <c r="A20" s="53" t="s">
        <v>208</v>
      </c>
      <c r="B20" s="54" t="s">
        <v>165</v>
      </c>
      <c r="C20" s="54" t="s">
        <v>167</v>
      </c>
      <c r="D20" s="50" t="s">
        <v>247</v>
      </c>
      <c r="E20" s="50" t="s">
        <v>248</v>
      </c>
      <c r="F20" s="50"/>
      <c r="G20" s="50"/>
      <c r="H20" s="50">
        <v>0</v>
      </c>
    </row>
    <row r="21" spans="1:11" x14ac:dyDescent="0.35">
      <c r="A21" s="53" t="s">
        <v>209</v>
      </c>
      <c r="B21" s="54" t="s">
        <v>122</v>
      </c>
      <c r="C21" s="54" t="s">
        <v>131</v>
      </c>
      <c r="D21" s="50">
        <v>0.62847222222222221</v>
      </c>
      <c r="E21" s="50">
        <v>0.65972222222222221</v>
      </c>
      <c r="F21" s="50">
        <v>0.6875</v>
      </c>
      <c r="G21" s="50"/>
      <c r="H21" s="50">
        <f t="shared" si="0"/>
        <v>2.777777777777779E-2</v>
      </c>
      <c r="I21" s="6"/>
      <c r="J21" s="5"/>
      <c r="K21" s="5"/>
    </row>
    <row r="22" spans="1:11" x14ac:dyDescent="0.35">
      <c r="A22" s="53" t="s">
        <v>217</v>
      </c>
      <c r="B22" s="54" t="s">
        <v>231</v>
      </c>
      <c r="C22" s="54" t="s">
        <v>232</v>
      </c>
      <c r="D22" s="50" t="s">
        <v>247</v>
      </c>
      <c r="E22" s="50" t="s">
        <v>248</v>
      </c>
      <c r="F22" s="50"/>
      <c r="G22" s="50"/>
      <c r="H22" s="50">
        <v>0</v>
      </c>
      <c r="I22" s="6"/>
      <c r="J22" s="5"/>
      <c r="K22" s="5"/>
    </row>
    <row r="23" spans="1:11" x14ac:dyDescent="0.35">
      <c r="A23" s="53" t="s">
        <v>208</v>
      </c>
      <c r="B23" s="54" t="s">
        <v>231</v>
      </c>
      <c r="C23" s="54" t="s">
        <v>232</v>
      </c>
      <c r="D23" s="50" t="s">
        <v>247</v>
      </c>
      <c r="E23" s="50" t="s">
        <v>248</v>
      </c>
      <c r="F23" s="50"/>
      <c r="G23" s="50"/>
      <c r="H23" s="50">
        <v>0</v>
      </c>
      <c r="I23" s="6"/>
      <c r="J23" s="5"/>
      <c r="K23" s="5"/>
    </row>
    <row r="24" spans="1:11" x14ac:dyDescent="0.35">
      <c r="A24" s="53" t="s">
        <v>224</v>
      </c>
      <c r="B24" s="54" t="s">
        <v>234</v>
      </c>
      <c r="C24" s="54" t="s">
        <v>242</v>
      </c>
      <c r="D24" s="50">
        <v>0.66666666666666663</v>
      </c>
      <c r="E24" s="50">
        <v>0.70486111111111116</v>
      </c>
      <c r="F24" s="50">
        <v>0.72916666666666663</v>
      </c>
      <c r="G24" s="50"/>
      <c r="H24" s="50">
        <f t="shared" si="0"/>
        <v>2.4305555555555469E-2</v>
      </c>
      <c r="I24" s="6"/>
      <c r="J24" s="5"/>
      <c r="K24" s="5"/>
    </row>
    <row r="25" spans="1:11" x14ac:dyDescent="0.35">
      <c r="A25" s="53" t="s">
        <v>219</v>
      </c>
      <c r="B25" s="54" t="s">
        <v>151</v>
      </c>
      <c r="C25" s="54" t="s">
        <v>132</v>
      </c>
      <c r="D25" s="50">
        <v>0.69097222222222221</v>
      </c>
      <c r="E25" s="50">
        <v>0.71875</v>
      </c>
      <c r="F25" s="50">
        <v>0.77777777777777779</v>
      </c>
      <c r="G25" s="50"/>
      <c r="H25" s="50">
        <f t="shared" si="0"/>
        <v>5.902777777777779E-2</v>
      </c>
    </row>
    <row r="26" spans="1:11" x14ac:dyDescent="0.35">
      <c r="A26" s="53" t="s">
        <v>193</v>
      </c>
      <c r="B26" s="54" t="s">
        <v>162</v>
      </c>
      <c r="C26" s="54" t="s">
        <v>161</v>
      </c>
      <c r="D26" s="50">
        <v>0.64583333333333337</v>
      </c>
      <c r="E26" s="50">
        <v>0.6875</v>
      </c>
      <c r="F26" s="50">
        <v>0.76736111111111116</v>
      </c>
      <c r="G26" s="50"/>
      <c r="H26" s="50">
        <f t="shared" si="0"/>
        <v>7.986111111111116E-2</v>
      </c>
    </row>
    <row r="27" spans="1:11" x14ac:dyDescent="0.35">
      <c r="A27" s="53" t="s">
        <v>178</v>
      </c>
      <c r="B27" s="54" t="s">
        <v>157</v>
      </c>
      <c r="C27" s="54" t="s">
        <v>158</v>
      </c>
      <c r="D27" s="50">
        <v>0.68402777777777779</v>
      </c>
      <c r="E27" s="50">
        <v>0.70833333333333337</v>
      </c>
      <c r="F27" s="50">
        <v>0.75694444444444442</v>
      </c>
      <c r="G27" s="50"/>
      <c r="H27" s="50">
        <f t="shared" si="0"/>
        <v>4.8611111111111049E-2</v>
      </c>
    </row>
    <row r="28" spans="1:11" x14ac:dyDescent="0.35">
      <c r="A28" s="53" t="s">
        <v>194</v>
      </c>
      <c r="B28" s="54" t="s">
        <v>157</v>
      </c>
      <c r="C28" s="54" t="s">
        <v>158</v>
      </c>
      <c r="D28" s="50">
        <v>0.68402777777777779</v>
      </c>
      <c r="E28" s="50">
        <v>0.77777777777777779</v>
      </c>
      <c r="F28" s="50">
        <v>0.78819444444444442</v>
      </c>
      <c r="G28" s="50"/>
      <c r="H28" s="50">
        <f t="shared" si="0"/>
        <v>1.041666666666663E-2</v>
      </c>
    </row>
    <row r="29" spans="1:11" x14ac:dyDescent="0.35">
      <c r="A29" s="53" t="s">
        <v>199</v>
      </c>
      <c r="B29" s="54" t="s">
        <v>125</v>
      </c>
      <c r="C29" s="54" t="s">
        <v>163</v>
      </c>
      <c r="D29" s="50">
        <v>0.6875</v>
      </c>
      <c r="E29" s="50">
        <v>0.72222222222222221</v>
      </c>
      <c r="F29" s="50">
        <v>0.73958333333333337</v>
      </c>
      <c r="G29" s="50"/>
      <c r="H29" s="50">
        <f t="shared" si="0"/>
        <v>1.736111111111116E-2</v>
      </c>
    </row>
    <row r="30" spans="1:11" x14ac:dyDescent="0.35">
      <c r="A30" s="53" t="s">
        <v>196</v>
      </c>
      <c r="B30" s="54" t="s">
        <v>125</v>
      </c>
      <c r="C30" s="54" t="s">
        <v>163</v>
      </c>
      <c r="D30" s="50">
        <v>0.6875</v>
      </c>
      <c r="E30" s="50">
        <v>0.74652777777777779</v>
      </c>
      <c r="F30" s="50">
        <v>0.76041666666666663</v>
      </c>
      <c r="G30" s="50"/>
      <c r="H30" s="50">
        <f t="shared" si="0"/>
        <v>1.388888888888884E-2</v>
      </c>
    </row>
    <row r="31" spans="1:11" x14ac:dyDescent="0.35">
      <c r="A31" s="53" t="s">
        <v>205</v>
      </c>
      <c r="B31" s="54" t="s">
        <v>227</v>
      </c>
      <c r="C31" s="54" t="s">
        <v>226</v>
      </c>
      <c r="D31" s="50">
        <v>0.65625</v>
      </c>
      <c r="E31" s="50">
        <v>0.6875</v>
      </c>
      <c r="F31" s="50">
        <v>0.69444444444444442</v>
      </c>
      <c r="G31" s="50"/>
      <c r="H31" s="50">
        <f t="shared" si="0"/>
        <v>6.9444444444444198E-3</v>
      </c>
    </row>
    <row r="32" spans="1:11" x14ac:dyDescent="0.35">
      <c r="A32" s="53" t="s">
        <v>191</v>
      </c>
      <c r="B32" s="54" t="s">
        <v>150</v>
      </c>
      <c r="C32" s="54" t="s">
        <v>139</v>
      </c>
      <c r="D32" s="50">
        <v>0.67708333333333337</v>
      </c>
      <c r="E32" s="50">
        <v>0.71875</v>
      </c>
      <c r="F32" s="50">
        <v>0.73958333333333337</v>
      </c>
      <c r="G32" s="50"/>
      <c r="H32" s="50">
        <f t="shared" si="0"/>
        <v>2.083333333333337E-2</v>
      </c>
    </row>
    <row r="33" spans="1:8" x14ac:dyDescent="0.35">
      <c r="A33" s="53" t="s">
        <v>197</v>
      </c>
      <c r="B33" s="54" t="s">
        <v>155</v>
      </c>
      <c r="C33" s="54" t="s">
        <v>153</v>
      </c>
      <c r="D33" s="50">
        <v>0.62847222222222221</v>
      </c>
      <c r="E33" s="50">
        <v>0.66319444444444442</v>
      </c>
      <c r="F33" s="50">
        <v>0.70138888888888884</v>
      </c>
      <c r="G33" s="50"/>
      <c r="H33" s="50">
        <f t="shared" si="0"/>
        <v>3.819444444444442E-2</v>
      </c>
    </row>
    <row r="34" spans="1:8" x14ac:dyDescent="0.35">
      <c r="A34" s="53" t="s">
        <v>218</v>
      </c>
      <c r="B34" s="54" t="s">
        <v>155</v>
      </c>
      <c r="C34" s="54" t="s">
        <v>153</v>
      </c>
      <c r="D34" s="50">
        <v>0.62847222222222221</v>
      </c>
      <c r="E34" s="50">
        <v>0.70486111111111116</v>
      </c>
      <c r="F34" s="50">
        <v>0.71527777777777779</v>
      </c>
      <c r="G34" s="50"/>
      <c r="H34" s="50">
        <f t="shared" si="0"/>
        <v>1.041666666666663E-2</v>
      </c>
    </row>
    <row r="35" spans="1:8" x14ac:dyDescent="0.35">
      <c r="A35" s="53" t="s">
        <v>183</v>
      </c>
      <c r="B35" s="54" t="s">
        <v>230</v>
      </c>
      <c r="C35" s="54" t="s">
        <v>225</v>
      </c>
      <c r="D35" s="50" t="s">
        <v>247</v>
      </c>
      <c r="E35" s="50" t="s">
        <v>248</v>
      </c>
      <c r="F35" s="50"/>
      <c r="G35" s="50"/>
      <c r="H35" s="50">
        <v>0</v>
      </c>
    </row>
    <row r="36" spans="1:8" x14ac:dyDescent="0.35">
      <c r="A36" s="53" t="s">
        <v>223</v>
      </c>
      <c r="B36" s="54" t="s">
        <v>145</v>
      </c>
      <c r="C36" s="54" t="s">
        <v>137</v>
      </c>
      <c r="D36" s="50">
        <v>0.66666666666666663</v>
      </c>
      <c r="E36" s="50">
        <v>0.70138888888888884</v>
      </c>
      <c r="F36" s="50">
        <v>0.72222222222222221</v>
      </c>
      <c r="G36" s="50"/>
      <c r="H36" s="50">
        <f t="shared" ref="H36:H69" si="1">MOD(F36-E36, 1)</f>
        <v>2.083333333333337E-2</v>
      </c>
    </row>
    <row r="37" spans="1:8" x14ac:dyDescent="0.35">
      <c r="A37" s="53" t="s">
        <v>176</v>
      </c>
      <c r="B37" s="54" t="s">
        <v>148</v>
      </c>
      <c r="C37" s="54" t="s">
        <v>141</v>
      </c>
      <c r="D37" s="50">
        <v>0.68402777777777779</v>
      </c>
      <c r="E37" s="50">
        <v>0.73263888888888884</v>
      </c>
      <c r="F37" s="50">
        <v>0.74305555555555558</v>
      </c>
      <c r="G37" s="50"/>
      <c r="H37" s="50">
        <f t="shared" si="1"/>
        <v>1.0416666666666741E-2</v>
      </c>
    </row>
    <row r="38" spans="1:8" x14ac:dyDescent="0.35">
      <c r="A38" s="53" t="s">
        <v>200</v>
      </c>
      <c r="B38" s="54" t="s">
        <v>148</v>
      </c>
      <c r="C38" s="54" t="s">
        <v>141</v>
      </c>
      <c r="D38" s="50">
        <v>0.68402777777777779</v>
      </c>
      <c r="E38" s="50">
        <v>0.74652777777777779</v>
      </c>
      <c r="F38" s="50">
        <v>0.77083333333333337</v>
      </c>
      <c r="G38" s="50"/>
      <c r="H38" s="50">
        <f t="shared" si="1"/>
        <v>2.430555555555558E-2</v>
      </c>
    </row>
    <row r="39" spans="1:8" x14ac:dyDescent="0.35">
      <c r="A39" s="53" t="s">
        <v>206</v>
      </c>
      <c r="B39" s="54" t="s">
        <v>172</v>
      </c>
      <c r="C39" s="54" t="s">
        <v>171</v>
      </c>
      <c r="D39" s="50">
        <v>0.68055555555555558</v>
      </c>
      <c r="E39" s="50">
        <v>0.70486111111111116</v>
      </c>
      <c r="F39" s="50">
        <v>0.72916666666666663</v>
      </c>
      <c r="G39" s="50"/>
      <c r="H39" s="50">
        <f t="shared" si="1"/>
        <v>2.4305555555555469E-2</v>
      </c>
    </row>
    <row r="40" spans="1:8" x14ac:dyDescent="0.35">
      <c r="A40" s="53" t="s">
        <v>216</v>
      </c>
      <c r="B40" s="54" t="s">
        <v>117</v>
      </c>
      <c r="C40" s="54" t="s">
        <v>126</v>
      </c>
      <c r="D40" s="50">
        <v>0.66666666666666663</v>
      </c>
      <c r="E40" s="50">
        <v>0.71180555555555558</v>
      </c>
      <c r="F40" s="50">
        <v>0.74652777777777779</v>
      </c>
      <c r="G40" s="50"/>
      <c r="H40" s="50">
        <f t="shared" si="1"/>
        <v>3.472222222222221E-2</v>
      </c>
    </row>
    <row r="41" spans="1:8" x14ac:dyDescent="0.35">
      <c r="A41" s="53" t="s">
        <v>222</v>
      </c>
      <c r="B41" s="54" t="s">
        <v>124</v>
      </c>
      <c r="C41" s="54" t="s">
        <v>134</v>
      </c>
      <c r="D41" s="50">
        <v>0.62847222222222221</v>
      </c>
      <c r="E41" s="50">
        <v>0.64930555555555558</v>
      </c>
      <c r="F41" s="50">
        <v>0.66319444444444442</v>
      </c>
      <c r="G41" s="50"/>
      <c r="H41" s="50">
        <f t="shared" si="1"/>
        <v>1.388888888888884E-2</v>
      </c>
    </row>
    <row r="42" spans="1:8" x14ac:dyDescent="0.35">
      <c r="A42" s="53" t="s">
        <v>185</v>
      </c>
      <c r="B42" s="54" t="s">
        <v>169</v>
      </c>
      <c r="C42" s="54" t="s">
        <v>170</v>
      </c>
      <c r="D42" s="50">
        <v>0.68055555555555558</v>
      </c>
      <c r="E42" s="50">
        <v>0.69444444444444442</v>
      </c>
      <c r="F42" s="50">
        <v>0.70833333333333337</v>
      </c>
      <c r="G42" s="50"/>
      <c r="H42" s="50">
        <f t="shared" si="1"/>
        <v>1.3888888888888951E-2</v>
      </c>
    </row>
    <row r="43" spans="1:8" x14ac:dyDescent="0.35">
      <c r="A43" s="53" t="s">
        <v>179</v>
      </c>
      <c r="B43" s="54" t="s">
        <v>147</v>
      </c>
      <c r="C43" s="54" t="s">
        <v>130</v>
      </c>
      <c r="D43" s="50">
        <v>0.66319444444444442</v>
      </c>
      <c r="E43" s="50">
        <v>0.70138888888888884</v>
      </c>
      <c r="F43" s="50">
        <v>0.75694444444444442</v>
      </c>
      <c r="G43" s="50"/>
      <c r="H43" s="50">
        <f t="shared" si="1"/>
        <v>5.555555555555558E-2</v>
      </c>
    </row>
    <row r="44" spans="1:8" x14ac:dyDescent="0.35">
      <c r="A44" s="53" t="s">
        <v>220</v>
      </c>
      <c r="B44" s="54" t="s">
        <v>229</v>
      </c>
      <c r="C44" s="54" t="s">
        <v>243</v>
      </c>
      <c r="D44" s="50" t="s">
        <v>247</v>
      </c>
      <c r="E44" s="50" t="s">
        <v>248</v>
      </c>
      <c r="F44" s="50"/>
      <c r="G44" s="50"/>
      <c r="H44" s="50">
        <v>0</v>
      </c>
    </row>
    <row r="45" spans="1:8" x14ac:dyDescent="0.35">
      <c r="A45" s="53"/>
      <c r="B45" s="54"/>
      <c r="C45" s="54"/>
      <c r="D45" s="50"/>
      <c r="E45" s="50"/>
      <c r="F45" s="50"/>
      <c r="G45" s="50"/>
      <c r="H45" s="50">
        <f t="shared" si="1"/>
        <v>0</v>
      </c>
    </row>
    <row r="46" spans="1:8" x14ac:dyDescent="0.35">
      <c r="A46" s="53"/>
      <c r="B46" s="54"/>
      <c r="C46" s="54"/>
      <c r="D46" s="50"/>
      <c r="E46" s="50"/>
      <c r="F46" s="50"/>
      <c r="G46" s="50"/>
      <c r="H46" s="50">
        <f t="shared" si="1"/>
        <v>0</v>
      </c>
    </row>
    <row r="47" spans="1:8" x14ac:dyDescent="0.35">
      <c r="A47" s="53"/>
      <c r="B47" s="54"/>
      <c r="C47" s="54"/>
      <c r="D47" s="50"/>
      <c r="E47" s="50"/>
      <c r="F47" s="50"/>
      <c r="G47" s="50"/>
      <c r="H47" s="50">
        <f t="shared" si="1"/>
        <v>0</v>
      </c>
    </row>
    <row r="48" spans="1:8" x14ac:dyDescent="0.35">
      <c r="A48" s="53"/>
      <c r="B48" s="54"/>
      <c r="C48" s="54"/>
      <c r="D48" s="50"/>
      <c r="E48" s="50"/>
      <c r="F48" s="50"/>
      <c r="G48" s="50"/>
      <c r="H48" s="50">
        <f t="shared" si="1"/>
        <v>0</v>
      </c>
    </row>
    <row r="49" spans="1:8" x14ac:dyDescent="0.35">
      <c r="A49" s="53"/>
      <c r="B49" s="54"/>
      <c r="C49" s="54"/>
      <c r="D49" s="50"/>
      <c r="E49" s="50"/>
      <c r="F49" s="50"/>
      <c r="G49" s="50"/>
      <c r="H49" s="50">
        <f t="shared" si="1"/>
        <v>0</v>
      </c>
    </row>
    <row r="50" spans="1:8" x14ac:dyDescent="0.35">
      <c r="A50" s="53"/>
      <c r="B50" s="54"/>
      <c r="C50" s="54"/>
      <c r="D50" s="50"/>
      <c r="E50" s="50"/>
      <c r="F50" s="50"/>
      <c r="G50" s="50"/>
      <c r="H50" s="50">
        <f t="shared" si="1"/>
        <v>0</v>
      </c>
    </row>
    <row r="51" spans="1:8" x14ac:dyDescent="0.35">
      <c r="A51" s="53"/>
      <c r="B51" s="54"/>
      <c r="C51" s="54"/>
      <c r="D51" s="50"/>
      <c r="E51" s="50"/>
      <c r="F51" s="50"/>
      <c r="G51" s="50"/>
      <c r="H51" s="50">
        <f t="shared" si="1"/>
        <v>0</v>
      </c>
    </row>
    <row r="52" spans="1:8" x14ac:dyDescent="0.35">
      <c r="A52" s="53"/>
      <c r="B52" s="54"/>
      <c r="C52" s="54"/>
      <c r="D52" s="50"/>
      <c r="E52" s="50"/>
      <c r="F52" s="50"/>
      <c r="G52" s="50"/>
      <c r="H52" s="50">
        <f t="shared" si="1"/>
        <v>0</v>
      </c>
    </row>
    <row r="53" spans="1:8" x14ac:dyDescent="0.35">
      <c r="A53" s="53"/>
      <c r="B53" s="54"/>
      <c r="C53" s="54"/>
      <c r="D53" s="50"/>
      <c r="E53" s="50"/>
      <c r="F53" s="50"/>
      <c r="G53" s="50"/>
      <c r="H53" s="50">
        <f t="shared" si="1"/>
        <v>0</v>
      </c>
    </row>
    <row r="54" spans="1:8" x14ac:dyDescent="0.35">
      <c r="A54" s="53"/>
      <c r="B54" s="54"/>
      <c r="C54" s="54"/>
      <c r="D54" s="50"/>
      <c r="E54" s="50"/>
      <c r="F54" s="50"/>
      <c r="G54" s="50"/>
      <c r="H54" s="50">
        <f t="shared" si="1"/>
        <v>0</v>
      </c>
    </row>
    <row r="55" spans="1:8" x14ac:dyDescent="0.35">
      <c r="A55" s="53"/>
      <c r="B55" s="54"/>
      <c r="C55" s="54"/>
      <c r="D55" s="50"/>
      <c r="E55" s="50"/>
      <c r="F55" s="50"/>
      <c r="G55" s="50"/>
      <c r="H55" s="50">
        <f t="shared" si="1"/>
        <v>0</v>
      </c>
    </row>
    <row r="56" spans="1:8" x14ac:dyDescent="0.35">
      <c r="A56" s="53"/>
      <c r="B56" s="54"/>
      <c r="C56" s="54"/>
      <c r="D56" s="50"/>
      <c r="E56" s="50"/>
      <c r="F56" s="50"/>
      <c r="G56" s="50"/>
      <c r="H56" s="50">
        <f t="shared" si="1"/>
        <v>0</v>
      </c>
    </row>
    <row r="57" spans="1:8" x14ac:dyDescent="0.35">
      <c r="A57" s="53"/>
      <c r="B57" s="54"/>
      <c r="C57" s="54"/>
      <c r="D57" s="50"/>
      <c r="E57" s="50"/>
      <c r="F57" s="50"/>
      <c r="G57" s="50"/>
      <c r="H57" s="50">
        <f t="shared" si="1"/>
        <v>0</v>
      </c>
    </row>
    <row r="58" spans="1:8" x14ac:dyDescent="0.35">
      <c r="A58" s="53"/>
      <c r="B58" s="54"/>
      <c r="C58" s="54"/>
      <c r="D58" s="50"/>
      <c r="E58" s="50"/>
      <c r="F58" s="50"/>
      <c r="G58" s="50"/>
      <c r="H58" s="50">
        <f t="shared" si="1"/>
        <v>0</v>
      </c>
    </row>
    <row r="59" spans="1:8" x14ac:dyDescent="0.35">
      <c r="A59" s="53"/>
      <c r="B59" s="54"/>
      <c r="C59" s="54"/>
      <c r="D59" s="50"/>
      <c r="E59" s="50"/>
      <c r="F59" s="50"/>
      <c r="G59" s="50"/>
      <c r="H59" s="50">
        <f t="shared" si="1"/>
        <v>0</v>
      </c>
    </row>
    <row r="60" spans="1:8" x14ac:dyDescent="0.35">
      <c r="A60" s="53"/>
      <c r="B60" s="54"/>
      <c r="C60" s="54"/>
      <c r="D60" s="50"/>
      <c r="E60" s="50"/>
      <c r="F60" s="50"/>
      <c r="G60" s="50"/>
      <c r="H60" s="50">
        <f t="shared" si="1"/>
        <v>0</v>
      </c>
    </row>
    <row r="61" spans="1:8" x14ac:dyDescent="0.35">
      <c r="A61" s="53"/>
      <c r="B61" s="54"/>
      <c r="C61" s="54"/>
      <c r="D61" s="50"/>
      <c r="E61" s="50"/>
      <c r="F61" s="50"/>
      <c r="G61" s="50"/>
      <c r="H61" s="50">
        <f t="shared" si="1"/>
        <v>0</v>
      </c>
    </row>
    <row r="62" spans="1:8" x14ac:dyDescent="0.35">
      <c r="A62" s="53"/>
      <c r="B62" s="54"/>
      <c r="C62" s="54"/>
      <c r="D62" s="50"/>
      <c r="E62" s="50"/>
      <c r="F62" s="50"/>
      <c r="G62" s="50"/>
      <c r="H62" s="50">
        <f t="shared" si="1"/>
        <v>0</v>
      </c>
    </row>
    <row r="63" spans="1:8" x14ac:dyDescent="0.35">
      <c r="A63" s="53"/>
      <c r="B63" s="54"/>
      <c r="C63" s="54"/>
      <c r="D63" s="50"/>
      <c r="E63" s="50"/>
      <c r="F63" s="50"/>
      <c r="G63" s="50"/>
      <c r="H63" s="50">
        <f t="shared" si="1"/>
        <v>0</v>
      </c>
    </row>
    <row r="64" spans="1:8" x14ac:dyDescent="0.35">
      <c r="A64" s="53"/>
      <c r="B64" s="54"/>
      <c r="C64" s="54"/>
      <c r="D64" s="50"/>
      <c r="E64" s="50"/>
      <c r="F64" s="50"/>
      <c r="G64" s="50"/>
      <c r="H64" s="50">
        <f t="shared" si="1"/>
        <v>0</v>
      </c>
    </row>
    <row r="65" spans="1:8" x14ac:dyDescent="0.35">
      <c r="A65" s="53"/>
      <c r="B65" s="54"/>
      <c r="C65" s="54"/>
      <c r="D65" s="50"/>
      <c r="E65" s="50"/>
      <c r="F65" s="50"/>
      <c r="G65" s="50"/>
      <c r="H65" s="50">
        <f t="shared" si="1"/>
        <v>0</v>
      </c>
    </row>
    <row r="66" spans="1:8" x14ac:dyDescent="0.35">
      <c r="A66" s="53"/>
      <c r="B66" s="54"/>
      <c r="C66" s="54"/>
      <c r="D66" s="50"/>
      <c r="E66" s="50"/>
      <c r="F66" s="50"/>
      <c r="G66" s="50"/>
      <c r="H66" s="50">
        <f t="shared" si="1"/>
        <v>0</v>
      </c>
    </row>
    <row r="67" spans="1:8" x14ac:dyDescent="0.35">
      <c r="A67" s="53"/>
      <c r="B67" s="54"/>
      <c r="C67" s="54"/>
      <c r="D67" s="50"/>
      <c r="E67" s="50"/>
      <c r="F67" s="50"/>
      <c r="G67" s="50"/>
      <c r="H67" s="50">
        <f t="shared" si="1"/>
        <v>0</v>
      </c>
    </row>
    <row r="68" spans="1:8" x14ac:dyDescent="0.35">
      <c r="A68" s="53"/>
      <c r="B68" s="54"/>
      <c r="C68" s="54"/>
      <c r="D68" s="50"/>
      <c r="E68" s="50"/>
      <c r="F68" s="50"/>
      <c r="G68" s="50"/>
      <c r="H68" s="50">
        <f t="shared" si="1"/>
        <v>0</v>
      </c>
    </row>
    <row r="69" spans="1:8" x14ac:dyDescent="0.35">
      <c r="A69" s="53"/>
      <c r="B69" s="54"/>
      <c r="C69" s="54"/>
      <c r="D69" s="50"/>
      <c r="E69" s="50"/>
      <c r="F69" s="50"/>
      <c r="G69" s="50"/>
      <c r="H69" s="50">
        <f t="shared" si="1"/>
        <v>0</v>
      </c>
    </row>
  </sheetData>
  <autoFilter ref="A2:F38" xr:uid="{00000000-0001-0000-0000-000000000000}">
    <sortState xmlns:xlrd2="http://schemas.microsoft.com/office/spreadsheetml/2017/richdata2" ref="A3:F18">
      <sortCondition ref="A2"/>
    </sortState>
  </autoFilter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38DBE-32A9-47B4-9149-1D0FB3E1B27C}">
  <sheetPr>
    <pageSetUpPr fitToPage="1"/>
  </sheetPr>
  <dimension ref="A1:K69"/>
  <sheetViews>
    <sheetView showGridLines="0" zoomScale="70" zoomScaleNormal="70" workbookViewId="0">
      <pane ySplit="2" topLeftCell="A39" activePane="bottomLeft" state="frozen"/>
      <selection pane="bottomLeft" activeCell="D51" sqref="D51:F51"/>
    </sheetView>
  </sheetViews>
  <sheetFormatPr defaultColWidth="9" defaultRowHeight="23.25" x14ac:dyDescent="0.35"/>
  <cols>
    <col min="1" max="1" width="38.140625" style="29" bestFit="1" customWidth="1"/>
    <col min="2" max="2" width="38.42578125" style="7" bestFit="1" customWidth="1"/>
    <col min="3" max="3" width="16.28515625" style="6" bestFit="1" customWidth="1"/>
    <col min="4" max="4" width="20.28515625" style="5" bestFit="1" customWidth="1"/>
    <col min="5" max="5" width="23" style="5" bestFit="1" customWidth="1"/>
    <col min="6" max="6" width="23.5703125" style="3" bestFit="1" customWidth="1"/>
    <col min="7" max="7" width="0.28515625" style="1" customWidth="1"/>
    <col min="8" max="8" width="24.28515625" style="28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39" t="s">
        <v>4</v>
      </c>
      <c r="B1" s="40"/>
      <c r="C1" s="41"/>
      <c r="D1" s="42"/>
      <c r="E1" s="42"/>
      <c r="F1" s="43"/>
      <c r="G1" s="44"/>
      <c r="H1" s="51"/>
    </row>
    <row r="2" spans="1:10" s="2" customFormat="1" x14ac:dyDescent="0.35">
      <c r="A2" s="45" t="s">
        <v>0</v>
      </c>
      <c r="B2" s="45" t="s">
        <v>1</v>
      </c>
      <c r="C2" s="45" t="s">
        <v>2</v>
      </c>
      <c r="D2" s="46" t="s">
        <v>3</v>
      </c>
      <c r="E2" s="46" t="s">
        <v>236</v>
      </c>
      <c r="F2" s="45" t="s">
        <v>5</v>
      </c>
      <c r="G2" s="47"/>
      <c r="H2" s="48" t="s">
        <v>274</v>
      </c>
    </row>
    <row r="3" spans="1:10" x14ac:dyDescent="0.35">
      <c r="A3" s="53" t="s">
        <v>184</v>
      </c>
      <c r="B3" s="54" t="s">
        <v>164</v>
      </c>
      <c r="C3" s="54" t="s">
        <v>154</v>
      </c>
      <c r="D3" s="50" t="s">
        <v>275</v>
      </c>
      <c r="E3" s="50" t="s">
        <v>276</v>
      </c>
      <c r="F3" s="50" t="s">
        <v>277</v>
      </c>
      <c r="G3" s="50"/>
      <c r="H3" s="50">
        <v>0</v>
      </c>
    </row>
    <row r="4" spans="1:10" s="4" customFormat="1" x14ac:dyDescent="0.35">
      <c r="A4" s="53" t="s">
        <v>184</v>
      </c>
      <c r="B4" s="54" t="s">
        <v>144</v>
      </c>
      <c r="C4" s="54" t="s">
        <v>138</v>
      </c>
      <c r="D4" s="50" t="s">
        <v>275</v>
      </c>
      <c r="E4" s="50" t="s">
        <v>276</v>
      </c>
      <c r="F4" s="50" t="s">
        <v>277</v>
      </c>
      <c r="G4" s="50"/>
      <c r="H4" s="50">
        <v>0</v>
      </c>
    </row>
    <row r="5" spans="1:10" s="4" customFormat="1" x14ac:dyDescent="0.35">
      <c r="A5" s="53" t="s">
        <v>184</v>
      </c>
      <c r="B5" s="54" t="s">
        <v>241</v>
      </c>
      <c r="C5" s="54" t="s">
        <v>173</v>
      </c>
      <c r="D5" s="50">
        <v>0.21875</v>
      </c>
      <c r="E5" s="50">
        <v>0.25</v>
      </c>
      <c r="F5" s="50">
        <v>0.3298611111111111</v>
      </c>
      <c r="G5" s="50"/>
      <c r="H5" s="50">
        <f t="shared" ref="H5:H31" si="0">MOD(F5-E5, 1)</f>
        <v>7.9861111111111105E-2</v>
      </c>
    </row>
    <row r="6" spans="1:10" x14ac:dyDescent="0.35">
      <c r="A6" s="53" t="s">
        <v>188</v>
      </c>
      <c r="B6" s="54" t="s">
        <v>120</v>
      </c>
      <c r="C6" s="54" t="s">
        <v>129</v>
      </c>
      <c r="D6" s="50">
        <v>0.1701388888888889</v>
      </c>
      <c r="E6" s="50">
        <v>0.2013888888888889</v>
      </c>
      <c r="F6" s="50">
        <v>0.31597222222222221</v>
      </c>
      <c r="G6" s="50"/>
      <c r="H6" s="50">
        <f t="shared" si="0"/>
        <v>0.11458333333333331</v>
      </c>
    </row>
    <row r="7" spans="1:10" x14ac:dyDescent="0.35">
      <c r="A7" s="53" t="s">
        <v>188</v>
      </c>
      <c r="B7" s="54" t="s">
        <v>117</v>
      </c>
      <c r="C7" s="54" t="s">
        <v>126</v>
      </c>
      <c r="D7" s="50">
        <v>0.21527777777777779</v>
      </c>
      <c r="E7" s="50">
        <v>0.24652777777777779</v>
      </c>
      <c r="F7" s="50">
        <v>0.34027777777777779</v>
      </c>
      <c r="G7" s="50"/>
      <c r="H7" s="50">
        <f t="shared" si="0"/>
        <v>9.375E-2</v>
      </c>
    </row>
    <row r="8" spans="1:10" x14ac:dyDescent="0.35">
      <c r="A8" s="53" t="s">
        <v>210</v>
      </c>
      <c r="B8" s="54" t="s">
        <v>151</v>
      </c>
      <c r="C8" s="54" t="s">
        <v>132</v>
      </c>
      <c r="D8" s="50">
        <v>0.22222222222222221</v>
      </c>
      <c r="E8" s="50">
        <v>0.25</v>
      </c>
      <c r="F8" s="50">
        <v>0.2951388888888889</v>
      </c>
      <c r="G8" s="50"/>
      <c r="H8" s="50">
        <f t="shared" si="0"/>
        <v>4.5138888888888895E-2</v>
      </c>
    </row>
    <row r="9" spans="1:10" s="4" customFormat="1" x14ac:dyDescent="0.35">
      <c r="A9" s="53" t="s">
        <v>207</v>
      </c>
      <c r="B9" s="54" t="s">
        <v>151</v>
      </c>
      <c r="C9" s="54" t="s">
        <v>132</v>
      </c>
      <c r="D9" s="50">
        <v>0.22222222222222221</v>
      </c>
      <c r="E9" s="50">
        <v>0.30208333333333331</v>
      </c>
      <c r="F9" s="50">
        <v>0.33333333333333331</v>
      </c>
      <c r="G9" s="50"/>
      <c r="H9" s="50">
        <f t="shared" si="0"/>
        <v>3.125E-2</v>
      </c>
      <c r="I9" s="8"/>
      <c r="J9" s="8"/>
    </row>
    <row r="10" spans="1:10" s="4" customFormat="1" x14ac:dyDescent="0.35">
      <c r="A10" s="53" t="s">
        <v>204</v>
      </c>
      <c r="B10" s="54" t="s">
        <v>119</v>
      </c>
      <c r="C10" s="54" t="s">
        <v>128</v>
      </c>
      <c r="D10" s="50">
        <v>0.19097222222222221</v>
      </c>
      <c r="E10" s="50">
        <v>0.20833333333333334</v>
      </c>
      <c r="F10" s="50">
        <v>0.22916666666666666</v>
      </c>
      <c r="G10" s="50"/>
      <c r="H10" s="50">
        <f t="shared" si="0"/>
        <v>2.0833333333333315E-2</v>
      </c>
      <c r="I10" s="8"/>
      <c r="J10" s="8"/>
    </row>
    <row r="11" spans="1:10" x14ac:dyDescent="0.35">
      <c r="A11" s="53" t="s">
        <v>195</v>
      </c>
      <c r="B11" s="54" t="s">
        <v>148</v>
      </c>
      <c r="C11" s="54" t="s">
        <v>141</v>
      </c>
      <c r="D11" s="50">
        <v>0.21527777777777779</v>
      </c>
      <c r="E11" s="50">
        <v>0.23958333333333334</v>
      </c>
      <c r="F11" s="50">
        <v>0.34375</v>
      </c>
      <c r="G11" s="50"/>
      <c r="H11" s="50">
        <f t="shared" si="0"/>
        <v>0.10416666666666666</v>
      </c>
      <c r="I11" s="8"/>
      <c r="J11" s="8"/>
    </row>
    <row r="12" spans="1:10" x14ac:dyDescent="0.35">
      <c r="A12" s="53" t="s">
        <v>177</v>
      </c>
      <c r="B12" s="54" t="s">
        <v>121</v>
      </c>
      <c r="C12" s="54" t="s">
        <v>130</v>
      </c>
      <c r="D12" s="50">
        <v>0.2048611111111111</v>
      </c>
      <c r="E12" s="50">
        <v>0.22569444444444445</v>
      </c>
      <c r="F12" s="50">
        <v>0.35069444444444442</v>
      </c>
      <c r="G12" s="50"/>
      <c r="H12" s="50">
        <f t="shared" si="0"/>
        <v>0.12499999999999997</v>
      </c>
    </row>
    <row r="13" spans="1:10" x14ac:dyDescent="0.35">
      <c r="A13" s="53" t="s">
        <v>192</v>
      </c>
      <c r="B13" s="54" t="s">
        <v>122</v>
      </c>
      <c r="C13" s="54" t="s">
        <v>131</v>
      </c>
      <c r="D13" s="50">
        <v>0.1875</v>
      </c>
      <c r="E13" s="50">
        <v>0.21875</v>
      </c>
      <c r="F13" s="50">
        <v>0.28125</v>
      </c>
      <c r="G13" s="50"/>
      <c r="H13" s="50">
        <f t="shared" si="0"/>
        <v>6.25E-2</v>
      </c>
    </row>
    <row r="14" spans="1:10" x14ac:dyDescent="0.35">
      <c r="A14" s="53" t="s">
        <v>180</v>
      </c>
      <c r="B14" s="54" t="s">
        <v>123</v>
      </c>
      <c r="C14" s="54" t="s">
        <v>133</v>
      </c>
      <c r="D14" s="50">
        <v>0.24652777777777779</v>
      </c>
      <c r="E14" s="50">
        <v>0.34722222222222221</v>
      </c>
      <c r="F14" s="50">
        <v>0.37847222222222221</v>
      </c>
      <c r="G14" s="50"/>
      <c r="H14" s="50">
        <f t="shared" si="0"/>
        <v>3.125E-2</v>
      </c>
    </row>
    <row r="15" spans="1:10" x14ac:dyDescent="0.35">
      <c r="A15" s="53" t="s">
        <v>180</v>
      </c>
      <c r="B15" s="54" t="s">
        <v>228</v>
      </c>
      <c r="C15" s="54" t="s">
        <v>127</v>
      </c>
      <c r="D15" s="50">
        <v>0.21875</v>
      </c>
      <c r="E15" s="50">
        <v>0.25347222222222221</v>
      </c>
      <c r="F15" s="50">
        <v>0.34375</v>
      </c>
      <c r="G15" s="50"/>
      <c r="H15" s="50">
        <f t="shared" si="0"/>
        <v>9.027777777777779E-2</v>
      </c>
    </row>
    <row r="16" spans="1:10" x14ac:dyDescent="0.35">
      <c r="A16" s="53" t="s">
        <v>221</v>
      </c>
      <c r="B16" s="54" t="s">
        <v>124</v>
      </c>
      <c r="C16" s="54" t="s">
        <v>134</v>
      </c>
      <c r="D16" s="50">
        <v>0.14930555555555555</v>
      </c>
      <c r="E16" s="50">
        <v>0.17708333333333334</v>
      </c>
      <c r="F16" s="50">
        <v>0.3125</v>
      </c>
      <c r="G16" s="50"/>
      <c r="H16" s="50">
        <f t="shared" si="0"/>
        <v>0.13541666666666666</v>
      </c>
    </row>
    <row r="17" spans="1:11" x14ac:dyDescent="0.35">
      <c r="A17" s="53" t="s">
        <v>187</v>
      </c>
      <c r="B17" s="54" t="s">
        <v>125</v>
      </c>
      <c r="C17" s="54" t="s">
        <v>163</v>
      </c>
      <c r="D17" s="50">
        <v>0</v>
      </c>
      <c r="E17" s="50">
        <v>0.26041666666666669</v>
      </c>
      <c r="F17" s="50">
        <v>0.30208333333333331</v>
      </c>
      <c r="G17" s="50"/>
      <c r="H17" s="50">
        <f t="shared" si="0"/>
        <v>4.166666666666663E-2</v>
      </c>
    </row>
    <row r="18" spans="1:11" x14ac:dyDescent="0.35">
      <c r="A18" s="53" t="s">
        <v>202</v>
      </c>
      <c r="B18" s="54" t="s">
        <v>251</v>
      </c>
      <c r="C18" s="54" t="s">
        <v>249</v>
      </c>
      <c r="D18" s="50">
        <v>0.4861111111111111</v>
      </c>
      <c r="E18" s="50">
        <v>0.53819444444444442</v>
      </c>
      <c r="F18" s="50">
        <v>0.55902777777777779</v>
      </c>
      <c r="G18" s="50"/>
      <c r="H18" s="50">
        <f t="shared" si="0"/>
        <v>2.083333333333337E-2</v>
      </c>
    </row>
    <row r="19" spans="1:11" x14ac:dyDescent="0.35">
      <c r="A19" s="53" t="s">
        <v>203</v>
      </c>
      <c r="B19" s="54" t="s">
        <v>122</v>
      </c>
      <c r="C19" s="54" t="s">
        <v>131</v>
      </c>
      <c r="D19" s="50">
        <v>0.66666666666666663</v>
      </c>
      <c r="E19" s="50">
        <v>0.69444444444444442</v>
      </c>
      <c r="F19" s="50">
        <v>0.71180555555555558</v>
      </c>
      <c r="G19" s="50"/>
      <c r="H19" s="50">
        <f t="shared" si="0"/>
        <v>1.736111111111116E-2</v>
      </c>
    </row>
    <row r="20" spans="1:11" x14ac:dyDescent="0.35">
      <c r="A20" s="53" t="s">
        <v>184</v>
      </c>
      <c r="B20" s="54" t="s">
        <v>164</v>
      </c>
      <c r="C20" s="54" t="s">
        <v>154</v>
      </c>
      <c r="D20" s="50" t="s">
        <v>275</v>
      </c>
      <c r="E20" s="50" t="s">
        <v>276</v>
      </c>
      <c r="F20" s="50" t="s">
        <v>277</v>
      </c>
      <c r="G20" s="50"/>
      <c r="H20" s="50">
        <v>0</v>
      </c>
    </row>
    <row r="21" spans="1:11" x14ac:dyDescent="0.35">
      <c r="A21" s="53" t="s">
        <v>184</v>
      </c>
      <c r="B21" s="54" t="s">
        <v>252</v>
      </c>
      <c r="C21" s="54" t="s">
        <v>250</v>
      </c>
      <c r="D21" s="50">
        <v>0.4861111111111111</v>
      </c>
      <c r="E21" s="50">
        <v>0.54513888888888884</v>
      </c>
      <c r="F21" s="50">
        <v>0.61458333333333337</v>
      </c>
      <c r="G21" s="50"/>
      <c r="H21" s="50">
        <f t="shared" si="0"/>
        <v>6.9444444444444531E-2</v>
      </c>
      <c r="I21" s="6"/>
      <c r="J21" s="5"/>
      <c r="K21" s="5"/>
    </row>
    <row r="22" spans="1:11" x14ac:dyDescent="0.35">
      <c r="A22" s="53" t="s">
        <v>181</v>
      </c>
      <c r="B22" s="54" t="s">
        <v>125</v>
      </c>
      <c r="C22" s="54" t="s">
        <v>258</v>
      </c>
      <c r="D22" s="50" t="s">
        <v>247</v>
      </c>
      <c r="E22" s="50" t="s">
        <v>248</v>
      </c>
      <c r="F22" s="50"/>
      <c r="G22" s="50"/>
      <c r="H22" s="50">
        <v>0</v>
      </c>
      <c r="I22" s="6"/>
      <c r="J22" s="5"/>
      <c r="K22" s="5"/>
    </row>
    <row r="23" spans="1:11" x14ac:dyDescent="0.35">
      <c r="A23" s="53" t="s">
        <v>181</v>
      </c>
      <c r="B23" s="54" t="s">
        <v>253</v>
      </c>
      <c r="C23" s="54" t="s">
        <v>259</v>
      </c>
      <c r="D23" s="50">
        <v>0.73958333333333337</v>
      </c>
      <c r="E23" s="50">
        <v>0.78125</v>
      </c>
      <c r="F23" s="50">
        <v>0.8125</v>
      </c>
      <c r="G23" s="50"/>
      <c r="H23" s="50">
        <f t="shared" si="0"/>
        <v>3.125E-2</v>
      </c>
      <c r="I23" s="6"/>
      <c r="J23" s="5"/>
      <c r="K23" s="5"/>
    </row>
    <row r="24" spans="1:11" x14ac:dyDescent="0.35">
      <c r="A24" s="53" t="s">
        <v>183</v>
      </c>
      <c r="B24" s="54" t="s">
        <v>165</v>
      </c>
      <c r="C24" s="54" t="s">
        <v>167</v>
      </c>
      <c r="D24" s="50" t="s">
        <v>247</v>
      </c>
      <c r="E24" s="50" t="s">
        <v>248</v>
      </c>
      <c r="F24" s="50"/>
      <c r="G24" s="50"/>
      <c r="H24" s="50">
        <v>0</v>
      </c>
      <c r="I24" s="6"/>
      <c r="J24" s="5"/>
      <c r="K24" s="5"/>
    </row>
    <row r="25" spans="1:11" x14ac:dyDescent="0.35">
      <c r="A25" s="53" t="s">
        <v>208</v>
      </c>
      <c r="B25" s="54" t="s">
        <v>125</v>
      </c>
      <c r="C25" s="54" t="s">
        <v>163</v>
      </c>
      <c r="D25" s="50">
        <v>0.60069444444444442</v>
      </c>
      <c r="E25" s="50">
        <v>0.63888888888888884</v>
      </c>
      <c r="F25" s="50">
        <v>0.66319444444444442</v>
      </c>
      <c r="G25" s="50"/>
      <c r="H25" s="50">
        <f t="shared" si="0"/>
        <v>2.430555555555558E-2</v>
      </c>
    </row>
    <row r="26" spans="1:11" x14ac:dyDescent="0.35">
      <c r="A26" s="53" t="s">
        <v>208</v>
      </c>
      <c r="B26" s="54" t="s">
        <v>254</v>
      </c>
      <c r="C26" s="54" t="s">
        <v>260</v>
      </c>
      <c r="D26" s="50">
        <v>0.72222222222222221</v>
      </c>
      <c r="E26" s="50">
        <v>0.75347222222222221</v>
      </c>
      <c r="F26" s="50">
        <v>0.77777777777777779</v>
      </c>
      <c r="G26" s="50"/>
      <c r="H26" s="50">
        <f t="shared" si="0"/>
        <v>2.430555555555558E-2</v>
      </c>
    </row>
    <row r="27" spans="1:11" x14ac:dyDescent="0.35">
      <c r="A27" s="53" t="s">
        <v>214</v>
      </c>
      <c r="B27" s="54" t="s">
        <v>156</v>
      </c>
      <c r="C27" s="54" t="s">
        <v>133</v>
      </c>
      <c r="D27" s="50">
        <v>0.65277777777777779</v>
      </c>
      <c r="E27" s="50">
        <v>0.69444444444444442</v>
      </c>
      <c r="F27" s="50">
        <v>0.76736111111111116</v>
      </c>
      <c r="G27" s="50"/>
      <c r="H27" s="50">
        <f t="shared" si="0"/>
        <v>7.2916666666666741E-2</v>
      </c>
    </row>
    <row r="28" spans="1:11" x14ac:dyDescent="0.35">
      <c r="A28" s="53" t="s">
        <v>214</v>
      </c>
      <c r="B28" s="54" t="s">
        <v>255</v>
      </c>
      <c r="C28" s="54" t="s">
        <v>261</v>
      </c>
      <c r="D28" s="50">
        <v>0.77083333333333337</v>
      </c>
      <c r="E28" s="50">
        <v>0.81597222222222221</v>
      </c>
      <c r="F28" s="50">
        <v>0.86458333333333337</v>
      </c>
      <c r="G28" s="50"/>
      <c r="H28" s="50">
        <f t="shared" si="0"/>
        <v>4.861111111111116E-2</v>
      </c>
    </row>
    <row r="29" spans="1:11" x14ac:dyDescent="0.35">
      <c r="A29" s="53" t="s">
        <v>219</v>
      </c>
      <c r="B29" s="54" t="s">
        <v>151</v>
      </c>
      <c r="C29" s="54" t="s">
        <v>132</v>
      </c>
      <c r="D29" s="50">
        <v>0.59375</v>
      </c>
      <c r="E29" s="50">
        <v>0.65972222222222221</v>
      </c>
      <c r="F29" s="50">
        <v>0.69097222222222221</v>
      </c>
      <c r="G29" s="50"/>
      <c r="H29" s="50">
        <f t="shared" si="0"/>
        <v>3.125E-2</v>
      </c>
    </row>
    <row r="30" spans="1:11" x14ac:dyDescent="0.35">
      <c r="A30" s="53" t="s">
        <v>219</v>
      </c>
      <c r="B30" s="54" t="s">
        <v>256</v>
      </c>
      <c r="C30" s="54" t="s">
        <v>262</v>
      </c>
      <c r="D30" s="50" t="s">
        <v>275</v>
      </c>
      <c r="E30" s="50" t="s">
        <v>276</v>
      </c>
      <c r="F30" s="50" t="s">
        <v>277</v>
      </c>
      <c r="G30" s="50"/>
      <c r="H30" s="50">
        <v>0</v>
      </c>
    </row>
    <row r="31" spans="1:11" x14ac:dyDescent="0.35">
      <c r="A31" s="53" t="s">
        <v>222</v>
      </c>
      <c r="B31" s="54" t="s">
        <v>157</v>
      </c>
      <c r="C31" s="54" t="s">
        <v>158</v>
      </c>
      <c r="D31" s="50">
        <v>0.64583333333333337</v>
      </c>
      <c r="E31" s="50">
        <v>0.66319444444444442</v>
      </c>
      <c r="F31" s="50">
        <v>0.69444444444444442</v>
      </c>
      <c r="G31" s="50"/>
      <c r="H31" s="50">
        <f t="shared" si="0"/>
        <v>3.125E-2</v>
      </c>
    </row>
    <row r="32" spans="1:11" x14ac:dyDescent="0.35">
      <c r="A32" s="53" t="s">
        <v>223</v>
      </c>
      <c r="B32" s="54" t="s">
        <v>230</v>
      </c>
      <c r="C32" s="54" t="s">
        <v>225</v>
      </c>
      <c r="D32" s="50" t="s">
        <v>247</v>
      </c>
      <c r="E32" s="50" t="s">
        <v>248</v>
      </c>
      <c r="F32" s="50"/>
      <c r="G32" s="50"/>
      <c r="H32" s="50">
        <v>0</v>
      </c>
    </row>
    <row r="33" spans="1:8" x14ac:dyDescent="0.35">
      <c r="A33" s="53" t="s">
        <v>222</v>
      </c>
      <c r="B33" s="54" t="s">
        <v>257</v>
      </c>
      <c r="C33" s="54" t="s">
        <v>263</v>
      </c>
      <c r="D33" s="50" t="s">
        <v>247</v>
      </c>
      <c r="E33" s="50" t="s">
        <v>248</v>
      </c>
      <c r="F33" s="50"/>
      <c r="G33" s="50"/>
      <c r="H33" s="50">
        <v>0</v>
      </c>
    </row>
    <row r="34" spans="1:8" x14ac:dyDescent="0.35">
      <c r="A34" s="53" t="s">
        <v>223</v>
      </c>
      <c r="B34" s="54" t="s">
        <v>257</v>
      </c>
      <c r="C34" s="54" t="s">
        <v>263</v>
      </c>
      <c r="D34" s="50" t="s">
        <v>247</v>
      </c>
      <c r="E34" s="50" t="s">
        <v>248</v>
      </c>
      <c r="F34" s="50"/>
      <c r="G34" s="50"/>
      <c r="H34" s="50">
        <v>0</v>
      </c>
    </row>
    <row r="35" spans="1:8" x14ac:dyDescent="0.35">
      <c r="A35" s="53" t="s">
        <v>174</v>
      </c>
      <c r="B35" s="54" t="s">
        <v>228</v>
      </c>
      <c r="C35" s="54" t="s">
        <v>127</v>
      </c>
      <c r="D35" s="50">
        <v>0.68055555555555558</v>
      </c>
      <c r="E35" s="50">
        <v>0.72222222222222221</v>
      </c>
      <c r="F35" s="50">
        <v>0.74652777777777779</v>
      </c>
      <c r="G35" s="50"/>
      <c r="H35" s="50">
        <f t="shared" ref="H35:H69" si="1">MOD(F35-E35, 1)</f>
        <v>2.430555555555558E-2</v>
      </c>
    </row>
    <row r="36" spans="1:8" x14ac:dyDescent="0.35">
      <c r="A36" s="53" t="s">
        <v>188</v>
      </c>
      <c r="B36" s="54" t="s">
        <v>149</v>
      </c>
      <c r="C36" s="54" t="s">
        <v>129</v>
      </c>
      <c r="D36" s="50">
        <v>0.48958333333333331</v>
      </c>
      <c r="E36" s="50">
        <v>0.53125</v>
      </c>
      <c r="F36" s="50"/>
      <c r="G36" s="50"/>
      <c r="H36" s="50">
        <f t="shared" si="1"/>
        <v>0.46875</v>
      </c>
    </row>
    <row r="37" spans="1:8" x14ac:dyDescent="0.35">
      <c r="A37" s="53" t="s">
        <v>182</v>
      </c>
      <c r="B37" s="54" t="s">
        <v>124</v>
      </c>
      <c r="C37" s="54" t="s">
        <v>134</v>
      </c>
      <c r="D37" s="50">
        <v>0.625</v>
      </c>
      <c r="E37" s="50">
        <v>0.67708333333333337</v>
      </c>
      <c r="F37" s="50">
        <v>0.71527777777777779</v>
      </c>
      <c r="G37" s="50"/>
      <c r="H37" s="50">
        <f t="shared" si="1"/>
        <v>3.819444444444442E-2</v>
      </c>
    </row>
    <row r="38" spans="1:8" x14ac:dyDescent="0.35">
      <c r="A38" s="53" t="s">
        <v>217</v>
      </c>
      <c r="B38" s="54" t="s">
        <v>231</v>
      </c>
      <c r="C38" s="54" t="s">
        <v>232</v>
      </c>
      <c r="D38" s="50" t="s">
        <v>247</v>
      </c>
      <c r="E38" s="50" t="s">
        <v>248</v>
      </c>
      <c r="F38" s="50"/>
      <c r="G38" s="50"/>
      <c r="H38" s="50">
        <v>0</v>
      </c>
    </row>
    <row r="39" spans="1:8" x14ac:dyDescent="0.35">
      <c r="A39" s="53" t="s">
        <v>209</v>
      </c>
      <c r="B39" s="54" t="s">
        <v>169</v>
      </c>
      <c r="C39" s="54" t="s">
        <v>170</v>
      </c>
      <c r="D39" s="50">
        <v>0.77777777777777779</v>
      </c>
      <c r="E39" s="50">
        <v>0.86458333333333337</v>
      </c>
      <c r="F39" s="50">
        <v>0.88541666666666663</v>
      </c>
      <c r="G39" s="50"/>
      <c r="H39" s="50">
        <f t="shared" si="1"/>
        <v>2.0833333333333259E-2</v>
      </c>
    </row>
    <row r="40" spans="1:8" x14ac:dyDescent="0.35">
      <c r="A40" s="53" t="s">
        <v>224</v>
      </c>
      <c r="B40" s="54" t="s">
        <v>148</v>
      </c>
      <c r="C40" s="54" t="s">
        <v>141</v>
      </c>
      <c r="D40" s="50">
        <v>0.69097222222222221</v>
      </c>
      <c r="E40" s="50">
        <v>0.72222222222222221</v>
      </c>
      <c r="F40" s="50">
        <v>0.76736111111111116</v>
      </c>
      <c r="G40" s="50"/>
      <c r="H40" s="50">
        <f t="shared" si="1"/>
        <v>4.5138888888888951E-2</v>
      </c>
    </row>
    <row r="41" spans="1:8" x14ac:dyDescent="0.35">
      <c r="A41" s="53" t="s">
        <v>194</v>
      </c>
      <c r="B41" s="54" t="s">
        <v>146</v>
      </c>
      <c r="C41" s="54" t="s">
        <v>140</v>
      </c>
      <c r="D41" s="50">
        <v>0.79513888888888884</v>
      </c>
      <c r="E41" s="50">
        <v>0.82986111111111116</v>
      </c>
      <c r="F41" s="50">
        <v>0.89236111111111116</v>
      </c>
      <c r="G41" s="50"/>
      <c r="H41" s="50">
        <f t="shared" si="1"/>
        <v>6.25E-2</v>
      </c>
    </row>
    <row r="42" spans="1:8" x14ac:dyDescent="0.35">
      <c r="A42" s="53" t="s">
        <v>196</v>
      </c>
      <c r="B42" s="54" t="s">
        <v>172</v>
      </c>
      <c r="C42" s="54" t="s">
        <v>171</v>
      </c>
      <c r="D42" s="50">
        <v>0.84375</v>
      </c>
      <c r="E42" s="50">
        <v>0.88541666666666663</v>
      </c>
      <c r="F42" s="50">
        <v>0.90277777777777779</v>
      </c>
      <c r="G42" s="50"/>
      <c r="H42" s="50">
        <f t="shared" si="1"/>
        <v>1.736111111111116E-2</v>
      </c>
    </row>
    <row r="43" spans="1:8" x14ac:dyDescent="0.35">
      <c r="A43" s="53" t="s">
        <v>199</v>
      </c>
      <c r="B43" s="54" t="s">
        <v>145</v>
      </c>
      <c r="C43" s="54" t="s">
        <v>137</v>
      </c>
      <c r="D43" s="50">
        <v>0.75694444444444442</v>
      </c>
      <c r="E43" s="50">
        <v>0.80208333333333337</v>
      </c>
      <c r="F43" s="50">
        <v>0.83333333333333337</v>
      </c>
      <c r="G43" s="50"/>
      <c r="H43" s="50">
        <f t="shared" si="1"/>
        <v>3.125E-2</v>
      </c>
    </row>
    <row r="44" spans="1:8" x14ac:dyDescent="0.35">
      <c r="A44" s="53" t="s">
        <v>205</v>
      </c>
      <c r="B44" s="54" t="s">
        <v>160</v>
      </c>
      <c r="C44" s="54" t="s">
        <v>159</v>
      </c>
      <c r="D44" s="50">
        <v>0.77430555555555558</v>
      </c>
      <c r="E44" s="50">
        <v>0.8125</v>
      </c>
      <c r="F44" s="50">
        <v>0.83680555555555558</v>
      </c>
      <c r="G44" s="50"/>
      <c r="H44" s="50">
        <f t="shared" si="1"/>
        <v>2.430555555555558E-2</v>
      </c>
    </row>
    <row r="45" spans="1:8" x14ac:dyDescent="0.35">
      <c r="A45" s="53" t="s">
        <v>191</v>
      </c>
      <c r="B45" s="54" t="s">
        <v>157</v>
      </c>
      <c r="C45" s="54" t="s">
        <v>158</v>
      </c>
      <c r="D45" s="50">
        <v>0.78819444444444442</v>
      </c>
      <c r="E45" s="50">
        <v>0.81944444444444442</v>
      </c>
      <c r="F45" s="50">
        <v>0.83333333333333337</v>
      </c>
      <c r="G45" s="50"/>
      <c r="H45" s="50">
        <f t="shared" si="1"/>
        <v>1.3888888888888951E-2</v>
      </c>
    </row>
    <row r="46" spans="1:8" x14ac:dyDescent="0.35">
      <c r="A46" s="53" t="s">
        <v>197</v>
      </c>
      <c r="B46" s="54" t="s">
        <v>162</v>
      </c>
      <c r="C46" s="54" t="s">
        <v>161</v>
      </c>
      <c r="D46" s="50">
        <v>0.78819444444444442</v>
      </c>
      <c r="E46" s="50">
        <v>0.83333333333333337</v>
      </c>
      <c r="F46" s="50">
        <v>0.88194444444444442</v>
      </c>
      <c r="G46" s="50"/>
      <c r="H46" s="50">
        <f t="shared" si="1"/>
        <v>4.8611111111111049E-2</v>
      </c>
    </row>
    <row r="47" spans="1:8" x14ac:dyDescent="0.35">
      <c r="A47" s="53" t="s">
        <v>218</v>
      </c>
      <c r="B47" s="54" t="s">
        <v>227</v>
      </c>
      <c r="C47" s="54" t="s">
        <v>226</v>
      </c>
      <c r="D47" s="50">
        <v>0.81944444444444442</v>
      </c>
      <c r="E47" s="50">
        <v>0.86458333333333337</v>
      </c>
      <c r="F47" s="50">
        <v>0.88194444444444442</v>
      </c>
      <c r="G47" s="50"/>
      <c r="H47" s="50">
        <f t="shared" si="1"/>
        <v>1.7361111111111049E-2</v>
      </c>
    </row>
    <row r="48" spans="1:8" x14ac:dyDescent="0.35">
      <c r="A48" s="53" t="s">
        <v>206</v>
      </c>
      <c r="B48" s="54" t="s">
        <v>264</v>
      </c>
      <c r="C48" s="54" t="s">
        <v>265</v>
      </c>
      <c r="D48" s="50">
        <v>0.83333333333333337</v>
      </c>
      <c r="E48" s="50">
        <v>0.91319444444444442</v>
      </c>
      <c r="F48" s="50">
        <v>0.95486111111111116</v>
      </c>
      <c r="G48" s="50"/>
      <c r="H48" s="50">
        <f t="shared" si="1"/>
        <v>4.1666666666666741E-2</v>
      </c>
    </row>
    <row r="49" spans="1:8" x14ac:dyDescent="0.35">
      <c r="A49" s="53" t="s">
        <v>216</v>
      </c>
      <c r="B49" s="54" t="s">
        <v>264</v>
      </c>
      <c r="C49" s="54" t="s">
        <v>265</v>
      </c>
      <c r="D49" s="50">
        <v>0.83333333333333337</v>
      </c>
      <c r="E49" s="50">
        <v>0.86458333333333337</v>
      </c>
      <c r="F49" s="50">
        <v>0.90277777777777779</v>
      </c>
      <c r="G49" s="50"/>
      <c r="H49" s="50">
        <f t="shared" si="1"/>
        <v>3.819444444444442E-2</v>
      </c>
    </row>
    <row r="50" spans="1:8" x14ac:dyDescent="0.35">
      <c r="A50" s="53" t="s">
        <v>179</v>
      </c>
      <c r="B50" s="54" t="s">
        <v>266</v>
      </c>
      <c r="C50" s="54" t="s">
        <v>268</v>
      </c>
      <c r="D50" s="50">
        <v>0.82986111111111116</v>
      </c>
      <c r="E50" s="50">
        <v>0.86458333333333337</v>
      </c>
      <c r="F50" s="50">
        <v>0.89930555555555558</v>
      </c>
      <c r="G50" s="50"/>
      <c r="H50" s="50">
        <f t="shared" si="1"/>
        <v>3.472222222222221E-2</v>
      </c>
    </row>
    <row r="51" spans="1:8" x14ac:dyDescent="0.35">
      <c r="A51" s="53" t="s">
        <v>220</v>
      </c>
      <c r="B51" s="54" t="s">
        <v>278</v>
      </c>
      <c r="C51" s="54" t="s">
        <v>279</v>
      </c>
      <c r="D51" s="50">
        <v>0.84722222222222221</v>
      </c>
      <c r="E51" s="50">
        <v>0.88194444444444442</v>
      </c>
      <c r="F51" s="50">
        <v>0.89930555555555558</v>
      </c>
      <c r="G51" s="50"/>
      <c r="H51" s="50">
        <f t="shared" si="1"/>
        <v>1.736111111111116E-2</v>
      </c>
    </row>
    <row r="52" spans="1:8" x14ac:dyDescent="0.35">
      <c r="A52" s="53" t="s">
        <v>185</v>
      </c>
      <c r="B52" s="54" t="s">
        <v>267</v>
      </c>
      <c r="C52" s="54" t="s">
        <v>269</v>
      </c>
      <c r="D52" s="50">
        <v>0.79166666666666663</v>
      </c>
      <c r="E52" s="50">
        <v>0.80555555555555558</v>
      </c>
      <c r="F52" s="50">
        <v>0.81597222222222221</v>
      </c>
      <c r="G52" s="50"/>
      <c r="H52" s="50">
        <f t="shared" si="1"/>
        <v>1.041666666666663E-2</v>
      </c>
    </row>
    <row r="53" spans="1:8" x14ac:dyDescent="0.35">
      <c r="A53" s="53"/>
      <c r="B53" s="54"/>
      <c r="C53" s="54"/>
      <c r="D53" s="50"/>
      <c r="E53" s="50"/>
      <c r="F53" s="50"/>
      <c r="G53" s="50"/>
      <c r="H53" s="50">
        <f t="shared" si="1"/>
        <v>0</v>
      </c>
    </row>
    <row r="54" spans="1:8" x14ac:dyDescent="0.35">
      <c r="A54" s="53"/>
      <c r="B54" s="54"/>
      <c r="C54" s="54"/>
      <c r="D54" s="50"/>
      <c r="E54" s="50"/>
      <c r="F54" s="50"/>
      <c r="G54" s="50"/>
      <c r="H54" s="50">
        <f t="shared" si="1"/>
        <v>0</v>
      </c>
    </row>
    <row r="55" spans="1:8" x14ac:dyDescent="0.35">
      <c r="A55" s="53"/>
      <c r="B55" s="54"/>
      <c r="C55" s="54"/>
      <c r="D55" s="50"/>
      <c r="E55" s="50"/>
      <c r="F55" s="50"/>
      <c r="G55" s="50"/>
      <c r="H55" s="50">
        <f t="shared" si="1"/>
        <v>0</v>
      </c>
    </row>
    <row r="56" spans="1:8" x14ac:dyDescent="0.35">
      <c r="A56" s="53"/>
      <c r="B56" s="54"/>
      <c r="C56" s="54"/>
      <c r="D56" s="50"/>
      <c r="E56" s="50"/>
      <c r="F56" s="50"/>
      <c r="G56" s="50"/>
      <c r="H56" s="50">
        <f t="shared" si="1"/>
        <v>0</v>
      </c>
    </row>
    <row r="57" spans="1:8" x14ac:dyDescent="0.35">
      <c r="A57" s="53"/>
      <c r="B57" s="54"/>
      <c r="C57" s="54"/>
      <c r="D57" s="50"/>
      <c r="E57" s="50"/>
      <c r="F57" s="50"/>
      <c r="G57" s="50"/>
      <c r="H57" s="50">
        <f t="shared" si="1"/>
        <v>0</v>
      </c>
    </row>
    <row r="58" spans="1:8" x14ac:dyDescent="0.35">
      <c r="A58" s="53"/>
      <c r="B58" s="54"/>
      <c r="C58" s="54"/>
      <c r="D58" s="50"/>
      <c r="E58" s="50"/>
      <c r="F58" s="50"/>
      <c r="G58" s="50"/>
      <c r="H58" s="50">
        <f t="shared" si="1"/>
        <v>0</v>
      </c>
    </row>
    <row r="59" spans="1:8" x14ac:dyDescent="0.35">
      <c r="A59" s="53"/>
      <c r="B59" s="54"/>
      <c r="C59" s="54"/>
      <c r="D59" s="50"/>
      <c r="E59" s="50"/>
      <c r="F59" s="50"/>
      <c r="G59" s="50"/>
      <c r="H59" s="50">
        <f t="shared" si="1"/>
        <v>0</v>
      </c>
    </row>
    <row r="60" spans="1:8" x14ac:dyDescent="0.35">
      <c r="A60" s="53"/>
      <c r="B60" s="54"/>
      <c r="C60" s="54"/>
      <c r="D60" s="50"/>
      <c r="E60" s="50"/>
      <c r="F60" s="50"/>
      <c r="G60" s="50"/>
      <c r="H60" s="50">
        <f t="shared" si="1"/>
        <v>0</v>
      </c>
    </row>
    <row r="61" spans="1:8" x14ac:dyDescent="0.35">
      <c r="A61" s="53"/>
      <c r="B61" s="54"/>
      <c r="C61" s="54"/>
      <c r="D61" s="50"/>
      <c r="E61" s="50"/>
      <c r="F61" s="50"/>
      <c r="G61" s="50"/>
      <c r="H61" s="50">
        <f t="shared" si="1"/>
        <v>0</v>
      </c>
    </row>
    <row r="62" spans="1:8" x14ac:dyDescent="0.35">
      <c r="A62" s="53"/>
      <c r="B62" s="54"/>
      <c r="C62" s="54"/>
      <c r="D62" s="50"/>
      <c r="E62" s="50"/>
      <c r="F62" s="50"/>
      <c r="G62" s="50"/>
      <c r="H62" s="50">
        <f t="shared" si="1"/>
        <v>0</v>
      </c>
    </row>
    <row r="63" spans="1:8" x14ac:dyDescent="0.35">
      <c r="A63" s="53"/>
      <c r="B63" s="54"/>
      <c r="C63" s="54"/>
      <c r="D63" s="50"/>
      <c r="E63" s="50"/>
      <c r="F63" s="50"/>
      <c r="G63" s="50"/>
      <c r="H63" s="50">
        <f t="shared" si="1"/>
        <v>0</v>
      </c>
    </row>
    <row r="64" spans="1:8" x14ac:dyDescent="0.35">
      <c r="A64" s="49"/>
      <c r="B64" s="50"/>
      <c r="C64" s="50"/>
      <c r="D64" s="50"/>
      <c r="E64" s="50"/>
      <c r="F64" s="50"/>
      <c r="G64" s="50"/>
      <c r="H64" s="50">
        <f t="shared" si="1"/>
        <v>0</v>
      </c>
    </row>
    <row r="65" spans="1:8" x14ac:dyDescent="0.35">
      <c r="A65" s="49"/>
      <c r="B65" s="50"/>
      <c r="C65" s="50"/>
      <c r="D65" s="50"/>
      <c r="E65" s="50"/>
      <c r="F65" s="50"/>
      <c r="G65" s="50"/>
      <c r="H65" s="50">
        <f t="shared" si="1"/>
        <v>0</v>
      </c>
    </row>
    <row r="66" spans="1:8" x14ac:dyDescent="0.35">
      <c r="A66" s="49"/>
      <c r="B66" s="50"/>
      <c r="C66" s="50"/>
      <c r="D66" s="50"/>
      <c r="E66" s="50"/>
      <c r="F66" s="50"/>
      <c r="G66" s="50"/>
      <c r="H66" s="50">
        <f t="shared" si="1"/>
        <v>0</v>
      </c>
    </row>
    <row r="67" spans="1:8" x14ac:dyDescent="0.35">
      <c r="A67" s="49"/>
      <c r="B67" s="50"/>
      <c r="C67" s="50"/>
      <c r="D67" s="50"/>
      <c r="E67" s="50"/>
      <c r="F67" s="50"/>
      <c r="G67" s="50"/>
      <c r="H67" s="50">
        <f t="shared" si="1"/>
        <v>0</v>
      </c>
    </row>
    <row r="68" spans="1:8" x14ac:dyDescent="0.35">
      <c r="A68" s="49"/>
      <c r="B68" s="50"/>
      <c r="C68" s="50"/>
      <c r="D68" s="50"/>
      <c r="E68" s="50"/>
      <c r="F68" s="50"/>
      <c r="G68" s="50"/>
      <c r="H68" s="50">
        <f t="shared" si="1"/>
        <v>0</v>
      </c>
    </row>
    <row r="69" spans="1:8" x14ac:dyDescent="0.35">
      <c r="A69" s="49"/>
      <c r="B69" s="50"/>
      <c r="C69" s="50"/>
      <c r="D69" s="50"/>
      <c r="E69" s="50"/>
      <c r="F69" s="50"/>
      <c r="G69" s="50"/>
      <c r="H69" s="50">
        <f t="shared" si="1"/>
        <v>0</v>
      </c>
    </row>
  </sheetData>
  <autoFilter ref="A2:F38" xr:uid="{00000000-0001-0000-0000-000000000000}">
    <sortState xmlns:xlrd2="http://schemas.microsoft.com/office/spreadsheetml/2017/richdata2" ref="A3:F18">
      <sortCondition ref="A2"/>
    </sortState>
  </autoFilter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B9B63-CE90-4B67-AF8E-1B2E4F48CA5F}">
  <sheetPr>
    <pageSetUpPr fitToPage="1"/>
  </sheetPr>
  <dimension ref="A1:K68"/>
  <sheetViews>
    <sheetView showGridLines="0" zoomScale="70" zoomScaleNormal="70" workbookViewId="0">
      <pane ySplit="2" topLeftCell="A3" activePane="bottomLeft" state="frozen"/>
      <selection pane="bottomLeft" activeCell="E22" sqref="E22"/>
    </sheetView>
  </sheetViews>
  <sheetFormatPr defaultColWidth="9" defaultRowHeight="23.25" x14ac:dyDescent="0.35"/>
  <cols>
    <col min="1" max="1" width="37.28515625" style="29" bestFit="1" customWidth="1"/>
    <col min="2" max="2" width="37.5703125" style="7" bestFit="1" customWidth="1"/>
    <col min="3" max="3" width="16.28515625" style="6" bestFit="1" customWidth="1"/>
    <col min="4" max="4" width="20.28515625" style="5" bestFit="1" customWidth="1"/>
    <col min="5" max="5" width="23" style="5" bestFit="1" customWidth="1"/>
    <col min="6" max="6" width="24.5703125" style="3" bestFit="1" customWidth="1"/>
    <col min="7" max="7" width="0.28515625" style="1" customWidth="1"/>
    <col min="8" max="8" width="24.85546875" style="28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39" t="s">
        <v>4</v>
      </c>
      <c r="B1" s="40"/>
      <c r="C1" s="41"/>
      <c r="D1" s="42"/>
      <c r="E1" s="42"/>
      <c r="F1" s="43"/>
      <c r="G1" s="44"/>
      <c r="H1" s="51"/>
    </row>
    <row r="2" spans="1:10" s="2" customFormat="1" x14ac:dyDescent="0.35">
      <c r="A2" s="45" t="s">
        <v>0</v>
      </c>
      <c r="B2" s="45" t="s">
        <v>1</v>
      </c>
      <c r="C2" s="45" t="s">
        <v>2</v>
      </c>
      <c r="D2" s="46" t="s">
        <v>3</v>
      </c>
      <c r="E2" s="46" t="s">
        <v>236</v>
      </c>
      <c r="F2" s="45" t="s">
        <v>5</v>
      </c>
      <c r="G2" s="47"/>
      <c r="H2" s="48" t="s">
        <v>237</v>
      </c>
    </row>
    <row r="3" spans="1:10" x14ac:dyDescent="0.35">
      <c r="A3" s="53" t="s">
        <v>176</v>
      </c>
      <c r="B3" s="54" t="s">
        <v>251</v>
      </c>
      <c r="C3" s="54" t="s">
        <v>249</v>
      </c>
      <c r="D3" s="50">
        <v>0.25694444444444442</v>
      </c>
      <c r="E3" s="50">
        <v>0.3125</v>
      </c>
      <c r="F3" s="50">
        <v>0.33333333333333331</v>
      </c>
      <c r="G3" s="50"/>
      <c r="H3" s="50">
        <f t="shared" ref="H3:H65" si="0">MOD(F3-E3, 1)</f>
        <v>2.0833333333333315E-2</v>
      </c>
    </row>
    <row r="4" spans="1:10" s="4" customFormat="1" x14ac:dyDescent="0.35">
      <c r="A4" s="53" t="s">
        <v>177</v>
      </c>
      <c r="B4" s="54" t="s">
        <v>121</v>
      </c>
      <c r="C4" s="54" t="s">
        <v>130</v>
      </c>
      <c r="D4" s="50">
        <v>0.28819444444444442</v>
      </c>
      <c r="E4" s="50">
        <v>0.31944444444444442</v>
      </c>
      <c r="F4" s="50">
        <v>0.3611111111111111</v>
      </c>
      <c r="G4" s="50"/>
      <c r="H4" s="50">
        <f t="shared" si="0"/>
        <v>4.1666666666666685E-2</v>
      </c>
    </row>
    <row r="5" spans="1:10" s="4" customFormat="1" x14ac:dyDescent="0.35">
      <c r="A5" s="53" t="s">
        <v>178</v>
      </c>
      <c r="B5" s="54" t="s">
        <v>270</v>
      </c>
      <c r="C5" s="54" t="s">
        <v>141</v>
      </c>
      <c r="D5" s="50">
        <v>0.2326388888888889</v>
      </c>
      <c r="E5" s="50">
        <v>0.28125</v>
      </c>
      <c r="F5" s="50">
        <v>0.30555555555555558</v>
      </c>
      <c r="G5" s="50"/>
      <c r="H5" s="50">
        <f t="shared" si="0"/>
        <v>2.430555555555558E-2</v>
      </c>
    </row>
    <row r="6" spans="1:10" x14ac:dyDescent="0.35">
      <c r="A6" s="53" t="s">
        <v>212</v>
      </c>
      <c r="B6" s="54" t="s">
        <v>270</v>
      </c>
      <c r="C6" s="54" t="s">
        <v>141</v>
      </c>
      <c r="D6" s="50">
        <v>0.2326388888888889</v>
      </c>
      <c r="E6" s="50">
        <v>0.3125</v>
      </c>
      <c r="F6" s="50">
        <v>0.3576388888888889</v>
      </c>
      <c r="G6" s="50"/>
      <c r="H6" s="50">
        <f t="shared" si="0"/>
        <v>4.5138888888888895E-2</v>
      </c>
    </row>
    <row r="7" spans="1:10" x14ac:dyDescent="0.35">
      <c r="A7" s="53" t="s">
        <v>186</v>
      </c>
      <c r="B7" s="54" t="s">
        <v>149</v>
      </c>
      <c r="C7" s="54" t="s">
        <v>129</v>
      </c>
      <c r="D7" s="50">
        <v>0.19097222222222221</v>
      </c>
      <c r="E7" s="50">
        <v>0.22569444444444445</v>
      </c>
      <c r="F7" s="50">
        <v>0.38194444444444442</v>
      </c>
      <c r="G7" s="50"/>
      <c r="H7" s="50">
        <f t="shared" si="0"/>
        <v>0.15624999999999997</v>
      </c>
    </row>
    <row r="8" spans="1:10" x14ac:dyDescent="0.35">
      <c r="A8" s="53" t="s">
        <v>192</v>
      </c>
      <c r="B8" s="54" t="s">
        <v>122</v>
      </c>
      <c r="C8" s="54" t="s">
        <v>131</v>
      </c>
      <c r="D8" s="50">
        <v>0.22569444444444445</v>
      </c>
      <c r="E8" s="50">
        <v>0.25694444444444442</v>
      </c>
      <c r="F8" s="50">
        <v>0.30555555555555558</v>
      </c>
      <c r="G8" s="50"/>
      <c r="H8" s="50">
        <f t="shared" si="0"/>
        <v>4.861111111111116E-2</v>
      </c>
    </row>
    <row r="9" spans="1:10" s="4" customFormat="1" x14ac:dyDescent="0.35">
      <c r="A9" s="53" t="s">
        <v>193</v>
      </c>
      <c r="B9" s="54" t="s">
        <v>117</v>
      </c>
      <c r="C9" s="54" t="s">
        <v>126</v>
      </c>
      <c r="D9" s="50">
        <v>0.39930555555555558</v>
      </c>
      <c r="E9" s="50">
        <v>0.43055555555555558</v>
      </c>
      <c r="F9" s="50">
        <v>0.52430555555555558</v>
      </c>
      <c r="G9" s="50"/>
      <c r="H9" s="50">
        <f t="shared" si="0"/>
        <v>9.375E-2</v>
      </c>
      <c r="I9" s="8"/>
      <c r="J9" s="8"/>
    </row>
    <row r="10" spans="1:10" x14ac:dyDescent="0.35">
      <c r="A10" s="53" t="s">
        <v>200</v>
      </c>
      <c r="B10" s="54" t="s">
        <v>228</v>
      </c>
      <c r="C10" s="54" t="s">
        <v>127</v>
      </c>
      <c r="D10" s="50">
        <v>0.2361111111111111</v>
      </c>
      <c r="E10" s="50">
        <v>0.2673611111111111</v>
      </c>
      <c r="F10" s="50">
        <v>0.2986111111111111</v>
      </c>
      <c r="G10" s="50"/>
      <c r="H10" s="50">
        <f t="shared" si="0"/>
        <v>3.125E-2</v>
      </c>
      <c r="I10" s="8"/>
      <c r="J10" s="8"/>
    </row>
    <row r="11" spans="1:10" x14ac:dyDescent="0.35">
      <c r="A11" s="53" t="s">
        <v>204</v>
      </c>
      <c r="B11" s="54" t="s">
        <v>119</v>
      </c>
      <c r="C11" s="54" t="s">
        <v>128</v>
      </c>
      <c r="D11" s="50">
        <v>0.2013888888888889</v>
      </c>
      <c r="E11" s="50">
        <v>0.22569444444444445</v>
      </c>
      <c r="F11" s="50">
        <v>0.29166666666666669</v>
      </c>
      <c r="G11" s="50"/>
      <c r="H11" s="50">
        <f t="shared" si="0"/>
        <v>6.5972222222222238E-2</v>
      </c>
    </row>
    <row r="12" spans="1:10" x14ac:dyDescent="0.35">
      <c r="A12" s="53" t="s">
        <v>195</v>
      </c>
      <c r="B12" s="54" t="s">
        <v>271</v>
      </c>
      <c r="C12" s="54" t="s">
        <v>132</v>
      </c>
      <c r="D12" s="50">
        <v>0.24652777777777779</v>
      </c>
      <c r="E12" s="50">
        <v>0.3125</v>
      </c>
      <c r="F12" s="50">
        <v>0.33680555555555558</v>
      </c>
      <c r="G12" s="50"/>
      <c r="H12" s="50">
        <f t="shared" si="0"/>
        <v>2.430555555555558E-2</v>
      </c>
    </row>
    <row r="13" spans="1:10" x14ac:dyDescent="0.35">
      <c r="A13" s="53" t="s">
        <v>207</v>
      </c>
      <c r="B13" s="54" t="s">
        <v>271</v>
      </c>
      <c r="C13" s="54" t="s">
        <v>132</v>
      </c>
      <c r="D13" s="50">
        <v>0.24652777777777779</v>
      </c>
      <c r="E13" s="50">
        <v>0.34027777777777779</v>
      </c>
      <c r="F13" s="50">
        <v>0.3611111111111111</v>
      </c>
      <c r="G13" s="50"/>
      <c r="H13" s="50">
        <f t="shared" si="0"/>
        <v>2.0833333333333315E-2</v>
      </c>
    </row>
    <row r="14" spans="1:10" x14ac:dyDescent="0.35">
      <c r="A14" s="53" t="s">
        <v>210</v>
      </c>
      <c r="B14" s="54" t="s">
        <v>156</v>
      </c>
      <c r="C14" s="54" t="s">
        <v>133</v>
      </c>
      <c r="D14" s="50">
        <v>0.22569444444444445</v>
      </c>
      <c r="E14" s="50">
        <v>0.25347222222222221</v>
      </c>
      <c r="F14" s="50">
        <v>0.33680555555555558</v>
      </c>
      <c r="G14" s="50"/>
      <c r="H14" s="50">
        <f t="shared" si="0"/>
        <v>8.333333333333337E-2</v>
      </c>
    </row>
    <row r="15" spans="1:10" x14ac:dyDescent="0.35">
      <c r="A15" s="53" t="s">
        <v>221</v>
      </c>
      <c r="B15" s="54" t="s">
        <v>124</v>
      </c>
      <c r="C15" s="54" t="s">
        <v>134</v>
      </c>
      <c r="D15" s="50">
        <v>0.17708333333333334</v>
      </c>
      <c r="E15" s="50">
        <v>0.20833333333333334</v>
      </c>
      <c r="F15" s="50">
        <v>0.2986111111111111</v>
      </c>
      <c r="G15" s="50"/>
      <c r="H15" s="50">
        <f t="shared" si="0"/>
        <v>9.0277777777777762E-2</v>
      </c>
    </row>
    <row r="16" spans="1:10" x14ac:dyDescent="0.35">
      <c r="A16" s="53" t="s">
        <v>187</v>
      </c>
      <c r="B16" s="54" t="s">
        <v>272</v>
      </c>
      <c r="C16" s="54" t="s">
        <v>163</v>
      </c>
      <c r="D16" s="50">
        <v>0</v>
      </c>
      <c r="E16" s="50">
        <v>0.27083333333333331</v>
      </c>
      <c r="F16" s="50">
        <v>0.30555555555555558</v>
      </c>
      <c r="G16" s="50"/>
      <c r="H16" s="50">
        <f t="shared" si="0"/>
        <v>3.4722222222222265E-2</v>
      </c>
    </row>
    <row r="17" spans="1:11" x14ac:dyDescent="0.35">
      <c r="A17" s="53"/>
      <c r="B17" s="54"/>
      <c r="C17" s="54"/>
      <c r="D17" s="50"/>
      <c r="E17" s="50"/>
      <c r="F17" s="50"/>
      <c r="G17" s="50"/>
      <c r="H17" s="50">
        <f t="shared" si="0"/>
        <v>0</v>
      </c>
    </row>
    <row r="18" spans="1:11" x14ac:dyDescent="0.35">
      <c r="A18" s="53"/>
      <c r="B18" s="54"/>
      <c r="C18" s="54"/>
      <c r="D18" s="50"/>
      <c r="E18" s="50"/>
      <c r="F18" s="50"/>
      <c r="G18" s="50"/>
      <c r="H18" s="50">
        <f t="shared" si="0"/>
        <v>0</v>
      </c>
    </row>
    <row r="19" spans="1:11" x14ac:dyDescent="0.35">
      <c r="A19" s="53"/>
      <c r="B19" s="54"/>
      <c r="C19" s="54"/>
      <c r="D19" s="50"/>
      <c r="E19" s="50"/>
      <c r="F19" s="50"/>
      <c r="G19" s="50"/>
      <c r="H19" s="50">
        <f t="shared" si="0"/>
        <v>0</v>
      </c>
    </row>
    <row r="20" spans="1:11" x14ac:dyDescent="0.35">
      <c r="A20" s="53"/>
      <c r="B20" s="54"/>
      <c r="C20" s="54"/>
      <c r="D20" s="50"/>
      <c r="E20" s="50"/>
      <c r="F20" s="50"/>
      <c r="G20" s="50"/>
      <c r="H20" s="50">
        <f t="shared" si="0"/>
        <v>0</v>
      </c>
      <c r="I20" s="6"/>
      <c r="J20" s="5"/>
      <c r="K20" s="5"/>
    </row>
    <row r="21" spans="1:11" x14ac:dyDescent="0.35">
      <c r="A21" s="53"/>
      <c r="B21" s="54"/>
      <c r="C21" s="54"/>
      <c r="D21" s="50"/>
      <c r="E21" s="50"/>
      <c r="F21" s="50"/>
      <c r="G21" s="50"/>
      <c r="H21" s="50">
        <f t="shared" si="0"/>
        <v>0</v>
      </c>
      <c r="I21" s="6"/>
      <c r="J21" s="5"/>
      <c r="K21" s="5"/>
    </row>
    <row r="22" spans="1:11" x14ac:dyDescent="0.35">
      <c r="A22" s="53"/>
      <c r="B22" s="54"/>
      <c r="C22" s="54"/>
      <c r="D22" s="50"/>
      <c r="E22" s="50"/>
      <c r="F22" s="50"/>
      <c r="G22" s="50"/>
      <c r="H22" s="50">
        <f t="shared" si="0"/>
        <v>0</v>
      </c>
      <c r="I22" s="6"/>
      <c r="J22" s="5"/>
      <c r="K22" s="5"/>
    </row>
    <row r="23" spans="1:11" x14ac:dyDescent="0.35">
      <c r="A23" s="53"/>
      <c r="B23" s="54"/>
      <c r="C23" s="54"/>
      <c r="D23" s="50"/>
      <c r="E23" s="50"/>
      <c r="F23" s="50"/>
      <c r="G23" s="50"/>
      <c r="H23" s="50">
        <f t="shared" si="0"/>
        <v>0</v>
      </c>
      <c r="I23" s="6"/>
      <c r="J23" s="5"/>
      <c r="K23" s="5"/>
    </row>
    <row r="24" spans="1:11" x14ac:dyDescent="0.35">
      <c r="A24" s="53"/>
      <c r="B24" s="54"/>
      <c r="C24" s="54"/>
      <c r="D24" s="50"/>
      <c r="E24" s="50"/>
      <c r="F24" s="50"/>
      <c r="G24" s="50"/>
      <c r="H24" s="50">
        <f t="shared" si="0"/>
        <v>0</v>
      </c>
    </row>
    <row r="25" spans="1:11" x14ac:dyDescent="0.35">
      <c r="A25" s="53"/>
      <c r="B25" s="54"/>
      <c r="C25" s="54"/>
      <c r="D25" s="50"/>
      <c r="E25" s="50"/>
      <c r="F25" s="50"/>
      <c r="G25" s="50"/>
      <c r="H25" s="50">
        <f t="shared" si="0"/>
        <v>0</v>
      </c>
    </row>
    <row r="26" spans="1:11" x14ac:dyDescent="0.35">
      <c r="A26" s="53"/>
      <c r="B26" s="54"/>
      <c r="C26" s="54"/>
      <c r="D26" s="50"/>
      <c r="E26" s="50"/>
      <c r="F26" s="50"/>
      <c r="G26" s="50"/>
      <c r="H26" s="50">
        <f t="shared" si="0"/>
        <v>0</v>
      </c>
    </row>
    <row r="27" spans="1:11" x14ac:dyDescent="0.35">
      <c r="A27" s="53"/>
      <c r="B27" s="54"/>
      <c r="C27" s="54"/>
      <c r="D27" s="50"/>
      <c r="E27" s="50"/>
      <c r="F27" s="50"/>
      <c r="G27" s="50"/>
      <c r="H27" s="50">
        <f t="shared" si="0"/>
        <v>0</v>
      </c>
    </row>
    <row r="28" spans="1:11" x14ac:dyDescent="0.35">
      <c r="A28" s="53"/>
      <c r="B28" s="54"/>
      <c r="C28" s="54"/>
      <c r="D28" s="50"/>
      <c r="E28" s="50"/>
      <c r="F28" s="50"/>
      <c r="G28" s="50"/>
      <c r="H28" s="50">
        <f t="shared" si="0"/>
        <v>0</v>
      </c>
    </row>
    <row r="29" spans="1:11" x14ac:dyDescent="0.35">
      <c r="A29" s="53"/>
      <c r="B29" s="54"/>
      <c r="C29" s="54"/>
      <c r="D29" s="50"/>
      <c r="E29" s="50"/>
      <c r="F29" s="50"/>
      <c r="G29" s="50"/>
      <c r="H29" s="50">
        <f t="shared" si="0"/>
        <v>0</v>
      </c>
    </row>
    <row r="30" spans="1:11" x14ac:dyDescent="0.35">
      <c r="A30" s="53"/>
      <c r="B30" s="54"/>
      <c r="C30" s="54"/>
      <c r="D30" s="50"/>
      <c r="E30" s="50"/>
      <c r="F30" s="50"/>
      <c r="G30" s="50"/>
      <c r="H30" s="50">
        <f t="shared" si="0"/>
        <v>0</v>
      </c>
    </row>
    <row r="31" spans="1:11" x14ac:dyDescent="0.35">
      <c r="A31" s="53"/>
      <c r="B31" s="54"/>
      <c r="C31" s="54"/>
      <c r="D31" s="50"/>
      <c r="E31" s="50"/>
      <c r="F31" s="50"/>
      <c r="G31" s="50"/>
      <c r="H31" s="50">
        <f t="shared" si="0"/>
        <v>0</v>
      </c>
    </row>
    <row r="32" spans="1:11" x14ac:dyDescent="0.35">
      <c r="A32" s="53"/>
      <c r="B32" s="54"/>
      <c r="C32" s="54"/>
      <c r="D32" s="50"/>
      <c r="E32" s="50"/>
      <c r="F32" s="50"/>
      <c r="G32" s="50"/>
      <c r="H32" s="50">
        <f t="shared" si="0"/>
        <v>0</v>
      </c>
    </row>
    <row r="33" spans="1:8" x14ac:dyDescent="0.35">
      <c r="A33" s="53"/>
      <c r="B33" s="54"/>
      <c r="C33" s="54"/>
      <c r="D33" s="50"/>
      <c r="E33" s="50"/>
      <c r="F33" s="50"/>
      <c r="G33" s="50"/>
      <c r="H33" s="50">
        <f t="shared" si="0"/>
        <v>0</v>
      </c>
    </row>
    <row r="34" spans="1:8" x14ac:dyDescent="0.35">
      <c r="A34" s="53"/>
      <c r="B34" s="54"/>
      <c r="C34" s="54"/>
      <c r="D34" s="50"/>
      <c r="E34" s="50"/>
      <c r="F34" s="50"/>
      <c r="G34" s="50"/>
      <c r="H34" s="50">
        <f t="shared" si="0"/>
        <v>0</v>
      </c>
    </row>
    <row r="35" spans="1:8" x14ac:dyDescent="0.35">
      <c r="A35" s="53"/>
      <c r="B35" s="54"/>
      <c r="C35" s="54"/>
      <c r="D35" s="50"/>
      <c r="E35" s="50"/>
      <c r="F35" s="50"/>
      <c r="G35" s="50"/>
      <c r="H35" s="50">
        <f t="shared" si="0"/>
        <v>0</v>
      </c>
    </row>
    <row r="36" spans="1:8" x14ac:dyDescent="0.35">
      <c r="A36" s="53"/>
      <c r="B36" s="54"/>
      <c r="C36" s="54"/>
      <c r="D36" s="50"/>
      <c r="E36" s="50"/>
      <c r="F36" s="50"/>
      <c r="G36" s="50"/>
      <c r="H36" s="50">
        <f t="shared" si="0"/>
        <v>0</v>
      </c>
    </row>
    <row r="37" spans="1:8" x14ac:dyDescent="0.35">
      <c r="A37" s="53"/>
      <c r="B37" s="54"/>
      <c r="C37" s="54"/>
      <c r="D37" s="50"/>
      <c r="E37" s="50"/>
      <c r="F37" s="50"/>
      <c r="G37" s="50"/>
      <c r="H37" s="50">
        <f t="shared" si="0"/>
        <v>0</v>
      </c>
    </row>
    <row r="38" spans="1:8" x14ac:dyDescent="0.35">
      <c r="A38" s="53"/>
      <c r="B38" s="54"/>
      <c r="C38" s="54"/>
      <c r="D38" s="50"/>
      <c r="E38" s="50"/>
      <c r="F38" s="50"/>
      <c r="G38" s="50"/>
      <c r="H38" s="50">
        <f t="shared" si="0"/>
        <v>0</v>
      </c>
    </row>
    <row r="39" spans="1:8" x14ac:dyDescent="0.35">
      <c r="A39" s="53"/>
      <c r="B39" s="54"/>
      <c r="C39" s="54"/>
      <c r="D39" s="50"/>
      <c r="E39" s="50"/>
      <c r="F39" s="50"/>
      <c r="G39" s="50"/>
      <c r="H39" s="50">
        <f t="shared" si="0"/>
        <v>0</v>
      </c>
    </row>
    <row r="40" spans="1:8" x14ac:dyDescent="0.35">
      <c r="A40" s="53"/>
      <c r="B40" s="54"/>
      <c r="C40" s="54"/>
      <c r="D40" s="50"/>
      <c r="E40" s="50"/>
      <c r="F40" s="50"/>
      <c r="G40" s="50"/>
      <c r="H40" s="50">
        <f t="shared" si="0"/>
        <v>0</v>
      </c>
    </row>
    <row r="41" spans="1:8" x14ac:dyDescent="0.35">
      <c r="A41" s="53"/>
      <c r="B41" s="54"/>
      <c r="C41" s="54"/>
      <c r="D41" s="50"/>
      <c r="E41" s="50"/>
      <c r="F41" s="50"/>
      <c r="G41" s="50"/>
      <c r="H41" s="50">
        <f t="shared" si="0"/>
        <v>0</v>
      </c>
    </row>
    <row r="42" spans="1:8" x14ac:dyDescent="0.35">
      <c r="A42" s="53"/>
      <c r="B42" s="54"/>
      <c r="C42" s="54"/>
      <c r="D42" s="50"/>
      <c r="E42" s="50"/>
      <c r="F42" s="50"/>
      <c r="G42" s="50"/>
      <c r="H42" s="50">
        <f t="shared" si="0"/>
        <v>0</v>
      </c>
    </row>
    <row r="43" spans="1:8" x14ac:dyDescent="0.35">
      <c r="A43" s="53"/>
      <c r="B43" s="54"/>
      <c r="C43" s="54"/>
      <c r="D43" s="50"/>
      <c r="E43" s="50"/>
      <c r="F43" s="50"/>
      <c r="G43" s="50"/>
      <c r="H43" s="50">
        <f t="shared" si="0"/>
        <v>0</v>
      </c>
    </row>
    <row r="44" spans="1:8" x14ac:dyDescent="0.35">
      <c r="A44" s="53"/>
      <c r="B44" s="54"/>
      <c r="C44" s="54"/>
      <c r="D44" s="50"/>
      <c r="E44" s="50"/>
      <c r="F44" s="50"/>
      <c r="G44" s="50"/>
      <c r="H44" s="50">
        <f t="shared" si="0"/>
        <v>0</v>
      </c>
    </row>
    <row r="45" spans="1:8" x14ac:dyDescent="0.35">
      <c r="A45" s="53"/>
      <c r="B45" s="54"/>
      <c r="C45" s="54"/>
      <c r="D45" s="50"/>
      <c r="E45" s="50"/>
      <c r="F45" s="50"/>
      <c r="G45" s="50"/>
      <c r="H45" s="50">
        <f t="shared" si="0"/>
        <v>0</v>
      </c>
    </row>
    <row r="46" spans="1:8" x14ac:dyDescent="0.35">
      <c r="A46" s="53"/>
      <c r="B46" s="54"/>
      <c r="C46" s="54"/>
      <c r="D46" s="50"/>
      <c r="E46" s="50"/>
      <c r="F46" s="50"/>
      <c r="G46" s="50"/>
      <c r="H46" s="50">
        <f t="shared" si="0"/>
        <v>0</v>
      </c>
    </row>
    <row r="47" spans="1:8" x14ac:dyDescent="0.35">
      <c r="A47" s="53"/>
      <c r="B47" s="54"/>
      <c r="C47" s="54"/>
      <c r="D47" s="50"/>
      <c r="E47" s="50"/>
      <c r="F47" s="50"/>
      <c r="G47" s="50"/>
      <c r="H47" s="50">
        <f t="shared" si="0"/>
        <v>0</v>
      </c>
    </row>
    <row r="48" spans="1:8" x14ac:dyDescent="0.35">
      <c r="A48" s="53"/>
      <c r="B48" s="54"/>
      <c r="C48" s="54"/>
      <c r="D48" s="50"/>
      <c r="E48" s="50"/>
      <c r="F48" s="50"/>
      <c r="G48" s="50"/>
      <c r="H48" s="50">
        <f t="shared" si="0"/>
        <v>0</v>
      </c>
    </row>
    <row r="49" spans="1:8" x14ac:dyDescent="0.35">
      <c r="A49" s="53"/>
      <c r="B49" s="54"/>
      <c r="C49" s="54"/>
      <c r="D49" s="50"/>
      <c r="E49" s="50"/>
      <c r="F49" s="50"/>
      <c r="G49" s="50"/>
      <c r="H49" s="50">
        <f t="shared" si="0"/>
        <v>0</v>
      </c>
    </row>
    <row r="50" spans="1:8" x14ac:dyDescent="0.35">
      <c r="A50" s="53"/>
      <c r="B50" s="54"/>
      <c r="C50" s="54"/>
      <c r="D50" s="50"/>
      <c r="E50" s="50"/>
      <c r="F50" s="50"/>
      <c r="G50" s="50"/>
      <c r="H50" s="50">
        <f t="shared" si="0"/>
        <v>0</v>
      </c>
    </row>
    <row r="51" spans="1:8" x14ac:dyDescent="0.35">
      <c r="A51" s="53"/>
      <c r="B51" s="54"/>
      <c r="C51" s="54"/>
      <c r="D51" s="50"/>
      <c r="E51" s="50"/>
      <c r="F51" s="50"/>
      <c r="G51" s="50"/>
      <c r="H51" s="50">
        <f t="shared" si="0"/>
        <v>0</v>
      </c>
    </row>
    <row r="52" spans="1:8" x14ac:dyDescent="0.35">
      <c r="A52" s="53"/>
      <c r="B52" s="54"/>
      <c r="C52" s="54"/>
      <c r="D52" s="50"/>
      <c r="E52" s="50"/>
      <c r="F52" s="50"/>
      <c r="G52" s="50"/>
      <c r="H52" s="50">
        <f t="shared" si="0"/>
        <v>0</v>
      </c>
    </row>
    <row r="53" spans="1:8" x14ac:dyDescent="0.35">
      <c r="A53" s="53"/>
      <c r="B53" s="54"/>
      <c r="C53" s="54"/>
      <c r="D53" s="50"/>
      <c r="E53" s="50"/>
      <c r="F53" s="50"/>
      <c r="G53" s="50"/>
      <c r="H53" s="50">
        <f t="shared" si="0"/>
        <v>0</v>
      </c>
    </row>
    <row r="54" spans="1:8" x14ac:dyDescent="0.35">
      <c r="A54" s="53"/>
      <c r="B54" s="54"/>
      <c r="C54" s="54"/>
      <c r="D54" s="50"/>
      <c r="E54" s="50"/>
      <c r="F54" s="50"/>
      <c r="G54" s="50"/>
      <c r="H54" s="50">
        <f t="shared" si="0"/>
        <v>0</v>
      </c>
    </row>
    <row r="55" spans="1:8" x14ac:dyDescent="0.35">
      <c r="A55" s="53"/>
      <c r="B55" s="54"/>
      <c r="C55" s="54"/>
      <c r="D55" s="50"/>
      <c r="E55" s="50"/>
      <c r="F55" s="50"/>
      <c r="G55" s="50"/>
      <c r="H55" s="50">
        <f t="shared" si="0"/>
        <v>0</v>
      </c>
    </row>
    <row r="56" spans="1:8" x14ac:dyDescent="0.35">
      <c r="A56" s="53"/>
      <c r="B56" s="54"/>
      <c r="C56" s="54"/>
      <c r="D56" s="50"/>
      <c r="E56" s="50"/>
      <c r="F56" s="50"/>
      <c r="G56" s="50"/>
      <c r="H56" s="50">
        <f t="shared" si="0"/>
        <v>0</v>
      </c>
    </row>
    <row r="57" spans="1:8" x14ac:dyDescent="0.35">
      <c r="A57" s="53"/>
      <c r="B57" s="54"/>
      <c r="C57" s="54"/>
      <c r="D57" s="50"/>
      <c r="E57" s="50"/>
      <c r="F57" s="50"/>
      <c r="G57" s="50"/>
      <c r="H57" s="50">
        <f t="shared" si="0"/>
        <v>0</v>
      </c>
    </row>
    <row r="58" spans="1:8" x14ac:dyDescent="0.35">
      <c r="A58" s="53"/>
      <c r="B58" s="54"/>
      <c r="C58" s="54"/>
      <c r="D58" s="50"/>
      <c r="E58" s="50"/>
      <c r="F58" s="50"/>
      <c r="G58" s="50"/>
      <c r="H58" s="50">
        <f t="shared" si="0"/>
        <v>0</v>
      </c>
    </row>
    <row r="59" spans="1:8" x14ac:dyDescent="0.35">
      <c r="A59" s="53"/>
      <c r="B59" s="54"/>
      <c r="C59" s="54"/>
      <c r="D59" s="50"/>
      <c r="E59" s="50"/>
      <c r="F59" s="50"/>
      <c r="G59" s="50"/>
      <c r="H59" s="50">
        <f t="shared" si="0"/>
        <v>0</v>
      </c>
    </row>
    <row r="60" spans="1:8" x14ac:dyDescent="0.35">
      <c r="A60" s="53"/>
      <c r="B60" s="54"/>
      <c r="C60" s="54"/>
      <c r="D60" s="50"/>
      <c r="E60" s="50"/>
      <c r="F60" s="50"/>
      <c r="G60" s="50"/>
      <c r="H60" s="50">
        <f t="shared" si="0"/>
        <v>0</v>
      </c>
    </row>
    <row r="61" spans="1:8" x14ac:dyDescent="0.35">
      <c r="A61" s="53"/>
      <c r="B61" s="54"/>
      <c r="C61" s="54"/>
      <c r="D61" s="50"/>
      <c r="E61" s="50"/>
      <c r="F61" s="50"/>
      <c r="G61" s="50"/>
      <c r="H61" s="50">
        <f t="shared" si="0"/>
        <v>0</v>
      </c>
    </row>
    <row r="62" spans="1:8" x14ac:dyDescent="0.35">
      <c r="A62" s="53"/>
      <c r="B62" s="54"/>
      <c r="C62" s="54"/>
      <c r="D62" s="50"/>
      <c r="E62" s="50"/>
      <c r="F62" s="50"/>
      <c r="G62" s="50"/>
      <c r="H62" s="50">
        <f t="shared" si="0"/>
        <v>0</v>
      </c>
    </row>
    <row r="63" spans="1:8" x14ac:dyDescent="0.35">
      <c r="A63" s="53"/>
      <c r="B63" s="54"/>
      <c r="C63" s="54"/>
      <c r="D63" s="50"/>
      <c r="E63" s="50"/>
      <c r="F63" s="50"/>
      <c r="G63" s="50"/>
      <c r="H63" s="50">
        <f t="shared" si="0"/>
        <v>0</v>
      </c>
    </row>
    <row r="64" spans="1:8" x14ac:dyDescent="0.35">
      <c r="A64" s="53"/>
      <c r="B64" s="54"/>
      <c r="C64" s="54"/>
      <c r="D64" s="50"/>
      <c r="E64" s="50"/>
      <c r="F64" s="50"/>
      <c r="G64" s="50"/>
      <c r="H64" s="50">
        <f t="shared" si="0"/>
        <v>0</v>
      </c>
    </row>
    <row r="65" spans="1:8" x14ac:dyDescent="0.35">
      <c r="A65" s="53"/>
      <c r="B65" s="54"/>
      <c r="C65" s="54"/>
      <c r="D65" s="50"/>
      <c r="E65" s="50"/>
      <c r="F65" s="50"/>
      <c r="G65" s="50"/>
      <c r="H65" s="50">
        <f t="shared" si="0"/>
        <v>0</v>
      </c>
    </row>
    <row r="66" spans="1:8" x14ac:dyDescent="0.35">
      <c r="A66" s="53"/>
      <c r="B66" s="54"/>
      <c r="C66" s="54"/>
      <c r="D66" s="50"/>
      <c r="E66" s="50"/>
      <c r="F66" s="50"/>
      <c r="G66" s="50"/>
      <c r="H66" s="50">
        <f t="shared" ref="H66:H68" si="1">MOD(F66-E66, 1)</f>
        <v>0</v>
      </c>
    </row>
    <row r="67" spans="1:8" x14ac:dyDescent="0.35">
      <c r="A67" s="53"/>
      <c r="B67" s="54"/>
      <c r="C67" s="54"/>
      <c r="D67" s="50"/>
      <c r="E67" s="50"/>
      <c r="F67" s="50"/>
      <c r="G67" s="50"/>
      <c r="H67" s="50">
        <f t="shared" si="1"/>
        <v>0</v>
      </c>
    </row>
    <row r="68" spans="1:8" x14ac:dyDescent="0.35">
      <c r="A68" s="53"/>
      <c r="B68" s="54"/>
      <c r="C68" s="54"/>
      <c r="D68" s="50"/>
      <c r="E68" s="50"/>
      <c r="F68" s="50"/>
      <c r="G68" s="50"/>
      <c r="H68" s="50">
        <f t="shared" si="1"/>
        <v>0</v>
      </c>
    </row>
  </sheetData>
  <autoFilter ref="A2:F37" xr:uid="{00000000-0001-0000-0000-000000000000}">
    <sortState xmlns:xlrd2="http://schemas.microsoft.com/office/spreadsheetml/2017/richdata2" ref="A3:F17">
      <sortCondition ref="A2"/>
    </sortState>
  </autoFilter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F7DCC-8E68-48DA-A735-198E07AF2475}">
  <sheetPr>
    <pageSetUpPr fitToPage="1"/>
  </sheetPr>
  <dimension ref="A1:K68"/>
  <sheetViews>
    <sheetView showGridLines="0" zoomScale="70" zoomScaleNormal="70" workbookViewId="0">
      <pane ySplit="2" topLeftCell="A3" activePane="bottomLeft" state="frozen"/>
      <selection pane="bottomLeft" activeCell="E13" sqref="E13"/>
    </sheetView>
  </sheetViews>
  <sheetFormatPr defaultColWidth="9" defaultRowHeight="23.25" x14ac:dyDescent="0.35"/>
  <cols>
    <col min="1" max="1" width="41.7109375" style="29" bestFit="1" customWidth="1"/>
    <col min="2" max="2" width="39.42578125" style="7" bestFit="1" customWidth="1"/>
    <col min="3" max="3" width="19.140625" style="6" bestFit="1" customWidth="1"/>
    <col min="4" max="4" width="22.7109375" style="5" bestFit="1" customWidth="1"/>
    <col min="5" max="5" width="25.28515625" style="5" bestFit="1" customWidth="1"/>
    <col min="6" max="6" width="27.42578125" style="3" bestFit="1" customWidth="1"/>
    <col min="7" max="7" width="0.28515625" style="1" customWidth="1"/>
    <col min="8" max="8" width="25.5703125" style="28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1" ht="96.75" customHeight="1" x14ac:dyDescent="0.35">
      <c r="A1" s="39" t="s">
        <v>4</v>
      </c>
      <c r="B1" s="40"/>
      <c r="C1" s="41"/>
      <c r="D1" s="42"/>
      <c r="E1" s="42"/>
      <c r="F1" s="43"/>
      <c r="G1" s="44"/>
      <c r="H1" s="51"/>
    </row>
    <row r="2" spans="1:11" s="2" customFormat="1" x14ac:dyDescent="0.35">
      <c r="A2" s="45" t="s">
        <v>0</v>
      </c>
      <c r="B2" s="45" t="s">
        <v>1</v>
      </c>
      <c r="C2" s="45" t="s">
        <v>2</v>
      </c>
      <c r="D2" s="46" t="s">
        <v>3</v>
      </c>
      <c r="E2" s="46" t="s">
        <v>236</v>
      </c>
      <c r="F2" s="45" t="s">
        <v>5</v>
      </c>
      <c r="G2" s="47"/>
      <c r="H2" s="48" t="s">
        <v>237</v>
      </c>
    </row>
    <row r="3" spans="1:11" s="4" customFormat="1" x14ac:dyDescent="0.35">
      <c r="A3" s="53" t="s">
        <v>193</v>
      </c>
      <c r="B3" s="54" t="s">
        <v>162</v>
      </c>
      <c r="C3" s="54" t="s">
        <v>161</v>
      </c>
      <c r="D3" s="50" t="s">
        <v>301</v>
      </c>
      <c r="E3" s="50" t="s">
        <v>276</v>
      </c>
      <c r="F3" s="50" t="s">
        <v>277</v>
      </c>
      <c r="G3" s="50"/>
      <c r="H3" s="50">
        <v>0</v>
      </c>
      <c r="I3" s="8"/>
      <c r="J3" s="8"/>
    </row>
    <row r="4" spans="1:11" x14ac:dyDescent="0.35">
      <c r="A4" s="53" t="s">
        <v>200</v>
      </c>
      <c r="B4" s="54" t="s">
        <v>228</v>
      </c>
      <c r="C4" s="54" t="s">
        <v>127</v>
      </c>
      <c r="D4" s="50" t="s">
        <v>301</v>
      </c>
      <c r="E4" s="50" t="s">
        <v>276</v>
      </c>
      <c r="F4" s="50" t="s">
        <v>277</v>
      </c>
      <c r="G4" s="50"/>
      <c r="H4" s="50">
        <v>0</v>
      </c>
      <c r="I4" s="8"/>
      <c r="J4" s="8"/>
    </row>
    <row r="5" spans="1:11" x14ac:dyDescent="0.35">
      <c r="A5" s="53" t="s">
        <v>204</v>
      </c>
      <c r="B5" s="54" t="s">
        <v>119</v>
      </c>
      <c r="C5" s="54" t="s">
        <v>128</v>
      </c>
      <c r="D5" s="50" t="s">
        <v>301</v>
      </c>
      <c r="E5" s="50" t="s">
        <v>276</v>
      </c>
      <c r="F5" s="50" t="s">
        <v>277</v>
      </c>
      <c r="G5" s="50"/>
      <c r="H5" s="50">
        <v>0</v>
      </c>
    </row>
    <row r="6" spans="1:11" x14ac:dyDescent="0.35">
      <c r="A6" s="53" t="s">
        <v>210</v>
      </c>
      <c r="B6" s="54" t="s">
        <v>156</v>
      </c>
      <c r="C6" s="54" t="s">
        <v>133</v>
      </c>
      <c r="D6" s="50">
        <v>0.22222222222222221</v>
      </c>
      <c r="E6" s="50">
        <v>0.25</v>
      </c>
      <c r="F6" s="50">
        <v>0.2951388888888889</v>
      </c>
      <c r="G6" s="50"/>
      <c r="H6" s="50">
        <f t="shared" ref="H6:H56" si="0">MOD(F6-E6, 1)</f>
        <v>4.5138888888888895E-2</v>
      </c>
    </row>
    <row r="7" spans="1:11" x14ac:dyDescent="0.35">
      <c r="A7" s="53" t="s">
        <v>221</v>
      </c>
      <c r="B7" s="54" t="s">
        <v>124</v>
      </c>
      <c r="C7" s="54" t="s">
        <v>134</v>
      </c>
      <c r="D7" s="50" t="s">
        <v>301</v>
      </c>
      <c r="E7" s="50" t="s">
        <v>276</v>
      </c>
      <c r="F7" s="50" t="s">
        <v>277</v>
      </c>
      <c r="G7" s="50"/>
      <c r="H7" s="50">
        <v>0</v>
      </c>
    </row>
    <row r="8" spans="1:11" x14ac:dyDescent="0.35">
      <c r="A8" s="53" t="s">
        <v>187</v>
      </c>
      <c r="B8" s="54" t="s">
        <v>272</v>
      </c>
      <c r="C8" s="54" t="s">
        <v>163</v>
      </c>
      <c r="D8" s="50" t="s">
        <v>301</v>
      </c>
      <c r="E8" s="50" t="s">
        <v>276</v>
      </c>
      <c r="F8" s="50" t="s">
        <v>277</v>
      </c>
      <c r="G8" s="50"/>
      <c r="H8" s="50">
        <v>0</v>
      </c>
    </row>
    <row r="9" spans="1:11" x14ac:dyDescent="0.35">
      <c r="A9" s="53" t="s">
        <v>201</v>
      </c>
      <c r="B9" s="54" t="s">
        <v>151</v>
      </c>
      <c r="C9" s="54" t="s">
        <v>132</v>
      </c>
      <c r="D9" s="50">
        <v>0.17708333333333334</v>
      </c>
      <c r="E9" s="50">
        <v>0.22222222222222221</v>
      </c>
      <c r="F9" s="50">
        <v>0.2326388888888889</v>
      </c>
      <c r="G9" s="50"/>
      <c r="H9" s="50">
        <f t="shared" si="0"/>
        <v>1.0416666666666685E-2</v>
      </c>
    </row>
    <row r="10" spans="1:11" x14ac:dyDescent="0.35">
      <c r="A10" s="53" t="s">
        <v>189</v>
      </c>
      <c r="B10" s="54" t="s">
        <v>151</v>
      </c>
      <c r="C10" s="54" t="s">
        <v>132</v>
      </c>
      <c r="D10" s="50">
        <v>0.17708333333333334</v>
      </c>
      <c r="E10" s="50">
        <v>0.24305555555555555</v>
      </c>
      <c r="F10" s="50">
        <v>0.28125</v>
      </c>
      <c r="G10" s="50"/>
      <c r="H10" s="50">
        <f t="shared" si="0"/>
        <v>3.8194444444444448E-2</v>
      </c>
    </row>
    <row r="11" spans="1:11" x14ac:dyDescent="0.35">
      <c r="A11" s="53" t="s">
        <v>180</v>
      </c>
      <c r="B11" s="54" t="s">
        <v>273</v>
      </c>
      <c r="C11" s="54" t="s">
        <v>133</v>
      </c>
      <c r="D11" s="50" t="s">
        <v>301</v>
      </c>
      <c r="E11" s="50" t="s">
        <v>276</v>
      </c>
      <c r="F11" s="50" t="s">
        <v>277</v>
      </c>
      <c r="G11" s="50"/>
      <c r="H11" s="50">
        <v>0</v>
      </c>
    </row>
    <row r="12" spans="1:11" x14ac:dyDescent="0.35">
      <c r="A12" s="53" t="s">
        <v>177</v>
      </c>
      <c r="B12" s="54" t="s">
        <v>251</v>
      </c>
      <c r="C12" s="54" t="s">
        <v>249</v>
      </c>
      <c r="D12" s="50">
        <v>0.50694444444444442</v>
      </c>
      <c r="E12" s="50">
        <v>0.55208333333333337</v>
      </c>
      <c r="F12" s="50">
        <v>0.56597222222222221</v>
      </c>
      <c r="G12" s="50"/>
      <c r="H12" s="50">
        <f t="shared" si="0"/>
        <v>1.388888888888884E-2</v>
      </c>
      <c r="I12" s="6"/>
      <c r="J12" s="5"/>
      <c r="K12" s="5"/>
    </row>
    <row r="13" spans="1:11" x14ac:dyDescent="0.35">
      <c r="A13" s="53" t="s">
        <v>192</v>
      </c>
      <c r="B13" s="54" t="s">
        <v>251</v>
      </c>
      <c r="C13" s="54" t="s">
        <v>249</v>
      </c>
      <c r="D13" s="50">
        <v>0.50694444444444442</v>
      </c>
      <c r="E13" s="50">
        <v>0.56944444444444442</v>
      </c>
      <c r="F13" s="50">
        <v>0.63194444444444442</v>
      </c>
      <c r="G13" s="50"/>
      <c r="H13" s="50">
        <f t="shared" si="0"/>
        <v>6.25E-2</v>
      </c>
      <c r="I13" s="6"/>
      <c r="J13" s="5"/>
      <c r="K13" s="5"/>
    </row>
    <row r="14" spans="1:11" x14ac:dyDescent="0.35">
      <c r="A14" s="53" t="s">
        <v>189</v>
      </c>
      <c r="B14" s="54" t="s">
        <v>122</v>
      </c>
      <c r="C14" s="54" t="s">
        <v>131</v>
      </c>
      <c r="D14" s="50">
        <v>0.48958333333333331</v>
      </c>
      <c r="E14" s="50">
        <v>0.56597222222222221</v>
      </c>
      <c r="F14" s="50">
        <v>0.57986111111111116</v>
      </c>
      <c r="G14" s="50"/>
      <c r="H14" s="50">
        <f t="shared" si="0"/>
        <v>1.3888888888888951E-2</v>
      </c>
      <c r="I14" s="6"/>
      <c r="J14" s="5"/>
      <c r="K14" s="5"/>
    </row>
    <row r="15" spans="1:11" x14ac:dyDescent="0.35">
      <c r="A15" s="53" t="s">
        <v>199</v>
      </c>
      <c r="B15" s="54" t="s">
        <v>122</v>
      </c>
      <c r="C15" s="54" t="s">
        <v>131</v>
      </c>
      <c r="D15" s="50">
        <v>0.48958333333333331</v>
      </c>
      <c r="E15" s="50">
        <v>0.53819444444444442</v>
      </c>
      <c r="F15" s="50">
        <v>0.55902777777777779</v>
      </c>
      <c r="G15" s="50"/>
      <c r="H15" s="50">
        <f t="shared" si="0"/>
        <v>2.083333333333337E-2</v>
      </c>
      <c r="I15" s="6"/>
      <c r="J15" s="5"/>
      <c r="K15" s="5"/>
    </row>
    <row r="16" spans="1:11" x14ac:dyDescent="0.35">
      <c r="A16" s="53" t="s">
        <v>220</v>
      </c>
      <c r="B16" s="54" t="s">
        <v>228</v>
      </c>
      <c r="C16" s="54" t="s">
        <v>127</v>
      </c>
      <c r="D16" s="50">
        <v>0.4861111111111111</v>
      </c>
      <c r="E16" s="50">
        <v>0.53472222222222221</v>
      </c>
      <c r="F16" s="50">
        <v>0.57291666666666663</v>
      </c>
      <c r="G16" s="50"/>
      <c r="H16" s="50">
        <f t="shared" si="0"/>
        <v>3.819444444444442E-2</v>
      </c>
    </row>
    <row r="17" spans="1:8" x14ac:dyDescent="0.35">
      <c r="A17" s="53" t="s">
        <v>210</v>
      </c>
      <c r="B17" s="54" t="s">
        <v>228</v>
      </c>
      <c r="C17" s="54" t="s">
        <v>127</v>
      </c>
      <c r="D17" s="50">
        <v>0.4861111111111111</v>
      </c>
      <c r="E17" s="50">
        <v>0.57638888888888884</v>
      </c>
      <c r="F17" s="50">
        <v>0.59027777777777779</v>
      </c>
      <c r="G17" s="50"/>
      <c r="H17" s="50">
        <f t="shared" si="0"/>
        <v>1.3888888888888951E-2</v>
      </c>
    </row>
    <row r="18" spans="1:8" x14ac:dyDescent="0.35">
      <c r="A18" s="53" t="s">
        <v>224</v>
      </c>
      <c r="B18" s="54" t="s">
        <v>152</v>
      </c>
      <c r="C18" s="54" t="s">
        <v>134</v>
      </c>
      <c r="D18" s="50">
        <v>0.45833333333333331</v>
      </c>
      <c r="E18" s="50">
        <v>0.49305555555555558</v>
      </c>
      <c r="F18" s="50">
        <v>0.52777777777777779</v>
      </c>
      <c r="G18" s="50"/>
      <c r="H18" s="50">
        <f t="shared" si="0"/>
        <v>3.472222222222221E-2</v>
      </c>
    </row>
    <row r="19" spans="1:8" x14ac:dyDescent="0.35">
      <c r="A19" s="53" t="s">
        <v>205</v>
      </c>
      <c r="B19" s="54" t="s">
        <v>152</v>
      </c>
      <c r="C19" s="54" t="s">
        <v>134</v>
      </c>
      <c r="D19" s="50">
        <v>0.45833333333333331</v>
      </c>
      <c r="E19" s="50">
        <v>0.55208333333333337</v>
      </c>
      <c r="F19" s="50">
        <v>0.5625</v>
      </c>
      <c r="G19" s="50"/>
      <c r="H19" s="50">
        <f t="shared" si="0"/>
        <v>1.041666666666663E-2</v>
      </c>
    </row>
    <row r="20" spans="1:8" x14ac:dyDescent="0.35">
      <c r="A20" s="53" t="s">
        <v>183</v>
      </c>
      <c r="B20" s="54" t="s">
        <v>280</v>
      </c>
      <c r="C20" s="54" t="s">
        <v>141</v>
      </c>
      <c r="D20" s="50">
        <v>0.47569444444444442</v>
      </c>
      <c r="E20" s="50">
        <v>0.59722222222222221</v>
      </c>
      <c r="F20" s="50">
        <v>0.61111111111111116</v>
      </c>
      <c r="G20" s="50"/>
      <c r="H20" s="50">
        <f t="shared" si="0"/>
        <v>1.3888888888888951E-2</v>
      </c>
    </row>
    <row r="21" spans="1:8" x14ac:dyDescent="0.35">
      <c r="A21" s="53" t="s">
        <v>191</v>
      </c>
      <c r="B21" s="54" t="s">
        <v>280</v>
      </c>
      <c r="C21" s="54" t="s">
        <v>141</v>
      </c>
      <c r="D21" s="50">
        <v>0.47569444444444442</v>
      </c>
      <c r="E21" s="50">
        <v>0.51041666666666663</v>
      </c>
      <c r="F21" s="50">
        <v>0.58333333333333337</v>
      </c>
      <c r="G21" s="50"/>
      <c r="H21" s="50">
        <f t="shared" si="0"/>
        <v>7.2916666666666741E-2</v>
      </c>
    </row>
    <row r="22" spans="1:8" x14ac:dyDescent="0.35">
      <c r="A22" s="53" t="s">
        <v>185</v>
      </c>
      <c r="B22" s="54" t="s">
        <v>281</v>
      </c>
      <c r="C22" s="54" t="s">
        <v>232</v>
      </c>
      <c r="D22" s="50" t="s">
        <v>247</v>
      </c>
      <c r="E22" s="50" t="s">
        <v>248</v>
      </c>
      <c r="F22" s="50"/>
      <c r="G22" s="50"/>
      <c r="H22" s="50">
        <v>0</v>
      </c>
    </row>
    <row r="23" spans="1:8" x14ac:dyDescent="0.35">
      <c r="A23" s="53" t="s">
        <v>222</v>
      </c>
      <c r="B23" s="54" t="s">
        <v>281</v>
      </c>
      <c r="C23" s="54" t="s">
        <v>232</v>
      </c>
      <c r="D23" s="50" t="s">
        <v>247</v>
      </c>
      <c r="E23" s="50" t="s">
        <v>248</v>
      </c>
      <c r="F23" s="50"/>
      <c r="G23" s="50"/>
      <c r="H23" s="50">
        <v>0</v>
      </c>
    </row>
    <row r="24" spans="1:8" x14ac:dyDescent="0.35">
      <c r="A24" s="53" t="s">
        <v>181</v>
      </c>
      <c r="B24" s="54" t="s">
        <v>282</v>
      </c>
      <c r="C24" s="54" t="s">
        <v>161</v>
      </c>
      <c r="D24" s="50">
        <v>0.4513888888888889</v>
      </c>
      <c r="E24" s="50">
        <v>0.50694444444444442</v>
      </c>
      <c r="F24" s="50">
        <v>0.63194444444444442</v>
      </c>
      <c r="G24" s="50"/>
      <c r="H24" s="50">
        <f t="shared" si="0"/>
        <v>0.125</v>
      </c>
    </row>
    <row r="25" spans="1:8" x14ac:dyDescent="0.35">
      <c r="A25" s="53" t="s">
        <v>193</v>
      </c>
      <c r="B25" s="54" t="s">
        <v>254</v>
      </c>
      <c r="C25" s="54" t="s">
        <v>260</v>
      </c>
      <c r="D25" s="50">
        <v>0.45833333333333331</v>
      </c>
      <c r="E25" s="50">
        <v>0.5</v>
      </c>
      <c r="F25" s="50">
        <v>0.58680555555555558</v>
      </c>
      <c r="G25" s="50"/>
      <c r="H25" s="50">
        <f t="shared" si="0"/>
        <v>8.680555555555558E-2</v>
      </c>
    </row>
    <row r="26" spans="1:8" x14ac:dyDescent="0.35">
      <c r="A26" s="53" t="s">
        <v>223</v>
      </c>
      <c r="B26" s="54" t="s">
        <v>157</v>
      </c>
      <c r="C26" s="54" t="s">
        <v>158</v>
      </c>
      <c r="D26" s="50">
        <v>0.67361111111111116</v>
      </c>
      <c r="E26" s="50">
        <v>0.70833333333333337</v>
      </c>
      <c r="F26" s="50">
        <v>0.75347222222222221</v>
      </c>
      <c r="G26" s="50"/>
      <c r="H26" s="50">
        <f t="shared" si="0"/>
        <v>4.513888888888884E-2</v>
      </c>
    </row>
    <row r="27" spans="1:8" x14ac:dyDescent="0.35">
      <c r="A27" s="53" t="s">
        <v>208</v>
      </c>
      <c r="B27" s="54" t="s">
        <v>283</v>
      </c>
      <c r="C27" s="54" t="s">
        <v>137</v>
      </c>
      <c r="D27" s="50">
        <v>0.46875</v>
      </c>
      <c r="E27" s="50">
        <v>0.51041666666666663</v>
      </c>
      <c r="F27" s="50">
        <v>0.53125</v>
      </c>
      <c r="G27" s="50"/>
      <c r="H27" s="50">
        <f t="shared" si="0"/>
        <v>2.083333333333337E-2</v>
      </c>
    </row>
    <row r="28" spans="1:8" x14ac:dyDescent="0.35">
      <c r="A28" s="53" t="s">
        <v>202</v>
      </c>
      <c r="B28" s="54" t="s">
        <v>146</v>
      </c>
      <c r="C28" s="54" t="s">
        <v>140</v>
      </c>
      <c r="D28" s="50">
        <v>0.64930555555555558</v>
      </c>
      <c r="E28" s="50">
        <v>0.6875</v>
      </c>
      <c r="F28" s="50">
        <v>0.70833333333333337</v>
      </c>
      <c r="G28" s="50"/>
      <c r="H28" s="50">
        <f t="shared" si="0"/>
        <v>2.083333333333337E-2</v>
      </c>
    </row>
    <row r="29" spans="1:8" x14ac:dyDescent="0.35">
      <c r="A29" s="53" t="s">
        <v>203</v>
      </c>
      <c r="B29" s="54" t="s">
        <v>146</v>
      </c>
      <c r="C29" s="54" t="s">
        <v>140</v>
      </c>
      <c r="D29" s="50">
        <v>0.64930555555555558</v>
      </c>
      <c r="E29" s="50">
        <v>0.71875</v>
      </c>
      <c r="F29" s="50">
        <v>0.73958333333333337</v>
      </c>
      <c r="G29" s="50"/>
      <c r="H29" s="50">
        <f t="shared" si="0"/>
        <v>2.083333333333337E-2</v>
      </c>
    </row>
    <row r="30" spans="1:8" x14ac:dyDescent="0.35">
      <c r="A30" s="53" t="s">
        <v>180</v>
      </c>
      <c r="B30" s="54" t="s">
        <v>284</v>
      </c>
      <c r="C30" s="54" t="s">
        <v>286</v>
      </c>
      <c r="D30" s="50">
        <v>0.63888888888888884</v>
      </c>
      <c r="E30" s="50">
        <v>0.67013888888888884</v>
      </c>
      <c r="F30" s="50">
        <v>0.69444444444444442</v>
      </c>
      <c r="G30" s="50"/>
      <c r="H30" s="50">
        <f t="shared" si="0"/>
        <v>2.430555555555558E-2</v>
      </c>
    </row>
    <row r="31" spans="1:8" x14ac:dyDescent="0.35">
      <c r="A31" s="53" t="s">
        <v>184</v>
      </c>
      <c r="B31" s="54" t="s">
        <v>164</v>
      </c>
      <c r="C31" s="54" t="s">
        <v>154</v>
      </c>
      <c r="D31" s="50">
        <v>0.69444444444444442</v>
      </c>
      <c r="E31" s="50">
        <v>0.77777777777777779</v>
      </c>
      <c r="F31" s="50">
        <v>0.79861111111111116</v>
      </c>
      <c r="G31" s="50"/>
      <c r="H31" s="50">
        <f t="shared" si="0"/>
        <v>2.083333333333337E-2</v>
      </c>
    </row>
    <row r="32" spans="1:8" x14ac:dyDescent="0.35">
      <c r="A32" s="53" t="s">
        <v>184</v>
      </c>
      <c r="B32" s="54" t="s">
        <v>285</v>
      </c>
      <c r="C32" s="54" t="s">
        <v>173</v>
      </c>
      <c r="D32" s="50">
        <v>0.57986111111111116</v>
      </c>
      <c r="E32" s="50">
        <v>0.61111111111111116</v>
      </c>
      <c r="F32" s="50">
        <v>0.73611111111111116</v>
      </c>
      <c r="G32" s="50"/>
      <c r="H32" s="50">
        <f t="shared" si="0"/>
        <v>0.125</v>
      </c>
    </row>
    <row r="33" spans="1:8" x14ac:dyDescent="0.35">
      <c r="A33" s="53" t="s">
        <v>184</v>
      </c>
      <c r="B33" s="54" t="s">
        <v>144</v>
      </c>
      <c r="C33" s="54" t="s">
        <v>138</v>
      </c>
      <c r="D33" s="50">
        <v>0.5625</v>
      </c>
      <c r="E33" s="50">
        <v>0.60763888888888884</v>
      </c>
      <c r="F33" s="50">
        <v>0.69444444444444442</v>
      </c>
      <c r="G33" s="50"/>
      <c r="H33" s="50">
        <f t="shared" si="0"/>
        <v>8.680555555555558E-2</v>
      </c>
    </row>
    <row r="34" spans="1:8" x14ac:dyDescent="0.35">
      <c r="A34" s="53" t="s">
        <v>181</v>
      </c>
      <c r="B34" s="54" t="s">
        <v>125</v>
      </c>
      <c r="C34" s="54" t="s">
        <v>163</v>
      </c>
      <c r="D34" s="50">
        <v>0.66319444444444442</v>
      </c>
      <c r="E34" s="50">
        <v>0.70833333333333337</v>
      </c>
      <c r="F34" s="50">
        <v>0.71527777777777779</v>
      </c>
      <c r="G34" s="50"/>
      <c r="H34" s="50">
        <f t="shared" si="0"/>
        <v>6.9444444444444198E-3</v>
      </c>
    </row>
    <row r="35" spans="1:8" x14ac:dyDescent="0.35">
      <c r="A35" s="53" t="s">
        <v>182</v>
      </c>
      <c r="B35" s="54" t="s">
        <v>288</v>
      </c>
      <c r="C35" s="54" t="s">
        <v>287</v>
      </c>
      <c r="D35" s="50" t="s">
        <v>247</v>
      </c>
      <c r="E35" s="50" t="s">
        <v>248</v>
      </c>
      <c r="F35" s="50"/>
      <c r="G35" s="50"/>
      <c r="H35" s="50">
        <v>0</v>
      </c>
    </row>
    <row r="36" spans="1:8" x14ac:dyDescent="0.35">
      <c r="A36" s="53" t="s">
        <v>174</v>
      </c>
      <c r="B36" s="54" t="s">
        <v>230</v>
      </c>
      <c r="C36" s="54" t="s">
        <v>225</v>
      </c>
      <c r="D36" s="50" t="s">
        <v>247</v>
      </c>
      <c r="E36" s="50" t="s">
        <v>248</v>
      </c>
      <c r="F36" s="50"/>
      <c r="G36" s="50"/>
      <c r="H36" s="50">
        <v>0</v>
      </c>
    </row>
    <row r="37" spans="1:8" x14ac:dyDescent="0.35">
      <c r="A37" s="53" t="s">
        <v>186</v>
      </c>
      <c r="B37" s="54" t="s">
        <v>125</v>
      </c>
      <c r="C37" s="54" t="s">
        <v>258</v>
      </c>
      <c r="D37" s="50" t="s">
        <v>247</v>
      </c>
      <c r="E37" s="50" t="s">
        <v>248</v>
      </c>
      <c r="F37" s="50"/>
      <c r="G37" s="50"/>
      <c r="H37" s="50">
        <v>0</v>
      </c>
    </row>
    <row r="38" spans="1:8" x14ac:dyDescent="0.35">
      <c r="A38" s="53" t="s">
        <v>212</v>
      </c>
      <c r="B38" s="54" t="s">
        <v>160</v>
      </c>
      <c r="C38" s="54" t="s">
        <v>159</v>
      </c>
      <c r="D38" s="50">
        <v>0.69097222222222221</v>
      </c>
      <c r="E38" s="50">
        <v>0.73958333333333337</v>
      </c>
      <c r="F38" s="50">
        <v>0.76736111111111116</v>
      </c>
      <c r="G38" s="50"/>
      <c r="H38" s="50">
        <f t="shared" si="0"/>
        <v>2.777777777777779E-2</v>
      </c>
    </row>
    <row r="39" spans="1:8" x14ac:dyDescent="0.35">
      <c r="A39" s="53" t="s">
        <v>188</v>
      </c>
      <c r="B39" s="54" t="s">
        <v>151</v>
      </c>
      <c r="C39" s="54" t="s">
        <v>132</v>
      </c>
      <c r="D39" s="50">
        <v>0.63888888888888884</v>
      </c>
      <c r="E39" s="50">
        <v>0.76388888888888884</v>
      </c>
      <c r="F39" s="50">
        <v>0.85763888888888884</v>
      </c>
      <c r="G39" s="50"/>
      <c r="H39" s="50">
        <f t="shared" si="0"/>
        <v>9.375E-2</v>
      </c>
    </row>
    <row r="40" spans="1:8" x14ac:dyDescent="0.35">
      <c r="A40" s="53" t="s">
        <v>217</v>
      </c>
      <c r="B40" s="54" t="s">
        <v>156</v>
      </c>
      <c r="C40" s="54" t="s">
        <v>133</v>
      </c>
      <c r="D40" s="50">
        <v>0.61805555555555558</v>
      </c>
      <c r="E40" s="50">
        <v>0.65277777777777779</v>
      </c>
      <c r="F40" s="50">
        <v>0.70833333333333337</v>
      </c>
      <c r="G40" s="50"/>
      <c r="H40" s="50">
        <f t="shared" si="0"/>
        <v>5.555555555555558E-2</v>
      </c>
    </row>
    <row r="41" spans="1:8" x14ac:dyDescent="0.35">
      <c r="A41" s="53" t="s">
        <v>208</v>
      </c>
      <c r="B41" s="54" t="s">
        <v>252</v>
      </c>
      <c r="C41" s="54" t="s">
        <v>250</v>
      </c>
      <c r="D41" s="50">
        <v>0.70833333333333337</v>
      </c>
      <c r="E41" s="50">
        <v>0.77777777777777779</v>
      </c>
      <c r="F41" s="50">
        <v>0.79513888888888884</v>
      </c>
      <c r="G41" s="50"/>
      <c r="H41" s="50">
        <f t="shared" si="0"/>
        <v>1.7361111111111049E-2</v>
      </c>
    </row>
    <row r="42" spans="1:8" x14ac:dyDescent="0.35">
      <c r="A42" s="53" t="s">
        <v>209</v>
      </c>
      <c r="B42" s="54" t="s">
        <v>157</v>
      </c>
      <c r="C42" s="54" t="s">
        <v>158</v>
      </c>
      <c r="D42" s="50">
        <v>0.5</v>
      </c>
      <c r="E42" s="50">
        <v>0.53472222222222221</v>
      </c>
      <c r="F42" s="50">
        <v>0.57638888888888884</v>
      </c>
      <c r="G42" s="50"/>
      <c r="H42" s="50">
        <f t="shared" si="0"/>
        <v>4.166666666666663E-2</v>
      </c>
    </row>
    <row r="43" spans="1:8" x14ac:dyDescent="0.35">
      <c r="A43" s="53" t="s">
        <v>219</v>
      </c>
      <c r="B43" s="54" t="s">
        <v>289</v>
      </c>
      <c r="C43" s="54" t="s">
        <v>167</v>
      </c>
      <c r="D43" s="50" t="s">
        <v>247</v>
      </c>
      <c r="E43" s="50" t="s">
        <v>248</v>
      </c>
      <c r="F43" s="50"/>
      <c r="G43" s="50"/>
      <c r="H43" s="50">
        <v>0</v>
      </c>
    </row>
    <row r="44" spans="1:8" x14ac:dyDescent="0.35">
      <c r="A44" s="53" t="s">
        <v>219</v>
      </c>
      <c r="B44" s="54" t="s">
        <v>290</v>
      </c>
      <c r="C44" s="54" t="s">
        <v>226</v>
      </c>
      <c r="D44" s="50">
        <v>0.77430555555555558</v>
      </c>
      <c r="E44" s="50">
        <v>0.81944444444444442</v>
      </c>
      <c r="F44" s="50">
        <v>0.84375</v>
      </c>
      <c r="G44" s="50"/>
      <c r="H44" s="50">
        <f t="shared" si="0"/>
        <v>2.430555555555558E-2</v>
      </c>
    </row>
    <row r="45" spans="1:8" x14ac:dyDescent="0.35">
      <c r="A45" s="53" t="s">
        <v>224</v>
      </c>
      <c r="B45" s="54" t="s">
        <v>295</v>
      </c>
      <c r="C45" s="54" t="s">
        <v>296</v>
      </c>
      <c r="D45" s="50">
        <v>0.78472222222222221</v>
      </c>
      <c r="E45" s="50">
        <v>0.82638888888888884</v>
      </c>
      <c r="F45" s="50">
        <v>0.84375</v>
      </c>
      <c r="G45" s="50"/>
      <c r="H45" s="50">
        <f t="shared" si="0"/>
        <v>1.736111111111116E-2</v>
      </c>
    </row>
    <row r="46" spans="1:8" x14ac:dyDescent="0.35">
      <c r="A46" s="53" t="s">
        <v>193</v>
      </c>
      <c r="B46" s="54" t="s">
        <v>149</v>
      </c>
      <c r="C46" s="54" t="s">
        <v>129</v>
      </c>
      <c r="D46" s="50">
        <v>0.65277777777777779</v>
      </c>
      <c r="E46" s="50">
        <v>0.69097222222222221</v>
      </c>
      <c r="F46" s="50">
        <v>0.875</v>
      </c>
      <c r="G46" s="50"/>
      <c r="H46" s="50">
        <f t="shared" si="0"/>
        <v>0.18402777777777779</v>
      </c>
    </row>
    <row r="47" spans="1:8" x14ac:dyDescent="0.35">
      <c r="A47" s="53" t="s">
        <v>194</v>
      </c>
      <c r="B47" s="54" t="s">
        <v>297</v>
      </c>
      <c r="C47" s="54" t="s">
        <v>298</v>
      </c>
      <c r="D47" s="50" t="s">
        <v>247</v>
      </c>
      <c r="E47" s="50" t="s">
        <v>248</v>
      </c>
      <c r="F47" s="50"/>
      <c r="G47" s="50"/>
      <c r="H47" s="50">
        <v>0</v>
      </c>
    </row>
    <row r="48" spans="1:8" x14ac:dyDescent="0.35">
      <c r="A48" s="53" t="s">
        <v>178</v>
      </c>
      <c r="B48" s="54" t="s">
        <v>117</v>
      </c>
      <c r="C48" s="54" t="s">
        <v>126</v>
      </c>
      <c r="D48" s="50">
        <v>0.78819444444444442</v>
      </c>
      <c r="E48" s="50">
        <v>0.84375</v>
      </c>
      <c r="F48" s="50">
        <v>0.86111111111111116</v>
      </c>
      <c r="G48" s="50"/>
      <c r="H48" s="50">
        <f t="shared" si="0"/>
        <v>1.736111111111116E-2</v>
      </c>
    </row>
    <row r="49" spans="1:8" x14ac:dyDescent="0.35">
      <c r="A49" s="53" t="s">
        <v>196</v>
      </c>
      <c r="B49" s="54" t="s">
        <v>150</v>
      </c>
      <c r="C49" s="54" t="s">
        <v>139</v>
      </c>
      <c r="D49" s="50">
        <v>0.83680555555555558</v>
      </c>
      <c r="E49" s="50">
        <v>0.87847222222222221</v>
      </c>
      <c r="F49" s="50">
        <v>0.89930555555555558</v>
      </c>
      <c r="G49" s="50"/>
      <c r="H49" s="50">
        <f t="shared" si="0"/>
        <v>2.083333333333337E-2</v>
      </c>
    </row>
    <row r="50" spans="1:8" x14ac:dyDescent="0.35">
      <c r="A50" s="53" t="s">
        <v>199</v>
      </c>
      <c r="B50" s="54" t="s">
        <v>172</v>
      </c>
      <c r="C50" s="54" t="s">
        <v>171</v>
      </c>
      <c r="D50" s="50">
        <v>0.79513888888888884</v>
      </c>
      <c r="E50" s="50">
        <v>0.84027777777777779</v>
      </c>
      <c r="F50" s="50">
        <v>0.85763888888888884</v>
      </c>
      <c r="G50" s="50"/>
      <c r="H50" s="50">
        <f t="shared" si="0"/>
        <v>1.7361111111111049E-2</v>
      </c>
    </row>
    <row r="51" spans="1:8" x14ac:dyDescent="0.35">
      <c r="A51" s="53" t="s">
        <v>179</v>
      </c>
      <c r="B51" s="54" t="s">
        <v>228</v>
      </c>
      <c r="C51" s="54" t="s">
        <v>127</v>
      </c>
      <c r="D51" s="50">
        <v>0.80555555555555558</v>
      </c>
      <c r="E51" s="50">
        <v>0.84027777777777779</v>
      </c>
      <c r="F51" s="50">
        <v>0.86458333333333337</v>
      </c>
      <c r="G51" s="50"/>
      <c r="H51" s="50">
        <f t="shared" si="0"/>
        <v>2.430555555555558E-2</v>
      </c>
    </row>
    <row r="52" spans="1:8" x14ac:dyDescent="0.35">
      <c r="A52" s="53" t="s">
        <v>205</v>
      </c>
      <c r="B52" s="54" t="s">
        <v>124</v>
      </c>
      <c r="C52" s="54" t="s">
        <v>134</v>
      </c>
      <c r="D52" s="50">
        <v>0.75347222222222221</v>
      </c>
      <c r="E52" s="50">
        <v>0.80902777777777779</v>
      </c>
      <c r="F52" s="50">
        <v>0.82638888888888884</v>
      </c>
      <c r="G52" s="50"/>
      <c r="H52" s="50">
        <f t="shared" si="0"/>
        <v>1.7361111111111049E-2</v>
      </c>
    </row>
    <row r="53" spans="1:8" x14ac:dyDescent="0.35">
      <c r="A53" s="53" t="s">
        <v>191</v>
      </c>
      <c r="B53" s="54" t="s">
        <v>162</v>
      </c>
      <c r="C53" s="54" t="s">
        <v>161</v>
      </c>
      <c r="D53" s="50">
        <v>0.77083333333333337</v>
      </c>
      <c r="E53" s="50">
        <v>0.82291666666666663</v>
      </c>
      <c r="F53" s="50">
        <v>0.85763888888888884</v>
      </c>
      <c r="G53" s="50"/>
      <c r="H53" s="50">
        <f t="shared" si="0"/>
        <v>3.472222222222221E-2</v>
      </c>
    </row>
    <row r="54" spans="1:8" x14ac:dyDescent="0.35">
      <c r="A54" s="53" t="s">
        <v>197</v>
      </c>
      <c r="B54" s="54" t="s">
        <v>264</v>
      </c>
      <c r="C54" s="54" t="s">
        <v>265</v>
      </c>
      <c r="D54" s="50" t="s">
        <v>301</v>
      </c>
      <c r="E54" s="50" t="s">
        <v>276</v>
      </c>
      <c r="F54" s="50" t="s">
        <v>277</v>
      </c>
      <c r="G54" s="50"/>
      <c r="H54" s="50">
        <v>0</v>
      </c>
    </row>
    <row r="55" spans="1:8" x14ac:dyDescent="0.35">
      <c r="A55" s="53" t="s">
        <v>218</v>
      </c>
      <c r="B55" s="54" t="s">
        <v>122</v>
      </c>
      <c r="C55" s="54" t="s">
        <v>131</v>
      </c>
      <c r="D55" s="50">
        <v>0.79861111111111116</v>
      </c>
      <c r="E55" s="50">
        <v>0.84375</v>
      </c>
      <c r="F55" s="50">
        <v>0.86111111111111116</v>
      </c>
      <c r="G55" s="50"/>
      <c r="H55" s="50">
        <f t="shared" si="0"/>
        <v>1.736111111111116E-2</v>
      </c>
    </row>
    <row r="56" spans="1:8" x14ac:dyDescent="0.35">
      <c r="A56" s="53" t="s">
        <v>223</v>
      </c>
      <c r="B56" s="54" t="s">
        <v>254</v>
      </c>
      <c r="C56" s="54" t="s">
        <v>260</v>
      </c>
      <c r="D56" s="50">
        <v>0.82986111111111116</v>
      </c>
      <c r="E56" s="50">
        <v>0.87152777777777779</v>
      </c>
      <c r="F56" s="50">
        <v>0.88541666666666663</v>
      </c>
      <c r="G56" s="50"/>
      <c r="H56" s="50">
        <f t="shared" si="0"/>
        <v>1.388888888888884E-2</v>
      </c>
    </row>
    <row r="57" spans="1:8" x14ac:dyDescent="0.35">
      <c r="A57" s="53" t="s">
        <v>183</v>
      </c>
      <c r="B57" s="54" t="s">
        <v>257</v>
      </c>
      <c r="C57" s="54" t="s">
        <v>263</v>
      </c>
      <c r="D57" s="50" t="s">
        <v>247</v>
      </c>
      <c r="E57" s="50" t="s">
        <v>248</v>
      </c>
      <c r="F57" s="50"/>
      <c r="G57" s="50"/>
      <c r="H57" s="50">
        <v>0</v>
      </c>
    </row>
    <row r="58" spans="1:8" x14ac:dyDescent="0.35">
      <c r="A58" s="53" t="s">
        <v>214</v>
      </c>
      <c r="B58" s="54" t="s">
        <v>299</v>
      </c>
      <c r="C58" s="54" t="s">
        <v>265</v>
      </c>
      <c r="D58" s="50" t="s">
        <v>301</v>
      </c>
      <c r="E58" s="50" t="s">
        <v>276</v>
      </c>
      <c r="F58" s="50" t="s">
        <v>277</v>
      </c>
      <c r="G58" s="50"/>
      <c r="H58" s="50">
        <v>0</v>
      </c>
    </row>
    <row r="59" spans="1:8" x14ac:dyDescent="0.35">
      <c r="A59" s="53" t="s">
        <v>214</v>
      </c>
      <c r="B59" s="54" t="s">
        <v>300</v>
      </c>
      <c r="C59" s="54" t="s">
        <v>302</v>
      </c>
      <c r="D59" s="50">
        <v>0.77083333333333337</v>
      </c>
      <c r="E59" s="50">
        <v>0.82986111111111116</v>
      </c>
      <c r="F59" s="50">
        <v>0.83333333333333337</v>
      </c>
      <c r="G59" s="50"/>
      <c r="H59" s="50">
        <f t="shared" ref="H59:H68" si="1">MOD(F59-E59, 1)</f>
        <v>3.4722222222222099E-3</v>
      </c>
    </row>
    <row r="60" spans="1:8" x14ac:dyDescent="0.35">
      <c r="A60" s="53" t="s">
        <v>206</v>
      </c>
      <c r="B60" s="54" t="s">
        <v>293</v>
      </c>
      <c r="C60" s="54" t="s">
        <v>128</v>
      </c>
      <c r="D60" s="50">
        <v>0.83333333333333337</v>
      </c>
      <c r="E60" s="50">
        <v>0.85069444444444442</v>
      </c>
      <c r="F60" s="50">
        <v>0.88888888888888884</v>
      </c>
      <c r="G60" s="50"/>
      <c r="H60" s="50">
        <f t="shared" si="1"/>
        <v>3.819444444444442E-2</v>
      </c>
    </row>
    <row r="61" spans="1:8" x14ac:dyDescent="0.35">
      <c r="A61" s="53" t="s">
        <v>216</v>
      </c>
      <c r="B61" s="54" t="s">
        <v>267</v>
      </c>
      <c r="C61" s="54" t="s">
        <v>269</v>
      </c>
      <c r="D61" s="50">
        <v>0.82291666666666663</v>
      </c>
      <c r="E61" s="50">
        <v>0.84722222222222221</v>
      </c>
      <c r="F61" s="50">
        <v>0.87152777777777779</v>
      </c>
      <c r="G61" s="50"/>
      <c r="H61" s="50">
        <f t="shared" si="1"/>
        <v>2.430555555555558E-2</v>
      </c>
    </row>
    <row r="62" spans="1:8" x14ac:dyDescent="0.35">
      <c r="A62" s="53" t="s">
        <v>210</v>
      </c>
      <c r="B62" s="54" t="s">
        <v>256</v>
      </c>
      <c r="C62" s="54" t="s">
        <v>262</v>
      </c>
      <c r="D62" s="50">
        <v>0.83333333333333337</v>
      </c>
      <c r="E62" s="50">
        <v>0.86111111111111116</v>
      </c>
      <c r="F62" s="50">
        <v>0.88541666666666663</v>
      </c>
      <c r="G62" s="50"/>
      <c r="H62" s="50">
        <f t="shared" si="1"/>
        <v>2.4305555555555469E-2</v>
      </c>
    </row>
    <row r="63" spans="1:8" x14ac:dyDescent="0.35">
      <c r="A63" s="53" t="s">
        <v>176</v>
      </c>
      <c r="B63" s="54" t="s">
        <v>251</v>
      </c>
      <c r="C63" s="54" t="s">
        <v>249</v>
      </c>
      <c r="D63" s="50" t="s">
        <v>301</v>
      </c>
      <c r="E63" s="50" t="s">
        <v>276</v>
      </c>
      <c r="F63" s="50" t="s">
        <v>277</v>
      </c>
      <c r="G63" s="50"/>
      <c r="H63" s="50">
        <v>0</v>
      </c>
    </row>
    <row r="64" spans="1:8" x14ac:dyDescent="0.35">
      <c r="A64" s="53" t="s">
        <v>200</v>
      </c>
      <c r="B64" s="54" t="s">
        <v>229</v>
      </c>
      <c r="C64" s="54" t="s">
        <v>291</v>
      </c>
      <c r="D64" s="50" t="s">
        <v>247</v>
      </c>
      <c r="E64" s="50" t="s">
        <v>248</v>
      </c>
      <c r="F64" s="50"/>
      <c r="G64" s="50"/>
      <c r="H64" s="50">
        <v>0</v>
      </c>
    </row>
    <row r="65" spans="1:8" x14ac:dyDescent="0.35">
      <c r="A65" s="53" t="s">
        <v>185</v>
      </c>
      <c r="B65" s="54" t="s">
        <v>278</v>
      </c>
      <c r="C65" s="54" t="s">
        <v>292</v>
      </c>
      <c r="D65" s="50">
        <v>0.82986111111111116</v>
      </c>
      <c r="E65" s="50">
        <v>0.85763888888888884</v>
      </c>
      <c r="F65" s="50">
        <v>0.86458333333333337</v>
      </c>
      <c r="G65" s="50"/>
      <c r="H65" s="50">
        <f t="shared" si="1"/>
        <v>6.9444444444445308E-3</v>
      </c>
    </row>
    <row r="66" spans="1:8" x14ac:dyDescent="0.35">
      <c r="A66" s="53" t="s">
        <v>222</v>
      </c>
      <c r="B66" s="54" t="s">
        <v>278</v>
      </c>
      <c r="C66" s="54" t="s">
        <v>292</v>
      </c>
      <c r="D66" s="50">
        <v>0.82986111111111116</v>
      </c>
      <c r="E66" s="50">
        <v>0.84027777777777779</v>
      </c>
      <c r="F66" s="50">
        <v>0.85416666666666663</v>
      </c>
      <c r="G66" s="50"/>
      <c r="H66" s="50">
        <f t="shared" si="1"/>
        <v>1.388888888888884E-2</v>
      </c>
    </row>
    <row r="67" spans="1:8" x14ac:dyDescent="0.35">
      <c r="A67" s="53" t="s">
        <v>220</v>
      </c>
      <c r="B67" s="54" t="s">
        <v>169</v>
      </c>
      <c r="C67" s="54" t="s">
        <v>170</v>
      </c>
      <c r="D67" s="50">
        <v>0.84722222222222221</v>
      </c>
      <c r="E67" s="50">
        <v>0.88194444444444442</v>
      </c>
      <c r="F67" s="50">
        <v>0.89930555555555558</v>
      </c>
      <c r="G67" s="50"/>
      <c r="H67" s="50">
        <f t="shared" si="1"/>
        <v>1.736111111111116E-2</v>
      </c>
    </row>
    <row r="68" spans="1:8" x14ac:dyDescent="0.35">
      <c r="A68" s="53" t="s">
        <v>294</v>
      </c>
      <c r="B68" s="54"/>
      <c r="C68" s="54"/>
      <c r="D68" s="50"/>
      <c r="E68" s="50"/>
      <c r="F68" s="50"/>
      <c r="G68" s="50"/>
      <c r="H68" s="50">
        <f t="shared" si="1"/>
        <v>0</v>
      </c>
    </row>
  </sheetData>
  <autoFilter ref="A2:F29" xr:uid="{00000000-0001-0000-0000-000000000000}">
    <sortState xmlns:xlrd2="http://schemas.microsoft.com/office/spreadsheetml/2017/richdata2" ref="A3:F9">
      <sortCondition ref="A2"/>
    </sortState>
  </autoFilter>
  <conditionalFormatting sqref="H3:H68">
    <cfRule type="cellIs" dxfId="17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666C9-B0D7-4F94-AAAA-267FF835DEC7}">
  <sheetPr>
    <pageSetUpPr fitToPage="1"/>
  </sheetPr>
  <dimension ref="A1:K69"/>
  <sheetViews>
    <sheetView showGridLines="0" zoomScale="70" zoomScaleNormal="70" workbookViewId="0">
      <pane ySplit="2" topLeftCell="A30" activePane="bottomLeft" state="frozen"/>
      <selection pane="bottomLeft" activeCell="F52" sqref="F52"/>
    </sheetView>
  </sheetViews>
  <sheetFormatPr defaultColWidth="23.7109375" defaultRowHeight="23.25" x14ac:dyDescent="0.35"/>
  <cols>
    <col min="1" max="1" width="38.140625" style="29" bestFit="1" customWidth="1"/>
    <col min="2" max="2" width="50.42578125" style="7" bestFit="1" customWidth="1"/>
    <col min="3" max="3" width="19.140625" style="6" customWidth="1"/>
    <col min="4" max="4" width="22.7109375" style="5" bestFit="1" customWidth="1"/>
    <col min="5" max="5" width="25.28515625" style="5" bestFit="1" customWidth="1"/>
    <col min="6" max="6" width="27.42578125" style="3" bestFit="1" customWidth="1"/>
    <col min="7" max="7" width="23.7109375" style="1"/>
    <col min="8" max="8" width="24.85546875" style="28" bestFit="1" customWidth="1"/>
    <col min="9" max="16384" width="23.7109375" style="1"/>
  </cols>
  <sheetData>
    <row r="1" spans="1:10" ht="96.75" customHeight="1" x14ac:dyDescent="0.35">
      <c r="A1" s="39" t="s">
        <v>4</v>
      </c>
      <c r="B1" s="40"/>
      <c r="C1" s="41"/>
      <c r="D1" s="42"/>
      <c r="E1" s="42"/>
      <c r="F1" s="43"/>
      <c r="G1" s="44"/>
      <c r="H1" s="51"/>
    </row>
    <row r="2" spans="1:10" s="2" customFormat="1" x14ac:dyDescent="0.35">
      <c r="A2" s="45" t="s">
        <v>0</v>
      </c>
      <c r="B2" s="45" t="s">
        <v>1</v>
      </c>
      <c r="C2" s="45" t="s">
        <v>2</v>
      </c>
      <c r="D2" s="46" t="s">
        <v>3</v>
      </c>
      <c r="E2" s="46" t="s">
        <v>236</v>
      </c>
      <c r="F2" s="45" t="s">
        <v>5</v>
      </c>
      <c r="G2" s="47"/>
      <c r="H2" s="48" t="s">
        <v>274</v>
      </c>
    </row>
    <row r="3" spans="1:10" x14ac:dyDescent="0.35">
      <c r="A3" s="53" t="s">
        <v>207</v>
      </c>
      <c r="B3" s="54" t="s">
        <v>147</v>
      </c>
      <c r="C3" s="54" t="s">
        <v>130</v>
      </c>
      <c r="D3" s="50">
        <v>0.2013888888888889</v>
      </c>
      <c r="E3" s="50">
        <v>0.22222222222222221</v>
      </c>
      <c r="F3" s="50">
        <v>0.30902777777777779</v>
      </c>
      <c r="G3" s="50"/>
      <c r="H3" s="50">
        <f t="shared" ref="H3:H66" si="0">MOD(F3-E3, 1)</f>
        <v>8.680555555555558E-2</v>
      </c>
    </row>
    <row r="4" spans="1:10" s="4" customFormat="1" x14ac:dyDescent="0.35">
      <c r="A4" s="53" t="s">
        <v>195</v>
      </c>
      <c r="B4" s="54" t="s">
        <v>270</v>
      </c>
      <c r="C4" s="54" t="s">
        <v>141</v>
      </c>
      <c r="D4" s="50">
        <v>0.2013888888888889</v>
      </c>
      <c r="E4" s="50">
        <v>0.22569444444444445</v>
      </c>
      <c r="F4" s="50">
        <v>0.2951388888888889</v>
      </c>
      <c r="G4" s="50"/>
      <c r="H4" s="50">
        <f t="shared" si="0"/>
        <v>6.9444444444444448E-2</v>
      </c>
    </row>
    <row r="5" spans="1:10" s="4" customFormat="1" x14ac:dyDescent="0.35">
      <c r="A5" s="53" t="s">
        <v>204</v>
      </c>
      <c r="B5" s="54" t="s">
        <v>119</v>
      </c>
      <c r="C5" s="54" t="s">
        <v>128</v>
      </c>
      <c r="D5" s="50">
        <v>0.18402777777777779</v>
      </c>
      <c r="E5" s="50">
        <v>0.2048611111111111</v>
      </c>
      <c r="F5" s="50">
        <v>0.27777777777777779</v>
      </c>
      <c r="G5" s="50"/>
      <c r="H5" s="50">
        <f t="shared" si="0"/>
        <v>7.2916666666666685E-2</v>
      </c>
    </row>
    <row r="6" spans="1:10" x14ac:dyDescent="0.35">
      <c r="A6" s="53" t="s">
        <v>201</v>
      </c>
      <c r="B6" s="54" t="s">
        <v>151</v>
      </c>
      <c r="C6" s="54" t="s">
        <v>132</v>
      </c>
      <c r="D6" s="50">
        <v>0.18402777777777779</v>
      </c>
      <c r="E6" s="50">
        <v>0.21180555555555555</v>
      </c>
      <c r="F6" s="50">
        <v>0.22569444444444445</v>
      </c>
      <c r="G6" s="50"/>
      <c r="H6" s="50">
        <f t="shared" si="0"/>
        <v>1.3888888888888895E-2</v>
      </c>
    </row>
    <row r="7" spans="1:10" x14ac:dyDescent="0.35">
      <c r="A7" s="53" t="s">
        <v>189</v>
      </c>
      <c r="B7" s="54" t="s">
        <v>151</v>
      </c>
      <c r="C7" s="54" t="s">
        <v>132</v>
      </c>
      <c r="D7" s="50">
        <v>0.18402777777777779</v>
      </c>
      <c r="E7" s="50">
        <v>0.22916666666666666</v>
      </c>
      <c r="F7" s="50">
        <v>0.28125</v>
      </c>
      <c r="G7" s="50"/>
      <c r="H7" s="50">
        <f t="shared" si="0"/>
        <v>5.2083333333333343E-2</v>
      </c>
    </row>
    <row r="8" spans="1:10" x14ac:dyDescent="0.35">
      <c r="A8" s="53" t="s">
        <v>177</v>
      </c>
      <c r="B8" s="54" t="s">
        <v>117</v>
      </c>
      <c r="C8" s="54" t="s">
        <v>126</v>
      </c>
      <c r="D8" s="50">
        <v>0.19097222222222221</v>
      </c>
      <c r="E8" s="50">
        <v>0.21875</v>
      </c>
      <c r="F8" s="50">
        <v>0.30208333333333331</v>
      </c>
      <c r="G8" s="50"/>
      <c r="H8" s="50">
        <f t="shared" si="0"/>
        <v>8.3333333333333315E-2</v>
      </c>
    </row>
    <row r="9" spans="1:10" s="4" customFormat="1" x14ac:dyDescent="0.35">
      <c r="A9" s="53" t="s">
        <v>192</v>
      </c>
      <c r="B9" s="54" t="s">
        <v>117</v>
      </c>
      <c r="C9" s="54" t="s">
        <v>126</v>
      </c>
      <c r="D9" s="50">
        <v>0.19097222222222221</v>
      </c>
      <c r="E9" s="50">
        <v>0.30555555555555558</v>
      </c>
      <c r="F9" s="50">
        <v>0.31597222222222221</v>
      </c>
      <c r="G9" s="50"/>
      <c r="H9" s="50">
        <f t="shared" si="0"/>
        <v>1.041666666666663E-2</v>
      </c>
      <c r="I9" s="8"/>
      <c r="J9" s="8"/>
    </row>
    <row r="10" spans="1:10" s="4" customFormat="1" x14ac:dyDescent="0.35">
      <c r="A10" s="53" t="s">
        <v>180</v>
      </c>
      <c r="B10" s="54" t="s">
        <v>123</v>
      </c>
      <c r="C10" s="54" t="s">
        <v>133</v>
      </c>
      <c r="D10" s="50">
        <v>0.25694444444444442</v>
      </c>
      <c r="E10" s="50">
        <v>0.31944444444444442</v>
      </c>
      <c r="F10" s="50">
        <v>0.48958333333333331</v>
      </c>
      <c r="G10" s="50"/>
      <c r="H10" s="50">
        <f t="shared" si="0"/>
        <v>0.1701388888888889</v>
      </c>
      <c r="I10" s="8"/>
      <c r="J10" s="8"/>
    </row>
    <row r="11" spans="1:10" x14ac:dyDescent="0.35">
      <c r="A11" s="53" t="s">
        <v>221</v>
      </c>
      <c r="B11" s="54" t="s">
        <v>152</v>
      </c>
      <c r="C11" s="54" t="s">
        <v>134</v>
      </c>
      <c r="D11" s="50">
        <v>0.14583333333333334</v>
      </c>
      <c r="E11" s="50">
        <v>0.18055555555555555</v>
      </c>
      <c r="F11" s="50">
        <v>0.28819444444444442</v>
      </c>
      <c r="G11" s="50"/>
      <c r="H11" s="50">
        <f t="shared" si="0"/>
        <v>0.10763888888888887</v>
      </c>
      <c r="I11" s="8"/>
      <c r="J11" s="8"/>
    </row>
    <row r="12" spans="1:10" x14ac:dyDescent="0.35">
      <c r="A12" s="53" t="s">
        <v>187</v>
      </c>
      <c r="B12" s="54" t="s">
        <v>272</v>
      </c>
      <c r="C12" s="54" t="s">
        <v>163</v>
      </c>
      <c r="D12" s="50">
        <v>0</v>
      </c>
      <c r="E12" s="50">
        <v>0.27083333333333331</v>
      </c>
      <c r="F12" s="50">
        <v>0.30555555555555558</v>
      </c>
      <c r="G12" s="50"/>
      <c r="H12" s="50">
        <f t="shared" si="0"/>
        <v>3.4722222222222265E-2</v>
      </c>
    </row>
    <row r="13" spans="1:10" x14ac:dyDescent="0.35">
      <c r="A13" s="53" t="s">
        <v>202</v>
      </c>
      <c r="B13" s="54" t="s">
        <v>228</v>
      </c>
      <c r="C13" s="54" t="s">
        <v>127</v>
      </c>
      <c r="D13" s="50">
        <v>0.61805555555555558</v>
      </c>
      <c r="E13" s="50">
        <v>0.65625</v>
      </c>
      <c r="F13" s="50">
        <v>0.66666666666666663</v>
      </c>
      <c r="G13" s="50"/>
      <c r="H13" s="50">
        <f t="shared" si="0"/>
        <v>1.041666666666663E-2</v>
      </c>
    </row>
    <row r="14" spans="1:10" x14ac:dyDescent="0.35">
      <c r="A14" s="53" t="s">
        <v>203</v>
      </c>
      <c r="B14" s="54" t="s">
        <v>228</v>
      </c>
      <c r="C14" s="54" t="s">
        <v>127</v>
      </c>
      <c r="D14" s="50">
        <v>0.61805555555555558</v>
      </c>
      <c r="E14" s="50">
        <v>0.67708333333333337</v>
      </c>
      <c r="F14" s="50">
        <v>0.69791666666666663</v>
      </c>
      <c r="G14" s="50"/>
      <c r="H14" s="50">
        <f t="shared" si="0"/>
        <v>2.0833333333333259E-2</v>
      </c>
    </row>
    <row r="15" spans="1:10" x14ac:dyDescent="0.35">
      <c r="A15" s="53" t="s">
        <v>180</v>
      </c>
      <c r="B15" s="54" t="s">
        <v>284</v>
      </c>
      <c r="C15" s="54" t="s">
        <v>286</v>
      </c>
      <c r="D15" s="50">
        <v>0.57986111111111116</v>
      </c>
      <c r="E15" s="50">
        <v>0.65277777777777779</v>
      </c>
      <c r="F15" s="50">
        <v>0.69097222222222221</v>
      </c>
      <c r="G15" s="50"/>
      <c r="H15" s="50">
        <f t="shared" si="0"/>
        <v>3.819444444444442E-2</v>
      </c>
    </row>
    <row r="16" spans="1:10" x14ac:dyDescent="0.35">
      <c r="A16" s="53" t="s">
        <v>184</v>
      </c>
      <c r="B16" s="54" t="s">
        <v>304</v>
      </c>
      <c r="C16" s="54" t="s">
        <v>303</v>
      </c>
      <c r="D16" s="50">
        <v>0.58333333333333337</v>
      </c>
      <c r="E16" s="50">
        <v>0.63888888888888884</v>
      </c>
      <c r="F16" s="50">
        <v>0.69444444444444442</v>
      </c>
      <c r="G16" s="50"/>
      <c r="H16" s="50">
        <f t="shared" si="0"/>
        <v>5.555555555555558E-2</v>
      </c>
    </row>
    <row r="17" spans="1:11" x14ac:dyDescent="0.35">
      <c r="A17" s="53" t="s">
        <v>184</v>
      </c>
      <c r="B17" s="54" t="s">
        <v>144</v>
      </c>
      <c r="C17" s="54" t="s">
        <v>138</v>
      </c>
      <c r="D17" s="50">
        <v>0.62847222222222221</v>
      </c>
      <c r="E17" s="50">
        <v>0.65972222222222221</v>
      </c>
      <c r="F17" s="50">
        <v>0.72222222222222221</v>
      </c>
      <c r="G17" s="50"/>
      <c r="H17" s="50">
        <f t="shared" si="0"/>
        <v>6.25E-2</v>
      </c>
    </row>
    <row r="18" spans="1:11" x14ac:dyDescent="0.35">
      <c r="A18" s="53" t="s">
        <v>181</v>
      </c>
      <c r="B18" s="54" t="s">
        <v>149</v>
      </c>
      <c r="C18" s="54" t="s">
        <v>129</v>
      </c>
      <c r="D18" s="50">
        <v>0.64930555555555558</v>
      </c>
      <c r="E18" s="50">
        <v>0.70138888888888884</v>
      </c>
      <c r="F18" s="50">
        <v>0.72916666666666663</v>
      </c>
      <c r="G18" s="50"/>
      <c r="H18" s="50">
        <f t="shared" si="0"/>
        <v>2.777777777777779E-2</v>
      </c>
    </row>
    <row r="19" spans="1:11" x14ac:dyDescent="0.35">
      <c r="A19" s="53" t="s">
        <v>174</v>
      </c>
      <c r="B19" s="54" t="s">
        <v>122</v>
      </c>
      <c r="C19" s="54" t="s">
        <v>131</v>
      </c>
      <c r="D19" s="50">
        <v>0.63888888888888884</v>
      </c>
      <c r="E19" s="50">
        <v>0.68402777777777779</v>
      </c>
      <c r="F19" s="50">
        <v>0.70833333333333337</v>
      </c>
      <c r="G19" s="50"/>
      <c r="H19" s="50">
        <f t="shared" si="0"/>
        <v>2.430555555555558E-2</v>
      </c>
    </row>
    <row r="20" spans="1:11" x14ac:dyDescent="0.35">
      <c r="A20" s="53" t="s">
        <v>188</v>
      </c>
      <c r="B20" s="54" t="s">
        <v>148</v>
      </c>
      <c r="C20" s="54" t="s">
        <v>141</v>
      </c>
      <c r="D20" s="50">
        <v>0.61805555555555558</v>
      </c>
      <c r="E20" s="50">
        <v>0.68055555555555558</v>
      </c>
      <c r="F20" s="50">
        <v>0.70833333333333337</v>
      </c>
      <c r="G20" s="50"/>
      <c r="H20" s="50">
        <f t="shared" si="0"/>
        <v>2.777777777777779E-2</v>
      </c>
    </row>
    <row r="21" spans="1:11" x14ac:dyDescent="0.35">
      <c r="A21" s="53" t="s">
        <v>182</v>
      </c>
      <c r="B21" s="54" t="s">
        <v>146</v>
      </c>
      <c r="C21" s="54" t="s">
        <v>140</v>
      </c>
      <c r="D21" s="50">
        <v>0.68402777777777779</v>
      </c>
      <c r="E21" s="50">
        <v>0.72916666666666663</v>
      </c>
      <c r="F21" s="50">
        <v>0.76041666666666663</v>
      </c>
      <c r="G21" s="50"/>
      <c r="H21" s="50">
        <f t="shared" si="0"/>
        <v>3.125E-2</v>
      </c>
      <c r="I21" s="6"/>
      <c r="J21" s="5"/>
      <c r="K21" s="5"/>
    </row>
    <row r="22" spans="1:11" x14ac:dyDescent="0.35">
      <c r="A22" s="53" t="s">
        <v>186</v>
      </c>
      <c r="B22" s="54" t="s">
        <v>252</v>
      </c>
      <c r="C22" s="54" t="s">
        <v>250</v>
      </c>
      <c r="D22" s="50">
        <v>0.71527777777777779</v>
      </c>
      <c r="E22" s="50">
        <v>0.78125</v>
      </c>
      <c r="F22" s="50">
        <v>0.80555555555555558</v>
      </c>
      <c r="G22" s="50"/>
      <c r="H22" s="50">
        <f t="shared" si="0"/>
        <v>2.430555555555558E-2</v>
      </c>
      <c r="I22" s="6"/>
      <c r="J22" s="5"/>
      <c r="K22" s="5"/>
    </row>
    <row r="23" spans="1:11" x14ac:dyDescent="0.35">
      <c r="A23" s="53" t="s">
        <v>212</v>
      </c>
      <c r="B23" s="54" t="s">
        <v>267</v>
      </c>
      <c r="C23" s="54" t="s">
        <v>269</v>
      </c>
      <c r="D23" s="50">
        <v>0.63541666666666663</v>
      </c>
      <c r="E23" s="50">
        <v>0.69791666666666663</v>
      </c>
      <c r="F23" s="50">
        <v>0.72222222222222221</v>
      </c>
      <c r="G23" s="50"/>
      <c r="H23" s="50">
        <f t="shared" si="0"/>
        <v>2.430555555555558E-2</v>
      </c>
      <c r="I23" s="6"/>
      <c r="J23" s="5"/>
      <c r="K23" s="5"/>
    </row>
    <row r="24" spans="1:11" x14ac:dyDescent="0.35">
      <c r="A24" s="53" t="s">
        <v>208</v>
      </c>
      <c r="B24" s="54" t="s">
        <v>305</v>
      </c>
      <c r="C24" s="54" t="s">
        <v>163</v>
      </c>
      <c r="D24" s="50">
        <v>0.60069444444444442</v>
      </c>
      <c r="E24" s="50">
        <v>0.63888888888888884</v>
      </c>
      <c r="F24" s="50">
        <v>0.69444444444444442</v>
      </c>
      <c r="G24" s="50"/>
      <c r="H24" s="50">
        <f t="shared" si="0"/>
        <v>5.555555555555558E-2</v>
      </c>
      <c r="I24" s="6"/>
      <c r="J24" s="5"/>
      <c r="K24" s="5"/>
    </row>
    <row r="25" spans="1:11" x14ac:dyDescent="0.35">
      <c r="A25" s="53" t="s">
        <v>209</v>
      </c>
      <c r="B25" s="54" t="s">
        <v>306</v>
      </c>
      <c r="C25" s="54" t="s">
        <v>260</v>
      </c>
      <c r="D25" s="50">
        <v>0.62847222222222221</v>
      </c>
      <c r="E25" s="50">
        <v>0.68055555555555558</v>
      </c>
      <c r="F25" s="50">
        <v>0.72222222222222221</v>
      </c>
      <c r="G25" s="50"/>
      <c r="H25" s="50">
        <f t="shared" si="0"/>
        <v>4.166666666666663E-2</v>
      </c>
    </row>
    <row r="26" spans="1:11" x14ac:dyDescent="0.35">
      <c r="A26" s="53" t="s">
        <v>208</v>
      </c>
      <c r="B26" s="54" t="s">
        <v>306</v>
      </c>
      <c r="C26" s="54" t="s">
        <v>260</v>
      </c>
      <c r="D26" s="50">
        <v>0.62847222222222221</v>
      </c>
      <c r="E26" s="50">
        <v>0.65972222222222221</v>
      </c>
      <c r="F26" s="50">
        <v>0.67013888888888884</v>
      </c>
      <c r="G26" s="50"/>
      <c r="H26" s="50">
        <f t="shared" si="0"/>
        <v>1.041666666666663E-2</v>
      </c>
    </row>
    <row r="27" spans="1:11" x14ac:dyDescent="0.35">
      <c r="A27" s="53" t="s">
        <v>217</v>
      </c>
      <c r="B27" s="54" t="s">
        <v>151</v>
      </c>
      <c r="C27" s="54" t="s">
        <v>132</v>
      </c>
      <c r="D27" s="50">
        <v>0.66319444444444442</v>
      </c>
      <c r="E27" s="50">
        <v>0.70138888888888884</v>
      </c>
      <c r="F27" s="50">
        <v>0.72916666666666663</v>
      </c>
      <c r="G27" s="50"/>
      <c r="H27" s="50">
        <f t="shared" si="0"/>
        <v>2.777777777777779E-2</v>
      </c>
    </row>
    <row r="28" spans="1:11" x14ac:dyDescent="0.35">
      <c r="A28" s="53" t="s">
        <v>224</v>
      </c>
      <c r="B28" s="54" t="s">
        <v>124</v>
      </c>
      <c r="C28" s="54" t="s">
        <v>134</v>
      </c>
      <c r="D28" s="50">
        <v>0.73611111111111116</v>
      </c>
      <c r="E28" s="50">
        <v>0.77430555555555558</v>
      </c>
      <c r="F28" s="50">
        <v>0.80902777777777779</v>
      </c>
      <c r="G28" s="50"/>
      <c r="H28" s="50">
        <f t="shared" si="0"/>
        <v>3.472222222222221E-2</v>
      </c>
    </row>
    <row r="29" spans="1:11" x14ac:dyDescent="0.35">
      <c r="A29" s="53" t="s">
        <v>219</v>
      </c>
      <c r="B29" s="54" t="s">
        <v>165</v>
      </c>
      <c r="C29" s="54" t="s">
        <v>167</v>
      </c>
      <c r="D29" s="50" t="s">
        <v>247</v>
      </c>
      <c r="E29" s="50" t="s">
        <v>248</v>
      </c>
      <c r="F29" s="50"/>
      <c r="G29" s="50"/>
      <c r="H29" s="50" t="e">
        <f t="shared" si="0"/>
        <v>#VALUE!</v>
      </c>
    </row>
    <row r="30" spans="1:11" x14ac:dyDescent="0.35">
      <c r="A30" s="53" t="s">
        <v>193</v>
      </c>
      <c r="B30" s="54" t="s">
        <v>288</v>
      </c>
      <c r="C30" s="54" t="s">
        <v>287</v>
      </c>
      <c r="D30" s="50" t="s">
        <v>247</v>
      </c>
      <c r="E30" s="50" t="s">
        <v>248</v>
      </c>
      <c r="F30" s="50"/>
      <c r="G30" s="50"/>
      <c r="H30" s="50" t="e">
        <f t="shared" si="0"/>
        <v>#VALUE!</v>
      </c>
    </row>
    <row r="31" spans="1:11" x14ac:dyDescent="0.35">
      <c r="A31" s="53" t="s">
        <v>200</v>
      </c>
      <c r="B31" s="54" t="s">
        <v>169</v>
      </c>
      <c r="C31" s="54" t="s">
        <v>170</v>
      </c>
      <c r="D31" s="50">
        <v>0.78819444444444442</v>
      </c>
      <c r="E31" s="50">
        <v>0.84375</v>
      </c>
      <c r="F31" s="50">
        <v>0.85069444444444442</v>
      </c>
      <c r="G31" s="50"/>
      <c r="H31" s="50">
        <f t="shared" si="0"/>
        <v>6.9444444444444198E-3</v>
      </c>
    </row>
    <row r="32" spans="1:11" x14ac:dyDescent="0.35">
      <c r="A32" s="53" t="s">
        <v>199</v>
      </c>
      <c r="B32" s="54" t="s">
        <v>160</v>
      </c>
      <c r="C32" s="54" t="s">
        <v>159</v>
      </c>
      <c r="D32" s="50">
        <v>0.67708333333333337</v>
      </c>
      <c r="E32" s="50">
        <v>0.88541666666666663</v>
      </c>
      <c r="F32" s="50">
        <v>0.89930555555555558</v>
      </c>
      <c r="G32" s="50"/>
      <c r="H32" s="50">
        <f t="shared" si="0"/>
        <v>1.3888888888888951E-2</v>
      </c>
    </row>
    <row r="33" spans="1:8" x14ac:dyDescent="0.35">
      <c r="A33" s="53" t="s">
        <v>196</v>
      </c>
      <c r="B33" s="54" t="s">
        <v>160</v>
      </c>
      <c r="C33" s="54" t="s">
        <v>159</v>
      </c>
      <c r="D33" s="50">
        <v>0.67708333333333337</v>
      </c>
      <c r="E33" s="50">
        <v>0.90625</v>
      </c>
      <c r="F33" s="50">
        <v>0.91666666666666663</v>
      </c>
      <c r="G33" s="50"/>
      <c r="H33" s="50">
        <f t="shared" si="0"/>
        <v>1.041666666666663E-2</v>
      </c>
    </row>
    <row r="34" spans="1:8" x14ac:dyDescent="0.35">
      <c r="A34" s="53" t="s">
        <v>205</v>
      </c>
      <c r="B34" s="54" t="s">
        <v>293</v>
      </c>
      <c r="C34" s="54" t="s">
        <v>128</v>
      </c>
      <c r="D34" s="50">
        <v>0.82638888888888884</v>
      </c>
      <c r="E34" s="50">
        <v>0.875</v>
      </c>
      <c r="F34" s="50">
        <v>0.89583333333333337</v>
      </c>
      <c r="G34" s="50"/>
      <c r="H34" s="50">
        <f t="shared" si="0"/>
        <v>2.083333333333337E-2</v>
      </c>
    </row>
    <row r="35" spans="1:8" x14ac:dyDescent="0.35">
      <c r="A35" s="53" t="s">
        <v>191</v>
      </c>
      <c r="B35" s="54" t="s">
        <v>257</v>
      </c>
      <c r="C35" s="54" t="s">
        <v>263</v>
      </c>
      <c r="D35" s="50" t="s">
        <v>247</v>
      </c>
      <c r="E35" s="50" t="s">
        <v>248</v>
      </c>
      <c r="F35" s="50"/>
      <c r="G35" s="50"/>
      <c r="H35" s="50" t="e">
        <f t="shared" si="0"/>
        <v>#VALUE!</v>
      </c>
    </row>
    <row r="36" spans="1:8" x14ac:dyDescent="0.35">
      <c r="A36" s="53" t="s">
        <v>197</v>
      </c>
      <c r="B36" s="54" t="s">
        <v>231</v>
      </c>
      <c r="C36" s="54" t="s">
        <v>232</v>
      </c>
      <c r="D36" s="50" t="s">
        <v>247</v>
      </c>
      <c r="E36" s="50" t="s">
        <v>248</v>
      </c>
      <c r="F36" s="50"/>
      <c r="G36" s="50"/>
      <c r="H36" s="50" t="e">
        <f t="shared" si="0"/>
        <v>#VALUE!</v>
      </c>
    </row>
    <row r="37" spans="1:8" x14ac:dyDescent="0.35">
      <c r="A37" s="53" t="s">
        <v>218</v>
      </c>
      <c r="B37" s="54" t="s">
        <v>231</v>
      </c>
      <c r="C37" s="54" t="s">
        <v>232</v>
      </c>
      <c r="D37" s="50" t="s">
        <v>247</v>
      </c>
      <c r="E37" s="50" t="s">
        <v>248</v>
      </c>
      <c r="F37" s="50"/>
      <c r="G37" s="50"/>
      <c r="H37" s="50" t="e">
        <f t="shared" si="0"/>
        <v>#VALUE!</v>
      </c>
    </row>
    <row r="38" spans="1:8" x14ac:dyDescent="0.35">
      <c r="A38" s="53" t="s">
        <v>183</v>
      </c>
      <c r="B38" s="54" t="s">
        <v>307</v>
      </c>
      <c r="C38" s="54" t="s">
        <v>133</v>
      </c>
      <c r="D38" s="50">
        <v>0.74305555555555558</v>
      </c>
      <c r="E38" s="50">
        <v>0.79166666666666663</v>
      </c>
      <c r="F38" s="50">
        <v>0.81944444444444442</v>
      </c>
      <c r="G38" s="50"/>
      <c r="H38" s="50">
        <f t="shared" si="0"/>
        <v>2.777777777777779E-2</v>
      </c>
    </row>
    <row r="39" spans="1:8" x14ac:dyDescent="0.35">
      <c r="A39" s="53" t="s">
        <v>223</v>
      </c>
      <c r="B39" s="54" t="s">
        <v>278</v>
      </c>
      <c r="C39" s="54" t="s">
        <v>279</v>
      </c>
      <c r="D39" s="50">
        <v>0.80555555555555558</v>
      </c>
      <c r="E39" s="50">
        <v>0.84722222222222221</v>
      </c>
      <c r="F39" s="50">
        <v>0.85763888888888884</v>
      </c>
      <c r="G39" s="50"/>
      <c r="H39" s="50">
        <f t="shared" si="0"/>
        <v>1.041666666666663E-2</v>
      </c>
    </row>
    <row r="40" spans="1:8" x14ac:dyDescent="0.35">
      <c r="A40" s="53" t="s">
        <v>183</v>
      </c>
      <c r="B40" s="54" t="s">
        <v>308</v>
      </c>
      <c r="C40" s="54" t="s">
        <v>249</v>
      </c>
      <c r="D40" s="50">
        <v>0.78125</v>
      </c>
      <c r="E40" s="50">
        <v>0.84027777777777779</v>
      </c>
      <c r="F40" s="50">
        <v>0.85069444444444442</v>
      </c>
      <c r="G40" s="50"/>
      <c r="H40" s="50">
        <f t="shared" si="0"/>
        <v>1.041666666666663E-2</v>
      </c>
    </row>
    <row r="41" spans="1:8" x14ac:dyDescent="0.35">
      <c r="A41" s="53" t="s">
        <v>223</v>
      </c>
      <c r="B41" s="54" t="s">
        <v>308</v>
      </c>
      <c r="C41" s="54" t="s">
        <v>249</v>
      </c>
      <c r="D41" s="50">
        <v>0.78125</v>
      </c>
      <c r="E41" s="50">
        <v>0.82291666666666663</v>
      </c>
      <c r="F41" s="50">
        <v>0.83680555555555558</v>
      </c>
      <c r="G41" s="50"/>
      <c r="H41" s="50">
        <f t="shared" si="0"/>
        <v>1.3888888888888951E-2</v>
      </c>
    </row>
    <row r="42" spans="1:8" x14ac:dyDescent="0.35">
      <c r="A42" s="53" t="s">
        <v>214</v>
      </c>
      <c r="B42" s="54" t="s">
        <v>125</v>
      </c>
      <c r="C42" s="54" t="s">
        <v>258</v>
      </c>
      <c r="D42" s="50" t="s">
        <v>247</v>
      </c>
      <c r="E42" s="50" t="s">
        <v>248</v>
      </c>
      <c r="F42" s="50"/>
      <c r="G42" s="50"/>
      <c r="H42" s="50" t="e">
        <f t="shared" si="0"/>
        <v>#VALUE!</v>
      </c>
    </row>
    <row r="43" spans="1:8" x14ac:dyDescent="0.35">
      <c r="A43" s="53" t="s">
        <v>176</v>
      </c>
      <c r="B43" s="54" t="s">
        <v>256</v>
      </c>
      <c r="C43" s="54" t="s">
        <v>262</v>
      </c>
      <c r="D43" s="50" t="s">
        <v>275</v>
      </c>
      <c r="E43" s="50" t="s">
        <v>276</v>
      </c>
      <c r="F43" s="50" t="s">
        <v>277</v>
      </c>
      <c r="G43" s="50"/>
      <c r="H43" s="50" t="e">
        <f t="shared" si="0"/>
        <v>#VALUE!</v>
      </c>
    </row>
    <row r="44" spans="1:8" x14ac:dyDescent="0.35">
      <c r="A44" s="53" t="s">
        <v>178</v>
      </c>
      <c r="B44" s="54" t="s">
        <v>256</v>
      </c>
      <c r="C44" s="54" t="s">
        <v>262</v>
      </c>
      <c r="D44" s="50" t="s">
        <v>275</v>
      </c>
      <c r="E44" s="50" t="s">
        <v>276</v>
      </c>
      <c r="F44" s="50" t="s">
        <v>277</v>
      </c>
      <c r="G44" s="50"/>
      <c r="H44" s="50" t="e">
        <f t="shared" si="0"/>
        <v>#VALUE!</v>
      </c>
    </row>
    <row r="45" spans="1:8" x14ac:dyDescent="0.35">
      <c r="A45" s="53" t="s">
        <v>206</v>
      </c>
      <c r="B45" s="54" t="s">
        <v>227</v>
      </c>
      <c r="C45" s="54" t="s">
        <v>226</v>
      </c>
      <c r="D45" s="50" t="s">
        <v>275</v>
      </c>
      <c r="E45" s="50" t="s">
        <v>276</v>
      </c>
      <c r="F45" s="50" t="s">
        <v>277</v>
      </c>
      <c r="G45" s="50"/>
      <c r="H45" s="50" t="e">
        <f t="shared" si="0"/>
        <v>#VALUE!</v>
      </c>
    </row>
    <row r="46" spans="1:8" x14ac:dyDescent="0.35">
      <c r="A46" s="53" t="s">
        <v>194</v>
      </c>
      <c r="B46" s="54" t="s">
        <v>172</v>
      </c>
      <c r="C46" s="54" t="s">
        <v>171</v>
      </c>
      <c r="D46" s="50">
        <v>0.82638888888888884</v>
      </c>
      <c r="E46" s="50">
        <v>0.85416666666666663</v>
      </c>
      <c r="F46" s="50">
        <v>0.89236111111111116</v>
      </c>
      <c r="G46" s="50"/>
      <c r="H46" s="50">
        <f t="shared" si="0"/>
        <v>3.8194444444444531E-2</v>
      </c>
    </row>
    <row r="47" spans="1:8" x14ac:dyDescent="0.35">
      <c r="A47" s="53" t="s">
        <v>216</v>
      </c>
      <c r="B47" s="54" t="s">
        <v>313</v>
      </c>
      <c r="C47" s="54" t="s">
        <v>260</v>
      </c>
      <c r="D47" s="50">
        <v>0.82291666666666663</v>
      </c>
      <c r="E47" s="50">
        <v>0.86111111111111116</v>
      </c>
      <c r="F47" s="50">
        <v>0.89236111111111116</v>
      </c>
      <c r="G47" s="50"/>
      <c r="H47" s="50">
        <f t="shared" si="0"/>
        <v>3.125E-2</v>
      </c>
    </row>
    <row r="48" spans="1:8" x14ac:dyDescent="0.35">
      <c r="A48" s="53" t="s">
        <v>179</v>
      </c>
      <c r="B48" s="54" t="s">
        <v>117</v>
      </c>
      <c r="C48" s="54" t="s">
        <v>126</v>
      </c>
      <c r="D48" s="50">
        <v>0.8125</v>
      </c>
      <c r="E48" s="50">
        <v>0.86111111111111116</v>
      </c>
      <c r="F48" s="50">
        <v>0.91319444444444442</v>
      </c>
      <c r="G48" s="50"/>
      <c r="H48" s="50">
        <f t="shared" si="0"/>
        <v>5.2083333333333259E-2</v>
      </c>
    </row>
    <row r="49" spans="1:8" x14ac:dyDescent="0.35">
      <c r="A49" s="53" t="s">
        <v>222</v>
      </c>
      <c r="B49" s="54" t="s">
        <v>272</v>
      </c>
      <c r="C49" s="54" t="s">
        <v>310</v>
      </c>
      <c r="D49" s="50">
        <v>0.79166666666666663</v>
      </c>
      <c r="E49" s="50">
        <v>0.80208333333333337</v>
      </c>
      <c r="F49" s="50">
        <v>0.84027777777777779</v>
      </c>
      <c r="G49" s="50"/>
      <c r="H49" s="50">
        <f t="shared" si="0"/>
        <v>3.819444444444442E-2</v>
      </c>
    </row>
    <row r="50" spans="1:8" x14ac:dyDescent="0.35">
      <c r="A50" s="53" t="s">
        <v>185</v>
      </c>
      <c r="B50" s="54" t="s">
        <v>311</v>
      </c>
      <c r="C50" s="54" t="s">
        <v>312</v>
      </c>
      <c r="D50" s="50">
        <v>0.8125</v>
      </c>
      <c r="E50" s="50">
        <v>0.84722222222222221</v>
      </c>
      <c r="F50" s="50">
        <v>0.85763888888888884</v>
      </c>
      <c r="G50" s="50"/>
      <c r="H50" s="50">
        <f t="shared" si="0"/>
        <v>1.041666666666663E-2</v>
      </c>
    </row>
    <row r="51" spans="1:8" x14ac:dyDescent="0.35">
      <c r="A51" s="53" t="s">
        <v>220</v>
      </c>
      <c r="B51" s="54" t="s">
        <v>150</v>
      </c>
      <c r="C51" s="54" t="s">
        <v>139</v>
      </c>
      <c r="D51" s="50">
        <v>0.8125</v>
      </c>
      <c r="E51" s="50">
        <v>0.86111111111111116</v>
      </c>
      <c r="F51" s="50">
        <v>0.87847222222222221</v>
      </c>
      <c r="G51" s="50"/>
      <c r="H51" s="50">
        <f t="shared" si="0"/>
        <v>1.7361111111111049E-2</v>
      </c>
    </row>
    <row r="52" spans="1:8" x14ac:dyDescent="0.35">
      <c r="A52" s="53"/>
      <c r="B52" s="54"/>
      <c r="C52" s="54"/>
      <c r="D52" s="50"/>
      <c r="E52" s="50"/>
      <c r="F52" s="50"/>
      <c r="G52" s="50"/>
      <c r="H52" s="50">
        <f t="shared" si="0"/>
        <v>0</v>
      </c>
    </row>
    <row r="53" spans="1:8" x14ac:dyDescent="0.35">
      <c r="A53" s="53"/>
      <c r="B53" s="54"/>
      <c r="C53" s="54"/>
      <c r="D53" s="50"/>
      <c r="E53" s="50"/>
      <c r="F53" s="50"/>
      <c r="G53" s="50"/>
      <c r="H53" s="50">
        <f t="shared" si="0"/>
        <v>0</v>
      </c>
    </row>
    <row r="54" spans="1:8" x14ac:dyDescent="0.35">
      <c r="A54" s="53"/>
      <c r="B54" s="54"/>
      <c r="C54" s="54"/>
      <c r="D54" s="50"/>
      <c r="E54" s="50"/>
      <c r="F54" s="50"/>
      <c r="G54" s="50"/>
      <c r="H54" s="50">
        <f t="shared" si="0"/>
        <v>0</v>
      </c>
    </row>
    <row r="55" spans="1:8" x14ac:dyDescent="0.35">
      <c r="A55" s="53"/>
      <c r="B55" s="54"/>
      <c r="C55" s="54"/>
      <c r="D55" s="50"/>
      <c r="E55" s="50"/>
      <c r="F55" s="50"/>
      <c r="G55" s="50"/>
      <c r="H55" s="50">
        <f t="shared" si="0"/>
        <v>0</v>
      </c>
    </row>
    <row r="56" spans="1:8" x14ac:dyDescent="0.35">
      <c r="A56" s="53"/>
      <c r="B56" s="54"/>
      <c r="C56" s="54"/>
      <c r="D56" s="50"/>
      <c r="E56" s="50"/>
      <c r="F56" s="50"/>
      <c r="G56" s="50"/>
      <c r="H56" s="50">
        <f t="shared" si="0"/>
        <v>0</v>
      </c>
    </row>
    <row r="57" spans="1:8" x14ac:dyDescent="0.35">
      <c r="A57" s="53"/>
      <c r="B57" s="54"/>
      <c r="C57" s="54"/>
      <c r="D57" s="50"/>
      <c r="E57" s="50"/>
      <c r="F57" s="50"/>
      <c r="G57" s="50"/>
      <c r="H57" s="50">
        <f t="shared" si="0"/>
        <v>0</v>
      </c>
    </row>
    <row r="58" spans="1:8" x14ac:dyDescent="0.35">
      <c r="A58" s="53"/>
      <c r="B58" s="54"/>
      <c r="C58" s="54"/>
      <c r="D58" s="50"/>
      <c r="E58" s="50"/>
      <c r="F58" s="50"/>
      <c r="G58" s="50"/>
      <c r="H58" s="50">
        <f t="shared" si="0"/>
        <v>0</v>
      </c>
    </row>
    <row r="59" spans="1:8" x14ac:dyDescent="0.35">
      <c r="A59" s="53"/>
      <c r="B59" s="54"/>
      <c r="C59" s="54"/>
      <c r="D59" s="50"/>
      <c r="E59" s="50"/>
      <c r="F59" s="50"/>
      <c r="G59" s="50"/>
      <c r="H59" s="50">
        <f t="shared" si="0"/>
        <v>0</v>
      </c>
    </row>
    <row r="60" spans="1:8" x14ac:dyDescent="0.35">
      <c r="A60" s="53"/>
      <c r="B60" s="54"/>
      <c r="C60" s="54"/>
      <c r="D60" s="50"/>
      <c r="E60" s="50"/>
      <c r="F60" s="50"/>
      <c r="G60" s="50"/>
      <c r="H60" s="50">
        <f t="shared" si="0"/>
        <v>0</v>
      </c>
    </row>
    <row r="61" spans="1:8" x14ac:dyDescent="0.35">
      <c r="A61" s="53"/>
      <c r="B61" s="54"/>
      <c r="C61" s="54"/>
      <c r="D61" s="50"/>
      <c r="E61" s="50"/>
      <c r="F61" s="50"/>
      <c r="G61" s="50"/>
      <c r="H61" s="50">
        <f t="shared" si="0"/>
        <v>0</v>
      </c>
    </row>
    <row r="62" spans="1:8" x14ac:dyDescent="0.35">
      <c r="A62" s="53"/>
      <c r="B62" s="54"/>
      <c r="C62" s="54"/>
      <c r="D62" s="50"/>
      <c r="E62" s="50"/>
      <c r="F62" s="50"/>
      <c r="G62" s="50"/>
      <c r="H62" s="50">
        <f t="shared" si="0"/>
        <v>0</v>
      </c>
    </row>
    <row r="63" spans="1:8" x14ac:dyDescent="0.35">
      <c r="A63" s="53"/>
      <c r="B63" s="54"/>
      <c r="C63" s="54"/>
      <c r="D63" s="50"/>
      <c r="E63" s="50"/>
      <c r="F63" s="50"/>
      <c r="G63" s="50"/>
      <c r="H63" s="50">
        <f t="shared" si="0"/>
        <v>0</v>
      </c>
    </row>
    <row r="64" spans="1:8" x14ac:dyDescent="0.35">
      <c r="A64" s="53"/>
      <c r="B64" s="54"/>
      <c r="C64" s="54"/>
      <c r="D64" s="50"/>
      <c r="E64" s="50"/>
      <c r="F64" s="50"/>
      <c r="G64" s="50"/>
      <c r="H64" s="50">
        <f t="shared" si="0"/>
        <v>0</v>
      </c>
    </row>
    <row r="65" spans="1:8" x14ac:dyDescent="0.35">
      <c r="A65" s="53"/>
      <c r="B65" s="54"/>
      <c r="C65" s="54"/>
      <c r="D65" s="50"/>
      <c r="E65" s="50"/>
      <c r="F65" s="50"/>
      <c r="G65" s="50"/>
      <c r="H65" s="50">
        <f t="shared" si="0"/>
        <v>0</v>
      </c>
    </row>
    <row r="66" spans="1:8" x14ac:dyDescent="0.35">
      <c r="A66" s="53"/>
      <c r="B66" s="54"/>
      <c r="C66" s="54"/>
      <c r="D66" s="50"/>
      <c r="E66" s="50"/>
      <c r="F66" s="50"/>
      <c r="G66" s="50"/>
      <c r="H66" s="50">
        <f t="shared" si="0"/>
        <v>0</v>
      </c>
    </row>
    <row r="67" spans="1:8" x14ac:dyDescent="0.35">
      <c r="A67" s="53"/>
      <c r="B67" s="54"/>
      <c r="C67" s="54"/>
      <c r="D67" s="50"/>
      <c r="E67" s="50"/>
      <c r="F67" s="50"/>
      <c r="G67" s="50"/>
      <c r="H67" s="50">
        <f t="shared" ref="H67:H69" si="1">MOD(F67-E67, 1)</f>
        <v>0</v>
      </c>
    </row>
    <row r="68" spans="1:8" x14ac:dyDescent="0.35">
      <c r="A68" s="53"/>
      <c r="B68" s="54"/>
      <c r="C68" s="54"/>
      <c r="D68" s="50"/>
      <c r="E68" s="50"/>
      <c r="F68" s="50"/>
      <c r="G68" s="50"/>
      <c r="H68" s="50">
        <f t="shared" si="1"/>
        <v>0</v>
      </c>
    </row>
    <row r="69" spans="1:8" x14ac:dyDescent="0.35">
      <c r="A69" s="53"/>
      <c r="B69" s="54"/>
      <c r="C69" s="54"/>
      <c r="D69" s="50"/>
      <c r="E69" s="50"/>
      <c r="F69" s="50"/>
      <c r="G69" s="50"/>
      <c r="H69" s="50">
        <f t="shared" si="1"/>
        <v>0</v>
      </c>
    </row>
  </sheetData>
  <autoFilter ref="A2:F38" xr:uid="{00000000-0001-0000-0000-000000000000}">
    <sortState xmlns:xlrd2="http://schemas.microsoft.com/office/spreadsheetml/2017/richdata2" ref="A3:F18">
      <sortCondition ref="A2"/>
    </sortState>
  </autoFilter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42787-FC48-456C-AB81-CE95528605E1}">
  <sheetPr>
    <pageSetUpPr fitToPage="1"/>
  </sheetPr>
  <dimension ref="A1:K69"/>
  <sheetViews>
    <sheetView showGridLines="0" topLeftCell="B1" zoomScale="70" zoomScaleNormal="70" workbookViewId="0">
      <pane ySplit="2" topLeftCell="A3" activePane="bottomLeft" state="frozen"/>
      <selection pane="bottomLeft" activeCell="F13" sqref="F13"/>
    </sheetView>
  </sheetViews>
  <sheetFormatPr defaultColWidth="9" defaultRowHeight="23.25" x14ac:dyDescent="0.35"/>
  <cols>
    <col min="1" max="1" width="41.7109375" style="29" bestFit="1" customWidth="1"/>
    <col min="2" max="2" width="42" style="7" customWidth="1"/>
    <col min="3" max="3" width="19.140625" style="6" bestFit="1" customWidth="1"/>
    <col min="4" max="4" width="22.7109375" style="5" bestFit="1" customWidth="1"/>
    <col min="5" max="5" width="25.28515625" style="5" bestFit="1" customWidth="1"/>
    <col min="6" max="6" width="27.42578125" style="3" bestFit="1" customWidth="1"/>
    <col min="7" max="7" width="0.28515625" style="1" customWidth="1"/>
    <col min="8" max="8" width="24.85546875" style="28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39" t="s">
        <v>4</v>
      </c>
      <c r="B1" s="40"/>
      <c r="C1" s="41"/>
      <c r="D1" s="42"/>
      <c r="E1" s="42"/>
      <c r="F1" s="43"/>
      <c r="G1" s="44"/>
      <c r="H1" s="51"/>
    </row>
    <row r="2" spans="1:10" s="2" customFormat="1" x14ac:dyDescent="0.35">
      <c r="A2" s="45" t="s">
        <v>0</v>
      </c>
      <c r="B2" s="45" t="s">
        <v>1</v>
      </c>
      <c r="C2" s="45" t="s">
        <v>2</v>
      </c>
      <c r="D2" s="46" t="s">
        <v>3</v>
      </c>
      <c r="E2" s="46" t="s">
        <v>236</v>
      </c>
      <c r="F2" s="45" t="s">
        <v>5</v>
      </c>
      <c r="G2" s="47"/>
      <c r="H2" s="48" t="s">
        <v>274</v>
      </c>
    </row>
    <row r="3" spans="1:10" x14ac:dyDescent="0.35">
      <c r="A3" s="53" t="s">
        <v>210</v>
      </c>
      <c r="B3" s="54" t="s">
        <v>117</v>
      </c>
      <c r="C3" s="54" t="s">
        <v>126</v>
      </c>
      <c r="D3" s="50">
        <v>0.19444444444444445</v>
      </c>
      <c r="E3" s="50">
        <v>0.21875</v>
      </c>
      <c r="F3" s="50">
        <v>0.30555555555555558</v>
      </c>
      <c r="G3" s="50"/>
      <c r="H3" s="50">
        <f t="shared" ref="H3:H66" si="0">MOD(F3-E3, 1)</f>
        <v>8.680555555555558E-2</v>
      </c>
    </row>
    <row r="4" spans="1:10" s="4" customFormat="1" x14ac:dyDescent="0.35">
      <c r="A4" s="53" t="s">
        <v>207</v>
      </c>
      <c r="B4" s="54" t="s">
        <v>120</v>
      </c>
      <c r="C4" s="54" t="s">
        <v>129</v>
      </c>
      <c r="D4" s="50">
        <v>0.15972222222222221</v>
      </c>
      <c r="E4" s="50">
        <v>0.1875</v>
      </c>
      <c r="F4" s="50">
        <v>0.30902777777777779</v>
      </c>
      <c r="G4" s="50"/>
      <c r="H4" s="50">
        <f t="shared" si="0"/>
        <v>0.12152777777777779</v>
      </c>
    </row>
    <row r="5" spans="1:10" s="4" customFormat="1" x14ac:dyDescent="0.35">
      <c r="A5" s="53" t="s">
        <v>204</v>
      </c>
      <c r="B5" s="54" t="s">
        <v>119</v>
      </c>
      <c r="C5" s="54" t="s">
        <v>128</v>
      </c>
      <c r="D5" s="50">
        <v>0.2013888888888889</v>
      </c>
      <c r="E5" s="50">
        <v>0.22222222222222221</v>
      </c>
      <c r="F5" s="50">
        <v>0.2361111111111111</v>
      </c>
      <c r="G5" s="50"/>
      <c r="H5" s="50">
        <f t="shared" si="0"/>
        <v>1.3888888888888895E-2</v>
      </c>
    </row>
    <row r="6" spans="1:10" x14ac:dyDescent="0.35">
      <c r="A6" s="53" t="s">
        <v>195</v>
      </c>
      <c r="B6" s="54" t="s">
        <v>309</v>
      </c>
      <c r="C6" s="54" t="s">
        <v>127</v>
      </c>
      <c r="D6" s="50">
        <v>0.2048611111111111</v>
      </c>
      <c r="E6" s="50">
        <v>0.22569444444444445</v>
      </c>
      <c r="F6" s="50">
        <v>0.32291666666666669</v>
      </c>
      <c r="G6" s="50"/>
      <c r="H6" s="50">
        <f t="shared" si="0"/>
        <v>9.7222222222222238E-2</v>
      </c>
    </row>
    <row r="7" spans="1:10" x14ac:dyDescent="0.35">
      <c r="A7" s="53" t="s">
        <v>177</v>
      </c>
      <c r="B7" s="54" t="s">
        <v>121</v>
      </c>
      <c r="C7" s="54" t="s">
        <v>130</v>
      </c>
      <c r="D7" s="50">
        <v>0.20833333333333334</v>
      </c>
      <c r="E7" s="50">
        <v>0.25</v>
      </c>
      <c r="F7" s="50">
        <v>0.3298611111111111</v>
      </c>
      <c r="G7" s="50"/>
      <c r="H7" s="50">
        <f t="shared" si="0"/>
        <v>7.9861111111111105E-2</v>
      </c>
    </row>
    <row r="8" spans="1:10" x14ac:dyDescent="0.35">
      <c r="A8" s="53" t="s">
        <v>192</v>
      </c>
      <c r="B8" s="54" t="s">
        <v>122</v>
      </c>
      <c r="C8" s="54" t="s">
        <v>131</v>
      </c>
      <c r="D8" s="50">
        <v>0.19444444444444445</v>
      </c>
      <c r="E8" s="50">
        <v>0.22222222222222221</v>
      </c>
      <c r="F8" s="50">
        <v>0.28472222222222221</v>
      </c>
      <c r="G8" s="50"/>
      <c r="H8" s="50">
        <f t="shared" si="0"/>
        <v>6.25E-2</v>
      </c>
    </row>
    <row r="9" spans="1:10" s="4" customFormat="1" x14ac:dyDescent="0.35">
      <c r="A9" s="53" t="s">
        <v>201</v>
      </c>
      <c r="B9" s="54" t="s">
        <v>151</v>
      </c>
      <c r="C9" s="54" t="s">
        <v>132</v>
      </c>
      <c r="D9" s="50">
        <v>0.2048611111111111</v>
      </c>
      <c r="E9" s="50">
        <v>0.25347222222222221</v>
      </c>
      <c r="F9" s="50">
        <v>0.27083333333333331</v>
      </c>
      <c r="G9" s="50"/>
      <c r="H9" s="50">
        <f t="shared" si="0"/>
        <v>1.7361111111111105E-2</v>
      </c>
      <c r="I9" s="8"/>
      <c r="J9" s="8"/>
    </row>
    <row r="10" spans="1:10" s="4" customFormat="1" x14ac:dyDescent="0.35">
      <c r="A10" s="53" t="s">
        <v>189</v>
      </c>
      <c r="B10" s="54" t="s">
        <v>151</v>
      </c>
      <c r="C10" s="54" t="s">
        <v>132</v>
      </c>
      <c r="D10" s="50">
        <v>0.2048611111111111</v>
      </c>
      <c r="E10" s="50">
        <v>0.27430555555555558</v>
      </c>
      <c r="F10" s="50">
        <v>0.28819444444444442</v>
      </c>
      <c r="G10" s="50"/>
      <c r="H10" s="50">
        <f t="shared" si="0"/>
        <v>1.388888888888884E-2</v>
      </c>
      <c r="I10" s="8"/>
      <c r="J10" s="8"/>
    </row>
    <row r="11" spans="1:10" x14ac:dyDescent="0.35">
      <c r="A11" s="53" t="s">
        <v>180</v>
      </c>
      <c r="B11" s="54" t="s">
        <v>156</v>
      </c>
      <c r="C11" s="54" t="s">
        <v>133</v>
      </c>
      <c r="D11" s="50">
        <v>0.25347222222222221</v>
      </c>
      <c r="E11" s="50">
        <v>0.31597222222222221</v>
      </c>
      <c r="F11" s="50">
        <v>0.4236111111111111</v>
      </c>
      <c r="G11" s="50"/>
      <c r="H11" s="50">
        <f t="shared" si="0"/>
        <v>0.1076388888888889</v>
      </c>
      <c r="I11" s="8"/>
      <c r="J11" s="8"/>
    </row>
    <row r="12" spans="1:10" x14ac:dyDescent="0.35">
      <c r="A12" s="53" t="s">
        <v>221</v>
      </c>
      <c r="B12" s="54" t="s">
        <v>124</v>
      </c>
      <c r="C12" s="54" t="s">
        <v>134</v>
      </c>
      <c r="D12" s="50">
        <v>0.14930555555555555</v>
      </c>
      <c r="E12" s="50">
        <v>0.18055555555555555</v>
      </c>
      <c r="F12" s="50">
        <v>0.2951388888888889</v>
      </c>
      <c r="G12" s="50"/>
      <c r="H12" s="50">
        <f t="shared" si="0"/>
        <v>0.11458333333333334</v>
      </c>
    </row>
    <row r="13" spans="1:10" x14ac:dyDescent="0.35">
      <c r="A13" s="53" t="s">
        <v>187</v>
      </c>
      <c r="B13" s="54" t="s">
        <v>272</v>
      </c>
      <c r="C13" s="54" t="s">
        <v>163</v>
      </c>
      <c r="D13" s="50">
        <v>0.13194444444444445</v>
      </c>
      <c r="E13" s="50">
        <v>0.26041666666666669</v>
      </c>
      <c r="F13" s="50">
        <v>0.30208333333333331</v>
      </c>
      <c r="G13" s="50"/>
      <c r="H13" s="50">
        <f t="shared" si="0"/>
        <v>4.166666666666663E-2</v>
      </c>
    </row>
    <row r="14" spans="1:10" x14ac:dyDescent="0.35">
      <c r="A14" s="53" t="s">
        <v>202</v>
      </c>
      <c r="B14" s="54" t="s">
        <v>252</v>
      </c>
      <c r="C14" s="54" t="s">
        <v>250</v>
      </c>
      <c r="D14" s="50">
        <v>0.61111111111111116</v>
      </c>
      <c r="E14" s="50">
        <v>0.65277777777777779</v>
      </c>
      <c r="F14" s="50">
        <v>0.67361111111111116</v>
      </c>
      <c r="G14" s="50"/>
      <c r="H14" s="50">
        <f t="shared" si="0"/>
        <v>2.083333333333337E-2</v>
      </c>
    </row>
    <row r="15" spans="1:10" x14ac:dyDescent="0.35">
      <c r="A15" s="53" t="s">
        <v>203</v>
      </c>
      <c r="B15" s="54" t="s">
        <v>252</v>
      </c>
      <c r="C15" s="54" t="s">
        <v>250</v>
      </c>
      <c r="D15" s="50">
        <v>0.61111111111111116</v>
      </c>
      <c r="E15" s="50">
        <v>0.69097222222222221</v>
      </c>
      <c r="F15" s="50">
        <v>0.70833333333333337</v>
      </c>
      <c r="G15" s="50"/>
      <c r="H15" s="50">
        <f t="shared" si="0"/>
        <v>1.736111111111116E-2</v>
      </c>
    </row>
    <row r="16" spans="1:10" x14ac:dyDescent="0.35">
      <c r="A16" s="53" t="s">
        <v>180</v>
      </c>
      <c r="B16" s="54" t="s">
        <v>284</v>
      </c>
      <c r="C16" s="54" t="s">
        <v>286</v>
      </c>
      <c r="D16" s="50">
        <v>0.55555555555555558</v>
      </c>
      <c r="E16" s="50">
        <v>0.59027777777777779</v>
      </c>
      <c r="F16" s="50">
        <v>0.60416666666666663</v>
      </c>
      <c r="G16" s="50"/>
      <c r="H16" s="50">
        <f t="shared" si="0"/>
        <v>1.388888888888884E-2</v>
      </c>
    </row>
    <row r="17" spans="1:11" x14ac:dyDescent="0.35">
      <c r="A17" s="53" t="s">
        <v>184</v>
      </c>
      <c r="B17" s="54" t="s">
        <v>314</v>
      </c>
      <c r="C17" s="54" t="s">
        <v>154</v>
      </c>
      <c r="D17" s="50">
        <v>0.52777777777777779</v>
      </c>
      <c r="E17" s="50">
        <v>0.5625</v>
      </c>
      <c r="F17" s="50">
        <v>0.59027777777777779</v>
      </c>
      <c r="G17" s="50"/>
      <c r="H17" s="50">
        <f t="shared" si="0"/>
        <v>2.777777777777779E-2</v>
      </c>
    </row>
    <row r="18" spans="1:11" x14ac:dyDescent="0.35">
      <c r="A18" s="53" t="s">
        <v>184</v>
      </c>
      <c r="B18" s="54" t="s">
        <v>315</v>
      </c>
      <c r="C18" s="54" t="s">
        <v>138</v>
      </c>
      <c r="D18" s="50">
        <v>0.61805555555555558</v>
      </c>
      <c r="E18" s="50">
        <v>0.64583333333333337</v>
      </c>
      <c r="F18" s="50">
        <v>0.70486111111111116</v>
      </c>
      <c r="G18" s="50"/>
      <c r="H18" s="50">
        <f t="shared" si="0"/>
        <v>5.902777777777779E-2</v>
      </c>
    </row>
    <row r="19" spans="1:11" x14ac:dyDescent="0.35">
      <c r="A19" s="53" t="s">
        <v>181</v>
      </c>
      <c r="B19" s="54" t="s">
        <v>125</v>
      </c>
      <c r="C19" s="54" t="s">
        <v>163</v>
      </c>
      <c r="D19" s="50">
        <v>0.60763888888888884</v>
      </c>
      <c r="E19" s="50">
        <v>0.66319444444444442</v>
      </c>
      <c r="F19" s="50">
        <v>0.69791666666666663</v>
      </c>
      <c r="G19" s="50"/>
      <c r="H19" s="50">
        <f t="shared" si="0"/>
        <v>3.472222222222221E-2</v>
      </c>
    </row>
    <row r="20" spans="1:11" x14ac:dyDescent="0.35">
      <c r="A20" s="53" t="s">
        <v>188</v>
      </c>
      <c r="B20" s="54" t="s">
        <v>316</v>
      </c>
      <c r="C20" s="54" t="s">
        <v>320</v>
      </c>
      <c r="D20" s="50">
        <v>0.59375</v>
      </c>
      <c r="E20" s="50">
        <v>0.64930555555555558</v>
      </c>
      <c r="F20" s="50">
        <v>0.68055555555555558</v>
      </c>
      <c r="G20" s="50"/>
      <c r="H20" s="50">
        <f t="shared" si="0"/>
        <v>3.125E-2</v>
      </c>
    </row>
    <row r="21" spans="1:11" x14ac:dyDescent="0.35">
      <c r="A21" s="53" t="s">
        <v>182</v>
      </c>
      <c r="B21" s="54" t="s">
        <v>316</v>
      </c>
      <c r="C21" s="54" t="s">
        <v>320</v>
      </c>
      <c r="D21" s="50">
        <v>0.59375</v>
      </c>
      <c r="E21" s="50">
        <v>0.70138888888888884</v>
      </c>
      <c r="F21" s="50">
        <v>0.72222222222222221</v>
      </c>
      <c r="G21" s="50"/>
      <c r="H21" s="50">
        <f t="shared" si="0"/>
        <v>2.083333333333337E-2</v>
      </c>
      <c r="I21" s="6"/>
      <c r="J21" s="5"/>
      <c r="K21" s="5"/>
    </row>
    <row r="22" spans="1:11" x14ac:dyDescent="0.35">
      <c r="A22" s="53" t="s">
        <v>174</v>
      </c>
      <c r="B22" s="54" t="s">
        <v>317</v>
      </c>
      <c r="C22" s="54" t="s">
        <v>321</v>
      </c>
      <c r="D22" s="50">
        <v>0.66666666666666663</v>
      </c>
      <c r="E22" s="50">
        <v>0.72569444444444442</v>
      </c>
      <c r="F22" s="50">
        <v>0.80208333333333337</v>
      </c>
      <c r="G22" s="50"/>
      <c r="H22" s="50">
        <f t="shared" si="0"/>
        <v>7.6388888888888951E-2</v>
      </c>
      <c r="I22" s="6"/>
      <c r="J22" s="5"/>
      <c r="K22" s="5"/>
    </row>
    <row r="23" spans="1:11" x14ac:dyDescent="0.35">
      <c r="A23" s="53" t="s">
        <v>182</v>
      </c>
      <c r="B23" s="54" t="s">
        <v>317</v>
      </c>
      <c r="C23" s="54" t="s">
        <v>321</v>
      </c>
      <c r="D23" s="50">
        <v>0.66666666666666663</v>
      </c>
      <c r="E23" s="50">
        <v>0.80555555555555558</v>
      </c>
      <c r="F23" s="50">
        <v>0.81597222222222221</v>
      </c>
      <c r="G23" s="50"/>
      <c r="H23" s="50">
        <f t="shared" si="0"/>
        <v>1.041666666666663E-2</v>
      </c>
      <c r="I23" s="6"/>
      <c r="J23" s="5"/>
      <c r="K23" s="5"/>
    </row>
    <row r="24" spans="1:11" x14ac:dyDescent="0.35">
      <c r="A24" s="53" t="s">
        <v>186</v>
      </c>
      <c r="B24" s="54" t="s">
        <v>122</v>
      </c>
      <c r="C24" s="54" t="s">
        <v>131</v>
      </c>
      <c r="D24" s="50">
        <v>0.59027777777777779</v>
      </c>
      <c r="E24" s="50">
        <v>0.625</v>
      </c>
      <c r="F24" s="50">
        <v>0.65972222222222221</v>
      </c>
      <c r="G24" s="50"/>
      <c r="H24" s="50">
        <f t="shared" si="0"/>
        <v>3.472222222222221E-2</v>
      </c>
      <c r="I24" s="6"/>
      <c r="J24" s="5"/>
      <c r="K24" s="5"/>
    </row>
    <row r="25" spans="1:11" x14ac:dyDescent="0.35">
      <c r="A25" s="53" t="s">
        <v>212</v>
      </c>
      <c r="B25" s="54" t="s">
        <v>149</v>
      </c>
      <c r="C25" s="54" t="s">
        <v>129</v>
      </c>
      <c r="D25" s="50">
        <v>0.60763888888888884</v>
      </c>
      <c r="E25" s="50">
        <v>0.64583333333333337</v>
      </c>
      <c r="F25" s="50">
        <v>0.67013888888888884</v>
      </c>
      <c r="G25" s="50"/>
      <c r="H25" s="50">
        <f t="shared" si="0"/>
        <v>2.4305555555555469E-2</v>
      </c>
    </row>
    <row r="26" spans="1:11" x14ac:dyDescent="0.35">
      <c r="A26" s="53" t="s">
        <v>208</v>
      </c>
      <c r="B26" s="54" t="s">
        <v>318</v>
      </c>
      <c r="C26" s="54" t="s">
        <v>167</v>
      </c>
      <c r="D26" s="50">
        <v>0.72916666666666663</v>
      </c>
      <c r="E26" s="50">
        <v>0.80555555555555558</v>
      </c>
      <c r="F26" s="50">
        <v>0.81944444444444442</v>
      </c>
      <c r="G26" s="50"/>
      <c r="H26" s="50">
        <f t="shared" si="0"/>
        <v>1.388888888888884E-2</v>
      </c>
    </row>
    <row r="27" spans="1:11" x14ac:dyDescent="0.35">
      <c r="A27" s="53" t="s">
        <v>209</v>
      </c>
      <c r="B27" s="54" t="s">
        <v>319</v>
      </c>
      <c r="C27" s="54" t="s">
        <v>141</v>
      </c>
      <c r="D27" s="50">
        <v>0.67361111111111116</v>
      </c>
      <c r="E27" s="50">
        <v>0.72569444444444442</v>
      </c>
      <c r="F27" s="50">
        <v>0.74652777777777779</v>
      </c>
      <c r="G27" s="50"/>
      <c r="H27" s="50">
        <f t="shared" si="0"/>
        <v>2.083333333333337E-2</v>
      </c>
    </row>
    <row r="28" spans="1:11" x14ac:dyDescent="0.35">
      <c r="A28" s="53" t="s">
        <v>208</v>
      </c>
      <c r="B28" s="54" t="s">
        <v>319</v>
      </c>
      <c r="C28" s="54" t="s">
        <v>141</v>
      </c>
      <c r="D28" s="50" t="s">
        <v>275</v>
      </c>
      <c r="E28" s="50" t="s">
        <v>276</v>
      </c>
      <c r="F28" s="50" t="s">
        <v>277</v>
      </c>
      <c r="G28" s="50"/>
      <c r="H28" s="50">
        <v>0</v>
      </c>
    </row>
    <row r="29" spans="1:11" x14ac:dyDescent="0.35">
      <c r="A29" s="53" t="s">
        <v>217</v>
      </c>
      <c r="B29" s="54" t="s">
        <v>156</v>
      </c>
      <c r="C29" s="54" t="s">
        <v>133</v>
      </c>
      <c r="D29" s="50">
        <v>0.625</v>
      </c>
      <c r="E29" s="50">
        <v>0.65972222222222221</v>
      </c>
      <c r="F29" s="50">
        <v>0.70138888888888884</v>
      </c>
      <c r="G29" s="50"/>
      <c r="H29" s="50">
        <f t="shared" si="0"/>
        <v>4.166666666666663E-2</v>
      </c>
    </row>
    <row r="30" spans="1:11" x14ac:dyDescent="0.35">
      <c r="A30" s="53" t="s">
        <v>224</v>
      </c>
      <c r="B30" s="54" t="s">
        <v>228</v>
      </c>
      <c r="C30" s="54" t="s">
        <v>127</v>
      </c>
      <c r="D30" s="50">
        <v>0.63888888888888884</v>
      </c>
      <c r="E30" s="50">
        <v>0.68055555555555558</v>
      </c>
      <c r="F30" s="50">
        <v>0.73263888888888884</v>
      </c>
      <c r="G30" s="50"/>
      <c r="H30" s="50">
        <f t="shared" si="0"/>
        <v>5.2083333333333259E-2</v>
      </c>
    </row>
    <row r="31" spans="1:11" x14ac:dyDescent="0.35">
      <c r="A31" s="53" t="s">
        <v>219</v>
      </c>
      <c r="B31" s="54" t="s">
        <v>125</v>
      </c>
      <c r="C31" s="54" t="s">
        <v>258</v>
      </c>
      <c r="D31" s="50" t="s">
        <v>247</v>
      </c>
      <c r="E31" s="50" t="s">
        <v>248</v>
      </c>
      <c r="F31" s="50"/>
      <c r="G31" s="50"/>
      <c r="H31" s="50">
        <v>0</v>
      </c>
    </row>
    <row r="32" spans="1:11" x14ac:dyDescent="0.35">
      <c r="A32" s="53" t="s">
        <v>193</v>
      </c>
      <c r="B32" s="54" t="s">
        <v>151</v>
      </c>
      <c r="C32" s="54" t="s">
        <v>132</v>
      </c>
      <c r="D32" s="50">
        <v>0.66319444444444442</v>
      </c>
      <c r="E32" s="50">
        <v>0.69791666666666663</v>
      </c>
      <c r="F32" s="50">
        <v>0.74305555555555558</v>
      </c>
      <c r="G32" s="50"/>
      <c r="H32" s="50">
        <f t="shared" si="0"/>
        <v>4.5138888888888951E-2</v>
      </c>
    </row>
    <row r="33" spans="1:8" x14ac:dyDescent="0.35">
      <c r="A33" s="53" t="s">
        <v>200</v>
      </c>
      <c r="B33" s="54" t="s">
        <v>251</v>
      </c>
      <c r="C33" s="54" t="s">
        <v>249</v>
      </c>
      <c r="D33" s="50">
        <v>0.72916666666666663</v>
      </c>
      <c r="E33" s="50">
        <v>0.77777777777777779</v>
      </c>
      <c r="F33" s="50">
        <v>0.8125</v>
      </c>
      <c r="G33" s="50"/>
      <c r="H33" s="50">
        <f t="shared" si="0"/>
        <v>3.472222222222221E-2</v>
      </c>
    </row>
    <row r="34" spans="1:8" x14ac:dyDescent="0.35">
      <c r="A34" s="53" t="s">
        <v>179</v>
      </c>
      <c r="B34" s="54" t="s">
        <v>150</v>
      </c>
      <c r="C34" s="54" t="s">
        <v>139</v>
      </c>
      <c r="D34" s="50">
        <v>0.75347222222222221</v>
      </c>
      <c r="E34" s="50">
        <v>0.82291666666666663</v>
      </c>
      <c r="F34" s="50">
        <v>0.84027777777777779</v>
      </c>
      <c r="G34" s="50"/>
      <c r="H34" s="50">
        <f t="shared" si="0"/>
        <v>1.736111111111116E-2</v>
      </c>
    </row>
    <row r="35" spans="1:8" x14ac:dyDescent="0.35">
      <c r="A35" s="53" t="s">
        <v>196</v>
      </c>
      <c r="B35" s="54" t="s">
        <v>150</v>
      </c>
      <c r="C35" s="54" t="s">
        <v>139</v>
      </c>
      <c r="D35" s="50">
        <v>0.75347222222222221</v>
      </c>
      <c r="E35" s="50">
        <v>0.84722222222222221</v>
      </c>
      <c r="F35" s="50">
        <v>0.85763888888888884</v>
      </c>
      <c r="G35" s="50"/>
      <c r="H35" s="50">
        <f t="shared" si="0"/>
        <v>1.041666666666663E-2</v>
      </c>
    </row>
    <row r="36" spans="1:8" x14ac:dyDescent="0.35">
      <c r="A36" s="53" t="s">
        <v>205</v>
      </c>
      <c r="B36" s="54" t="s">
        <v>254</v>
      </c>
      <c r="C36" s="54" t="s">
        <v>260</v>
      </c>
      <c r="D36" s="50">
        <v>0.72916666666666663</v>
      </c>
      <c r="E36" s="50">
        <v>0.83333333333333337</v>
      </c>
      <c r="F36" s="50">
        <v>0.85763888888888884</v>
      </c>
      <c r="G36" s="50"/>
      <c r="H36" s="50">
        <f t="shared" si="0"/>
        <v>2.4305555555555469E-2</v>
      </c>
    </row>
    <row r="37" spans="1:8" x14ac:dyDescent="0.35">
      <c r="A37" s="53" t="s">
        <v>199</v>
      </c>
      <c r="B37" s="54" t="s">
        <v>254</v>
      </c>
      <c r="C37" s="54" t="s">
        <v>260</v>
      </c>
      <c r="D37" s="50">
        <v>0.72916666666666663</v>
      </c>
      <c r="E37" s="50">
        <v>0.79166666666666663</v>
      </c>
      <c r="F37" s="50">
        <v>0.82638888888888884</v>
      </c>
      <c r="G37" s="50"/>
      <c r="H37" s="50">
        <f t="shared" si="0"/>
        <v>3.472222222222221E-2</v>
      </c>
    </row>
    <row r="38" spans="1:8" x14ac:dyDescent="0.35">
      <c r="A38" s="53" t="s">
        <v>191</v>
      </c>
      <c r="B38" s="54" t="s">
        <v>267</v>
      </c>
      <c r="C38" s="54" t="s">
        <v>269</v>
      </c>
      <c r="D38" s="50">
        <v>0.78472222222222221</v>
      </c>
      <c r="E38" s="50">
        <v>0.81944444444444442</v>
      </c>
      <c r="F38" s="50">
        <v>0.85763888888888884</v>
      </c>
      <c r="G38" s="50"/>
      <c r="H38" s="50">
        <f t="shared" si="0"/>
        <v>3.819444444444442E-2</v>
      </c>
    </row>
    <row r="39" spans="1:8" x14ac:dyDescent="0.35">
      <c r="A39" s="53" t="s">
        <v>197</v>
      </c>
      <c r="B39" s="54" t="s">
        <v>146</v>
      </c>
      <c r="C39" s="54" t="s">
        <v>140</v>
      </c>
      <c r="D39" s="50">
        <v>0.72916666666666663</v>
      </c>
      <c r="E39" s="50">
        <v>0.77430555555555558</v>
      </c>
      <c r="F39" s="50">
        <v>0.80555555555555558</v>
      </c>
      <c r="G39" s="50"/>
      <c r="H39" s="50">
        <f t="shared" si="0"/>
        <v>3.125E-2</v>
      </c>
    </row>
    <row r="40" spans="1:8" x14ac:dyDescent="0.35">
      <c r="A40" s="53" t="s">
        <v>218</v>
      </c>
      <c r="B40" s="54" t="s">
        <v>146</v>
      </c>
      <c r="C40" s="54" t="s">
        <v>140</v>
      </c>
      <c r="D40" s="50">
        <v>0.72916666666666663</v>
      </c>
      <c r="E40" s="50">
        <v>0.8125</v>
      </c>
      <c r="F40" s="50">
        <v>0.83333333333333337</v>
      </c>
      <c r="G40" s="50"/>
      <c r="H40" s="50">
        <f t="shared" si="0"/>
        <v>2.083333333333337E-2</v>
      </c>
    </row>
    <row r="41" spans="1:8" x14ac:dyDescent="0.35">
      <c r="A41" s="53" t="s">
        <v>183</v>
      </c>
      <c r="B41" s="54" t="s">
        <v>231</v>
      </c>
      <c r="C41" s="54" t="s">
        <v>232</v>
      </c>
      <c r="D41" s="50">
        <v>0.77083333333333337</v>
      </c>
      <c r="E41" s="50">
        <v>0.81944444444444442</v>
      </c>
      <c r="F41" s="50">
        <v>0.86111111111111116</v>
      </c>
      <c r="G41" s="50"/>
      <c r="H41" s="50">
        <f t="shared" si="0"/>
        <v>4.1666666666666741E-2</v>
      </c>
    </row>
    <row r="42" spans="1:8" x14ac:dyDescent="0.35">
      <c r="A42" s="53" t="s">
        <v>223</v>
      </c>
      <c r="B42" s="54" t="s">
        <v>323</v>
      </c>
      <c r="C42" s="54" t="s">
        <v>296</v>
      </c>
      <c r="D42" s="50">
        <v>0.72916666666666663</v>
      </c>
      <c r="E42" s="50">
        <v>0.8125</v>
      </c>
      <c r="F42" s="50">
        <v>0.82291666666666663</v>
      </c>
      <c r="G42" s="50"/>
      <c r="H42" s="50">
        <f t="shared" si="0"/>
        <v>1.041666666666663E-2</v>
      </c>
    </row>
    <row r="43" spans="1:8" x14ac:dyDescent="0.35">
      <c r="A43" s="53" t="s">
        <v>214</v>
      </c>
      <c r="B43" s="54" t="s">
        <v>162</v>
      </c>
      <c r="C43" s="54" t="s">
        <v>161</v>
      </c>
      <c r="D43" s="50" t="s">
        <v>275</v>
      </c>
      <c r="E43" s="50" t="s">
        <v>276</v>
      </c>
      <c r="F43" s="50" t="s">
        <v>277</v>
      </c>
      <c r="G43" s="50"/>
      <c r="H43" s="50">
        <v>0</v>
      </c>
    </row>
    <row r="44" spans="1:8" x14ac:dyDescent="0.35">
      <c r="A44" s="53" t="s">
        <v>176</v>
      </c>
      <c r="B44" s="54" t="s">
        <v>169</v>
      </c>
      <c r="C44" s="54" t="s">
        <v>170</v>
      </c>
      <c r="D44" s="50" t="s">
        <v>247</v>
      </c>
      <c r="E44" s="50" t="s">
        <v>248</v>
      </c>
      <c r="F44" s="50"/>
      <c r="G44" s="50"/>
      <c r="H44" s="50">
        <v>0</v>
      </c>
    </row>
    <row r="45" spans="1:8" x14ac:dyDescent="0.35">
      <c r="A45" s="53" t="s">
        <v>178</v>
      </c>
      <c r="B45" s="54" t="s">
        <v>169</v>
      </c>
      <c r="C45" s="54" t="s">
        <v>170</v>
      </c>
      <c r="D45" s="50" t="s">
        <v>247</v>
      </c>
      <c r="E45" s="50" t="s">
        <v>248</v>
      </c>
      <c r="F45" s="50"/>
      <c r="G45" s="50"/>
      <c r="H45" s="50">
        <v>0</v>
      </c>
    </row>
    <row r="46" spans="1:8" x14ac:dyDescent="0.35">
      <c r="A46" s="53" t="s">
        <v>206</v>
      </c>
      <c r="B46" s="54" t="s">
        <v>160</v>
      </c>
      <c r="C46" s="54" t="s">
        <v>159</v>
      </c>
      <c r="D46" s="50">
        <v>0.72569444444444442</v>
      </c>
      <c r="E46" s="50">
        <v>0.80902777777777779</v>
      </c>
      <c r="F46" s="50">
        <v>0.83680555555555558</v>
      </c>
      <c r="G46" s="50"/>
      <c r="H46" s="50">
        <f t="shared" si="0"/>
        <v>2.777777777777779E-2</v>
      </c>
    </row>
    <row r="47" spans="1:8" x14ac:dyDescent="0.35">
      <c r="A47" s="53" t="s">
        <v>216</v>
      </c>
      <c r="B47" s="54" t="s">
        <v>160</v>
      </c>
      <c r="C47" s="54" t="s">
        <v>159</v>
      </c>
      <c r="D47" s="50">
        <v>0.72569444444444442</v>
      </c>
      <c r="E47" s="50">
        <v>0.77777777777777779</v>
      </c>
      <c r="F47" s="50">
        <v>0.79513888888888884</v>
      </c>
      <c r="G47" s="50"/>
      <c r="H47" s="50">
        <f t="shared" si="0"/>
        <v>1.7361111111111049E-2</v>
      </c>
    </row>
    <row r="48" spans="1:8" x14ac:dyDescent="0.35">
      <c r="A48" s="53" t="s">
        <v>194</v>
      </c>
      <c r="B48" s="54" t="s">
        <v>227</v>
      </c>
      <c r="C48" s="54" t="s">
        <v>226</v>
      </c>
      <c r="D48" s="50">
        <v>0.74305555555555558</v>
      </c>
      <c r="E48" s="50">
        <v>0.77083333333333337</v>
      </c>
      <c r="F48" s="50">
        <v>0.79861111111111116</v>
      </c>
      <c r="G48" s="50"/>
      <c r="H48" s="50">
        <f t="shared" si="0"/>
        <v>2.777777777777779E-2</v>
      </c>
    </row>
    <row r="49" spans="1:8" x14ac:dyDescent="0.35">
      <c r="A49" s="53" t="s">
        <v>222</v>
      </c>
      <c r="B49" s="54" t="s">
        <v>297</v>
      </c>
      <c r="C49" s="54" t="s">
        <v>322</v>
      </c>
      <c r="D49" s="50" t="s">
        <v>247</v>
      </c>
      <c r="E49" s="50" t="s">
        <v>248</v>
      </c>
      <c r="F49" s="50"/>
      <c r="G49" s="50"/>
      <c r="H49" s="50">
        <v>0</v>
      </c>
    </row>
    <row r="50" spans="1:8" x14ac:dyDescent="0.35">
      <c r="A50" s="53" t="s">
        <v>185</v>
      </c>
      <c r="B50" s="54" t="s">
        <v>297</v>
      </c>
      <c r="C50" s="54" t="s">
        <v>322</v>
      </c>
      <c r="D50" s="50" t="s">
        <v>247</v>
      </c>
      <c r="E50" s="50" t="s">
        <v>248</v>
      </c>
      <c r="F50" s="50"/>
      <c r="G50" s="50"/>
      <c r="H50" s="50">
        <v>0</v>
      </c>
    </row>
    <row r="51" spans="1:8" x14ac:dyDescent="0.35">
      <c r="A51" s="53" t="s">
        <v>220</v>
      </c>
      <c r="B51" s="54" t="s">
        <v>145</v>
      </c>
      <c r="C51" s="54" t="s">
        <v>137</v>
      </c>
      <c r="D51" s="50">
        <v>0.76736111111111116</v>
      </c>
      <c r="E51" s="50">
        <v>0.82291666666666663</v>
      </c>
      <c r="F51" s="50">
        <v>0.84375</v>
      </c>
      <c r="G51" s="50"/>
      <c r="H51" s="50">
        <f t="shared" si="0"/>
        <v>2.083333333333337E-2</v>
      </c>
    </row>
    <row r="52" spans="1:8" x14ac:dyDescent="0.35">
      <c r="A52" s="53"/>
      <c r="B52" s="54"/>
      <c r="C52" s="54"/>
      <c r="D52" s="50"/>
      <c r="E52" s="50"/>
      <c r="F52" s="50"/>
      <c r="G52" s="50"/>
      <c r="H52" s="50">
        <f t="shared" si="0"/>
        <v>0</v>
      </c>
    </row>
    <row r="53" spans="1:8" x14ac:dyDescent="0.35">
      <c r="A53" s="53"/>
      <c r="B53" s="54"/>
      <c r="C53" s="54"/>
      <c r="D53" s="50"/>
      <c r="E53" s="50"/>
      <c r="F53" s="50"/>
      <c r="G53" s="50"/>
      <c r="H53" s="50">
        <f t="shared" si="0"/>
        <v>0</v>
      </c>
    </row>
    <row r="54" spans="1:8" x14ac:dyDescent="0.35">
      <c r="A54" s="53"/>
      <c r="B54" s="54"/>
      <c r="C54" s="54"/>
      <c r="D54" s="50"/>
      <c r="E54" s="50"/>
      <c r="F54" s="50"/>
      <c r="G54" s="50"/>
      <c r="H54" s="50">
        <f t="shared" si="0"/>
        <v>0</v>
      </c>
    </row>
    <row r="55" spans="1:8" x14ac:dyDescent="0.35">
      <c r="A55" s="53"/>
      <c r="B55" s="54"/>
      <c r="C55" s="54"/>
      <c r="D55" s="50"/>
      <c r="E55" s="50"/>
      <c r="F55" s="50"/>
      <c r="G55" s="50"/>
      <c r="H55" s="50">
        <f t="shared" si="0"/>
        <v>0</v>
      </c>
    </row>
    <row r="56" spans="1:8" x14ac:dyDescent="0.35">
      <c r="A56" s="53"/>
      <c r="B56" s="54"/>
      <c r="C56" s="54"/>
      <c r="D56" s="50"/>
      <c r="E56" s="50"/>
      <c r="F56" s="50"/>
      <c r="G56" s="50"/>
      <c r="H56" s="50">
        <f t="shared" si="0"/>
        <v>0</v>
      </c>
    </row>
    <row r="57" spans="1:8" x14ac:dyDescent="0.35">
      <c r="A57" s="53"/>
      <c r="B57" s="54"/>
      <c r="C57" s="54"/>
      <c r="D57" s="50"/>
      <c r="E57" s="50"/>
      <c r="F57" s="50"/>
      <c r="G57" s="50"/>
      <c r="H57" s="50">
        <f t="shared" si="0"/>
        <v>0</v>
      </c>
    </row>
    <row r="58" spans="1:8" x14ac:dyDescent="0.35">
      <c r="A58" s="53"/>
      <c r="B58" s="54"/>
      <c r="C58" s="54"/>
      <c r="D58" s="50"/>
      <c r="E58" s="50"/>
      <c r="F58" s="50"/>
      <c r="G58" s="50"/>
      <c r="H58" s="50">
        <f t="shared" si="0"/>
        <v>0</v>
      </c>
    </row>
    <row r="59" spans="1:8" x14ac:dyDescent="0.35">
      <c r="A59" s="53"/>
      <c r="B59" s="54"/>
      <c r="C59" s="54"/>
      <c r="D59" s="50"/>
      <c r="E59" s="50"/>
      <c r="F59" s="50"/>
      <c r="G59" s="50"/>
      <c r="H59" s="50">
        <f t="shared" si="0"/>
        <v>0</v>
      </c>
    </row>
    <row r="60" spans="1:8" x14ac:dyDescent="0.35">
      <c r="A60" s="53"/>
      <c r="B60" s="54"/>
      <c r="C60" s="54"/>
      <c r="D60" s="50"/>
      <c r="E60" s="50"/>
      <c r="F60" s="50"/>
      <c r="G60" s="50"/>
      <c r="H60" s="50">
        <f t="shared" si="0"/>
        <v>0</v>
      </c>
    </row>
    <row r="61" spans="1:8" x14ac:dyDescent="0.35">
      <c r="A61" s="53"/>
      <c r="B61" s="54"/>
      <c r="C61" s="54"/>
      <c r="D61" s="50"/>
      <c r="E61" s="50"/>
      <c r="F61" s="50"/>
      <c r="G61" s="50"/>
      <c r="H61" s="50">
        <f t="shared" si="0"/>
        <v>0</v>
      </c>
    </row>
    <row r="62" spans="1:8" x14ac:dyDescent="0.35">
      <c r="A62" s="53"/>
      <c r="B62" s="54"/>
      <c r="C62" s="54"/>
      <c r="D62" s="50"/>
      <c r="E62" s="50"/>
      <c r="F62" s="50"/>
      <c r="G62" s="50"/>
      <c r="H62" s="50">
        <f t="shared" si="0"/>
        <v>0</v>
      </c>
    </row>
    <row r="63" spans="1:8" x14ac:dyDescent="0.35">
      <c r="A63" s="53"/>
      <c r="B63" s="54"/>
      <c r="C63" s="54"/>
      <c r="D63" s="50"/>
      <c r="E63" s="50"/>
      <c r="F63" s="50"/>
      <c r="G63" s="50"/>
      <c r="H63" s="50">
        <f t="shared" si="0"/>
        <v>0</v>
      </c>
    </row>
    <row r="64" spans="1:8" x14ac:dyDescent="0.35">
      <c r="A64" s="53"/>
      <c r="B64" s="54"/>
      <c r="C64" s="54"/>
      <c r="D64" s="50"/>
      <c r="E64" s="50"/>
      <c r="F64" s="50"/>
      <c r="G64" s="50"/>
      <c r="H64" s="50">
        <f t="shared" si="0"/>
        <v>0</v>
      </c>
    </row>
    <row r="65" spans="1:8" x14ac:dyDescent="0.35">
      <c r="A65" s="53"/>
      <c r="B65" s="54"/>
      <c r="C65" s="54"/>
      <c r="D65" s="50"/>
      <c r="E65" s="50"/>
      <c r="F65" s="50"/>
      <c r="G65" s="50"/>
      <c r="H65" s="50">
        <f t="shared" si="0"/>
        <v>0</v>
      </c>
    </row>
    <row r="66" spans="1:8" x14ac:dyDescent="0.35">
      <c r="A66" s="53"/>
      <c r="B66" s="54"/>
      <c r="C66" s="54"/>
      <c r="D66" s="50"/>
      <c r="E66" s="50"/>
      <c r="F66" s="50"/>
      <c r="G66" s="50"/>
      <c r="H66" s="50">
        <f t="shared" si="0"/>
        <v>0</v>
      </c>
    </row>
    <row r="67" spans="1:8" x14ac:dyDescent="0.35">
      <c r="A67" s="53"/>
      <c r="B67" s="54"/>
      <c r="C67" s="54"/>
      <c r="D67" s="50"/>
      <c r="E67" s="50"/>
      <c r="F67" s="50"/>
      <c r="G67" s="50"/>
      <c r="H67" s="50">
        <f t="shared" ref="H67:H69" si="1">MOD(F67-E67, 1)</f>
        <v>0</v>
      </c>
    </row>
    <row r="68" spans="1:8" x14ac:dyDescent="0.35">
      <c r="A68" s="53"/>
      <c r="B68" s="54"/>
      <c r="C68" s="54"/>
      <c r="D68" s="50"/>
      <c r="E68" s="50"/>
      <c r="F68" s="50"/>
      <c r="G68" s="50"/>
      <c r="H68" s="50">
        <f t="shared" si="1"/>
        <v>0</v>
      </c>
    </row>
    <row r="69" spans="1:8" x14ac:dyDescent="0.35">
      <c r="A69" s="53"/>
      <c r="B69" s="54"/>
      <c r="C69" s="54"/>
      <c r="D69" s="50"/>
      <c r="E69" s="50"/>
      <c r="F69" s="50"/>
      <c r="G69" s="50"/>
      <c r="H69" s="50">
        <f t="shared" si="1"/>
        <v>0</v>
      </c>
    </row>
  </sheetData>
  <autoFilter ref="A2:F38" xr:uid="{00000000-0001-0000-0000-000000000000}">
    <sortState xmlns:xlrd2="http://schemas.microsoft.com/office/spreadsheetml/2017/richdata2" ref="A3:F18">
      <sortCondition ref="A2"/>
    </sortState>
  </autoFilter>
  <conditionalFormatting sqref="H3:H412">
    <cfRule type="cellIs" dxfId="16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53703-B4F0-4051-ACC8-D7125289D4F5}">
  <sheetPr>
    <pageSetUpPr fitToPage="1"/>
  </sheetPr>
  <dimension ref="A1:K69"/>
  <sheetViews>
    <sheetView showGridLines="0" topLeftCell="B1" zoomScale="70" zoomScaleNormal="70" workbookViewId="0">
      <pane ySplit="2" topLeftCell="A3" activePane="bottomLeft" state="frozen"/>
      <selection pane="bottomLeft" activeCell="I5" sqref="I5"/>
    </sheetView>
  </sheetViews>
  <sheetFormatPr defaultColWidth="9" defaultRowHeight="23.25" x14ac:dyDescent="0.35"/>
  <cols>
    <col min="1" max="1" width="41.7109375" style="29" bestFit="1" customWidth="1"/>
    <col min="2" max="2" width="38" style="7" bestFit="1" customWidth="1"/>
    <col min="3" max="3" width="16.28515625" style="6" bestFit="1" customWidth="1"/>
    <col min="4" max="4" width="20.28515625" style="5" bestFit="1" customWidth="1"/>
    <col min="5" max="5" width="23" style="5" bestFit="1" customWidth="1"/>
    <col min="6" max="6" width="24.5703125" style="3" bestFit="1" customWidth="1"/>
    <col min="7" max="7" width="0.28515625" style="1" customWidth="1"/>
    <col min="8" max="8" width="24.85546875" style="28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39" t="s">
        <v>4</v>
      </c>
      <c r="B1" s="40"/>
      <c r="C1" s="41"/>
      <c r="D1" s="42"/>
      <c r="E1" s="42"/>
      <c r="F1" s="43"/>
      <c r="G1" s="44"/>
      <c r="H1" s="51"/>
    </row>
    <row r="2" spans="1:10" s="2" customFormat="1" x14ac:dyDescent="0.35">
      <c r="A2" s="45" t="s">
        <v>0</v>
      </c>
      <c r="B2" s="45" t="s">
        <v>1</v>
      </c>
      <c r="C2" s="45" t="s">
        <v>2</v>
      </c>
      <c r="D2" s="46" t="s">
        <v>3</v>
      </c>
      <c r="E2" s="46" t="s">
        <v>236</v>
      </c>
      <c r="F2" s="45" t="s">
        <v>5</v>
      </c>
      <c r="G2" s="47"/>
      <c r="H2" s="48" t="s">
        <v>274</v>
      </c>
    </row>
    <row r="3" spans="1:10" x14ac:dyDescent="0.35">
      <c r="A3" s="53" t="s">
        <v>210</v>
      </c>
      <c r="B3" s="54" t="s">
        <v>117</v>
      </c>
      <c r="C3" s="54" t="s">
        <v>126</v>
      </c>
      <c r="D3" s="50">
        <v>0.18402777777777779</v>
      </c>
      <c r="E3" s="50">
        <v>0.20833333333333334</v>
      </c>
      <c r="F3" s="50">
        <v>0.2986111111111111</v>
      </c>
      <c r="G3" s="50"/>
      <c r="H3" s="50">
        <f t="shared" ref="H3:H66" si="0">MOD(F3-E3, 1)</f>
        <v>9.0277777777777762E-2</v>
      </c>
    </row>
    <row r="4" spans="1:10" s="4" customFormat="1" x14ac:dyDescent="0.35">
      <c r="A4" s="53" t="s">
        <v>207</v>
      </c>
      <c r="B4" s="54" t="s">
        <v>120</v>
      </c>
      <c r="C4" s="54" t="s">
        <v>129</v>
      </c>
      <c r="D4" s="50">
        <v>0.15277777777777779</v>
      </c>
      <c r="E4" s="50">
        <v>0.18402777777777779</v>
      </c>
      <c r="F4" s="50">
        <v>0.30555555555555558</v>
      </c>
      <c r="G4" s="50"/>
      <c r="H4" s="50">
        <f t="shared" si="0"/>
        <v>0.12152777777777779</v>
      </c>
    </row>
    <row r="5" spans="1:10" s="4" customFormat="1" x14ac:dyDescent="0.35">
      <c r="A5" s="53" t="s">
        <v>204</v>
      </c>
      <c r="B5" s="54" t="s">
        <v>119</v>
      </c>
      <c r="C5" s="54" t="s">
        <v>128</v>
      </c>
      <c r="D5" s="50">
        <v>0.2013888888888889</v>
      </c>
      <c r="E5" s="50">
        <v>0.22916666666666666</v>
      </c>
      <c r="F5" s="50">
        <v>0.24305555555555555</v>
      </c>
      <c r="G5" s="50"/>
      <c r="H5" s="50">
        <f t="shared" si="0"/>
        <v>1.3888888888888895E-2</v>
      </c>
    </row>
    <row r="6" spans="1:10" x14ac:dyDescent="0.35">
      <c r="A6" s="53" t="s">
        <v>195</v>
      </c>
      <c r="B6" s="54" t="s">
        <v>309</v>
      </c>
      <c r="C6" s="54" t="s">
        <v>127</v>
      </c>
      <c r="D6" s="50">
        <v>0.21527777777777779</v>
      </c>
      <c r="E6" s="50">
        <v>0.24652777777777779</v>
      </c>
      <c r="F6" s="50">
        <v>0.30902777777777779</v>
      </c>
      <c r="G6" s="50"/>
      <c r="H6" s="50">
        <f t="shared" si="0"/>
        <v>6.25E-2</v>
      </c>
    </row>
    <row r="7" spans="1:10" x14ac:dyDescent="0.35">
      <c r="A7" s="53" t="s">
        <v>177</v>
      </c>
      <c r="B7" s="54" t="s">
        <v>121</v>
      </c>
      <c r="C7" s="54" t="s">
        <v>130</v>
      </c>
      <c r="D7" s="50">
        <v>0.2048611111111111</v>
      </c>
      <c r="E7" s="50">
        <v>0.24652777777777779</v>
      </c>
      <c r="F7" s="50">
        <v>0.3611111111111111</v>
      </c>
      <c r="G7" s="50"/>
      <c r="H7" s="50">
        <f t="shared" si="0"/>
        <v>0.11458333333333331</v>
      </c>
    </row>
    <row r="8" spans="1:10" x14ac:dyDescent="0.35">
      <c r="A8" s="53" t="s">
        <v>192</v>
      </c>
      <c r="B8" s="54" t="s">
        <v>122</v>
      </c>
      <c r="C8" s="54" t="s">
        <v>131</v>
      </c>
      <c r="D8" s="50">
        <v>0.1875</v>
      </c>
      <c r="E8" s="50">
        <v>0.21527777777777779</v>
      </c>
      <c r="F8" s="50">
        <v>0.28125</v>
      </c>
      <c r="G8" s="50"/>
      <c r="H8" s="50">
        <f t="shared" si="0"/>
        <v>6.597222222222221E-2</v>
      </c>
    </row>
    <row r="9" spans="1:10" s="4" customFormat="1" x14ac:dyDescent="0.35">
      <c r="A9" s="53" t="s">
        <v>201</v>
      </c>
      <c r="B9" s="54" t="s">
        <v>148</v>
      </c>
      <c r="C9" s="54" t="s">
        <v>141</v>
      </c>
      <c r="D9" s="50">
        <v>0.19791666666666666</v>
      </c>
      <c r="E9" s="50">
        <v>0.22916666666666666</v>
      </c>
      <c r="F9" s="50">
        <v>0.23958333333333334</v>
      </c>
      <c r="G9" s="50"/>
      <c r="H9" s="50">
        <f t="shared" si="0"/>
        <v>1.0416666666666685E-2</v>
      </c>
      <c r="I9" s="8"/>
      <c r="J9" s="8"/>
    </row>
    <row r="10" spans="1:10" s="4" customFormat="1" x14ac:dyDescent="0.35">
      <c r="A10" s="53" t="s">
        <v>189</v>
      </c>
      <c r="B10" s="54" t="s">
        <v>148</v>
      </c>
      <c r="C10" s="54" t="s">
        <v>141</v>
      </c>
      <c r="D10" s="50">
        <v>0.19791666666666666</v>
      </c>
      <c r="E10" s="50">
        <v>0.24305555555555555</v>
      </c>
      <c r="F10" s="50">
        <v>0.25694444444444442</v>
      </c>
      <c r="G10" s="50"/>
      <c r="H10" s="50">
        <f t="shared" si="0"/>
        <v>1.3888888888888867E-2</v>
      </c>
      <c r="I10" s="8"/>
      <c r="J10" s="8"/>
    </row>
    <row r="11" spans="1:10" x14ac:dyDescent="0.35">
      <c r="A11" s="53" t="s">
        <v>180</v>
      </c>
      <c r="B11" s="54" t="s">
        <v>156</v>
      </c>
      <c r="C11" s="54" t="s">
        <v>133</v>
      </c>
      <c r="D11" s="50">
        <v>0.23958333333333334</v>
      </c>
      <c r="E11" s="50">
        <v>0.29166666666666669</v>
      </c>
      <c r="F11" s="50">
        <v>0.44097222222222221</v>
      </c>
      <c r="G11" s="50"/>
      <c r="H11" s="50">
        <f t="shared" si="0"/>
        <v>0.14930555555555552</v>
      </c>
      <c r="I11" s="8"/>
      <c r="J11" s="8"/>
    </row>
    <row r="12" spans="1:10" x14ac:dyDescent="0.35">
      <c r="A12" s="53" t="s">
        <v>221</v>
      </c>
      <c r="B12" s="54" t="s">
        <v>124</v>
      </c>
      <c r="C12" s="54" t="s">
        <v>134</v>
      </c>
      <c r="D12" s="50">
        <v>0.14583333333333334</v>
      </c>
      <c r="E12" s="50">
        <v>0.17708333333333334</v>
      </c>
      <c r="F12" s="50">
        <v>0.29166666666666669</v>
      </c>
      <c r="G12" s="50"/>
      <c r="H12" s="50">
        <f t="shared" si="0"/>
        <v>0.11458333333333334</v>
      </c>
    </row>
    <row r="13" spans="1:10" x14ac:dyDescent="0.35">
      <c r="A13" s="53" t="s">
        <v>187</v>
      </c>
      <c r="B13" s="54" t="s">
        <v>272</v>
      </c>
      <c r="C13" s="54" t="s">
        <v>163</v>
      </c>
      <c r="D13" s="50">
        <v>0.13541666666666666</v>
      </c>
      <c r="E13" s="50">
        <v>0.2638888888888889</v>
      </c>
      <c r="F13" s="50">
        <v>0.3125</v>
      </c>
      <c r="G13" s="50"/>
      <c r="H13" s="50">
        <f t="shared" si="0"/>
        <v>4.8611111111111105E-2</v>
      </c>
    </row>
    <row r="14" spans="1:10" x14ac:dyDescent="0.35">
      <c r="A14" s="53" t="s">
        <v>202</v>
      </c>
      <c r="B14" s="54" t="s">
        <v>252</v>
      </c>
      <c r="C14" s="54" t="s">
        <v>250</v>
      </c>
      <c r="D14" s="50">
        <v>0.60763888888888884</v>
      </c>
      <c r="E14" s="50">
        <v>0.64583333333333337</v>
      </c>
      <c r="F14" s="50">
        <v>0.66319444444444442</v>
      </c>
      <c r="G14" s="50"/>
      <c r="H14" s="50">
        <f t="shared" si="0"/>
        <v>1.7361111111111049E-2</v>
      </c>
    </row>
    <row r="15" spans="1:10" x14ac:dyDescent="0.35">
      <c r="A15" s="53" t="s">
        <v>203</v>
      </c>
      <c r="B15" s="54" t="s">
        <v>252</v>
      </c>
      <c r="C15" s="54" t="s">
        <v>250</v>
      </c>
      <c r="D15" s="50">
        <v>0.60763888888888884</v>
      </c>
      <c r="E15" s="50">
        <v>0.67708333333333337</v>
      </c>
      <c r="F15" s="50">
        <v>0.69444444444444442</v>
      </c>
      <c r="G15" s="50"/>
      <c r="H15" s="50">
        <f t="shared" si="0"/>
        <v>1.7361111111111049E-2</v>
      </c>
    </row>
    <row r="16" spans="1:10" x14ac:dyDescent="0.35">
      <c r="A16" s="53" t="s">
        <v>180</v>
      </c>
      <c r="B16" s="54" t="s">
        <v>284</v>
      </c>
      <c r="C16" s="54" t="s">
        <v>286</v>
      </c>
      <c r="D16" s="50">
        <v>0.60416666666666663</v>
      </c>
      <c r="E16" s="50">
        <v>0.64236111111111116</v>
      </c>
      <c r="F16" s="50">
        <v>0.68402777777777779</v>
      </c>
      <c r="G16" s="50"/>
      <c r="H16" s="50">
        <f t="shared" si="0"/>
        <v>4.166666666666663E-2</v>
      </c>
    </row>
    <row r="17" spans="1:11" x14ac:dyDescent="0.35">
      <c r="A17" s="53" t="s">
        <v>184</v>
      </c>
      <c r="B17" s="54" t="s">
        <v>314</v>
      </c>
      <c r="C17" s="54" t="s">
        <v>154</v>
      </c>
      <c r="D17" s="50">
        <v>0.49305555555555558</v>
      </c>
      <c r="E17" s="50">
        <v>0.54861111111111116</v>
      </c>
      <c r="F17" s="50">
        <v>0.61805555555555558</v>
      </c>
      <c r="G17" s="50"/>
      <c r="H17" s="50">
        <f t="shared" si="0"/>
        <v>6.944444444444442E-2</v>
      </c>
    </row>
    <row r="18" spans="1:11" x14ac:dyDescent="0.35">
      <c r="A18" s="53" t="s">
        <v>184</v>
      </c>
      <c r="B18" s="54" t="s">
        <v>315</v>
      </c>
      <c r="C18" s="54" t="s">
        <v>138</v>
      </c>
      <c r="D18" s="50">
        <v>0.53472222222222221</v>
      </c>
      <c r="E18" s="50">
        <v>0.57291666666666663</v>
      </c>
      <c r="F18" s="50">
        <v>0.63888888888888884</v>
      </c>
      <c r="G18" s="50"/>
      <c r="H18" s="50">
        <f t="shared" si="0"/>
        <v>6.597222222222221E-2</v>
      </c>
    </row>
    <row r="19" spans="1:11" x14ac:dyDescent="0.35">
      <c r="A19" s="53" t="s">
        <v>181</v>
      </c>
      <c r="B19" s="54" t="s">
        <v>125</v>
      </c>
      <c r="C19" s="54" t="s">
        <v>163</v>
      </c>
      <c r="D19" s="50">
        <v>0.67013888888888884</v>
      </c>
      <c r="E19" s="50">
        <v>0.73611111111111116</v>
      </c>
      <c r="F19" s="50">
        <v>0.77430555555555558</v>
      </c>
      <c r="G19" s="50"/>
      <c r="H19" s="50">
        <f t="shared" si="0"/>
        <v>3.819444444444442E-2</v>
      </c>
    </row>
    <row r="20" spans="1:11" x14ac:dyDescent="0.35">
      <c r="A20" s="53" t="s">
        <v>188</v>
      </c>
      <c r="B20" s="54" t="s">
        <v>149</v>
      </c>
      <c r="C20" s="54" t="s">
        <v>129</v>
      </c>
      <c r="D20" s="50">
        <v>0.61111111111111116</v>
      </c>
      <c r="E20" s="50">
        <v>0.66666666666666663</v>
      </c>
      <c r="F20" s="50">
        <v>0.71527777777777779</v>
      </c>
      <c r="G20" s="50"/>
      <c r="H20" s="50">
        <f t="shared" si="0"/>
        <v>4.861111111111116E-2</v>
      </c>
    </row>
    <row r="21" spans="1:11" x14ac:dyDescent="0.35">
      <c r="A21" s="53" t="s">
        <v>174</v>
      </c>
      <c r="B21" s="54" t="s">
        <v>157</v>
      </c>
      <c r="C21" s="54" t="s">
        <v>158</v>
      </c>
      <c r="D21" s="50">
        <v>0.66319444444444442</v>
      </c>
      <c r="E21" s="50">
        <v>0.72569444444444442</v>
      </c>
      <c r="F21" s="50">
        <v>0.75694444444444442</v>
      </c>
      <c r="G21" s="50"/>
      <c r="H21" s="50">
        <f t="shared" si="0"/>
        <v>3.125E-2</v>
      </c>
      <c r="I21" s="6"/>
      <c r="J21" s="5"/>
      <c r="K21" s="5"/>
    </row>
    <row r="22" spans="1:11" x14ac:dyDescent="0.35">
      <c r="A22" s="53" t="s">
        <v>182</v>
      </c>
      <c r="B22" s="54" t="s">
        <v>157</v>
      </c>
      <c r="C22" s="54" t="s">
        <v>158</v>
      </c>
      <c r="D22" s="50">
        <v>0.66319444444444442</v>
      </c>
      <c r="E22" s="50">
        <v>0.76041666666666663</v>
      </c>
      <c r="F22" s="50">
        <v>0.78472222222222221</v>
      </c>
      <c r="G22" s="50"/>
      <c r="H22" s="50">
        <f t="shared" si="0"/>
        <v>2.430555555555558E-2</v>
      </c>
      <c r="I22" s="6"/>
      <c r="J22" s="5"/>
      <c r="K22" s="5"/>
    </row>
    <row r="23" spans="1:11" x14ac:dyDescent="0.35">
      <c r="A23" s="53" t="s">
        <v>186</v>
      </c>
      <c r="B23" s="54" t="s">
        <v>251</v>
      </c>
      <c r="C23" s="54" t="s">
        <v>249</v>
      </c>
      <c r="D23" s="50" t="s">
        <v>275</v>
      </c>
      <c r="E23" s="50" t="s">
        <v>276</v>
      </c>
      <c r="F23" s="50" t="s">
        <v>277</v>
      </c>
      <c r="G23" s="50"/>
      <c r="H23" s="50">
        <v>0</v>
      </c>
      <c r="I23" s="6"/>
      <c r="J23" s="5"/>
      <c r="K23" s="5"/>
    </row>
    <row r="24" spans="1:11" x14ac:dyDescent="0.35">
      <c r="A24" s="53" t="s">
        <v>212</v>
      </c>
      <c r="B24" s="54" t="s">
        <v>124</v>
      </c>
      <c r="C24" s="54" t="s">
        <v>134</v>
      </c>
      <c r="D24" s="50">
        <v>0.65625</v>
      </c>
      <c r="E24" s="50">
        <v>0.69444444444444442</v>
      </c>
      <c r="F24" s="50">
        <v>0.71180555555555558</v>
      </c>
      <c r="G24" s="50"/>
      <c r="H24" s="50">
        <f t="shared" si="0"/>
        <v>1.736111111111116E-2</v>
      </c>
      <c r="I24" s="6"/>
      <c r="J24" s="5"/>
      <c r="K24" s="5"/>
    </row>
    <row r="25" spans="1:11" x14ac:dyDescent="0.35">
      <c r="A25" s="53" t="s">
        <v>208</v>
      </c>
      <c r="B25" s="54" t="s">
        <v>324</v>
      </c>
      <c r="C25" s="54" t="s">
        <v>161</v>
      </c>
      <c r="D25" s="50">
        <v>0.69791666666666663</v>
      </c>
      <c r="E25" s="50">
        <v>0.73958333333333337</v>
      </c>
      <c r="F25" s="50">
        <v>0.76736111111111116</v>
      </c>
      <c r="G25" s="50"/>
      <c r="H25" s="50">
        <f t="shared" si="0"/>
        <v>2.777777777777779E-2</v>
      </c>
    </row>
    <row r="26" spans="1:11" x14ac:dyDescent="0.35">
      <c r="A26" s="53" t="s">
        <v>209</v>
      </c>
      <c r="B26" s="54" t="s">
        <v>325</v>
      </c>
      <c r="C26" s="54" t="s">
        <v>127</v>
      </c>
      <c r="D26" s="50">
        <v>0.69097222222222221</v>
      </c>
      <c r="E26" s="50">
        <v>0.74652777777777779</v>
      </c>
      <c r="F26" s="50">
        <v>0.77083333333333337</v>
      </c>
      <c r="G26" s="50"/>
      <c r="H26" s="50">
        <f t="shared" si="0"/>
        <v>2.430555555555558E-2</v>
      </c>
    </row>
    <row r="27" spans="1:11" x14ac:dyDescent="0.35">
      <c r="A27" s="53" t="s">
        <v>208</v>
      </c>
      <c r="B27" s="54" t="s">
        <v>325</v>
      </c>
      <c r="C27" s="54" t="s">
        <v>127</v>
      </c>
      <c r="D27" s="50" t="s">
        <v>275</v>
      </c>
      <c r="E27" s="50" t="s">
        <v>276</v>
      </c>
      <c r="F27" s="50" t="s">
        <v>277</v>
      </c>
      <c r="G27" s="50"/>
      <c r="H27" s="50">
        <v>0</v>
      </c>
    </row>
    <row r="28" spans="1:11" x14ac:dyDescent="0.35">
      <c r="A28" s="53" t="s">
        <v>217</v>
      </c>
      <c r="B28" s="54" t="s">
        <v>148</v>
      </c>
      <c r="C28" s="54" t="s">
        <v>141</v>
      </c>
      <c r="D28" s="50">
        <v>0.63888888888888884</v>
      </c>
      <c r="E28" s="50">
        <v>0.68055555555555558</v>
      </c>
      <c r="F28" s="50">
        <v>0.71180555555555558</v>
      </c>
      <c r="G28" s="50"/>
      <c r="H28" s="50">
        <f t="shared" si="0"/>
        <v>3.125E-2</v>
      </c>
    </row>
    <row r="29" spans="1:11" x14ac:dyDescent="0.35">
      <c r="A29" s="53" t="s">
        <v>224</v>
      </c>
      <c r="B29" s="54" t="s">
        <v>165</v>
      </c>
      <c r="C29" s="54" t="s">
        <v>167</v>
      </c>
      <c r="D29" s="50" t="s">
        <v>247</v>
      </c>
      <c r="E29" s="50" t="s">
        <v>248</v>
      </c>
      <c r="F29" s="50"/>
      <c r="G29" s="50"/>
      <c r="H29" s="50">
        <v>0</v>
      </c>
    </row>
    <row r="30" spans="1:11" x14ac:dyDescent="0.35">
      <c r="A30" s="53" t="s">
        <v>219</v>
      </c>
      <c r="B30" s="54" t="s">
        <v>165</v>
      </c>
      <c r="C30" s="54" t="s">
        <v>167</v>
      </c>
      <c r="D30" s="50" t="s">
        <v>247</v>
      </c>
      <c r="E30" s="50" t="s">
        <v>248</v>
      </c>
      <c r="F30" s="50"/>
      <c r="G30" s="50"/>
      <c r="H30" s="50">
        <v>0</v>
      </c>
    </row>
    <row r="31" spans="1:11" x14ac:dyDescent="0.35">
      <c r="A31" s="53" t="s">
        <v>193</v>
      </c>
      <c r="B31" s="54" t="s">
        <v>125</v>
      </c>
      <c r="C31" s="54" t="s">
        <v>258</v>
      </c>
      <c r="D31" s="50" t="s">
        <v>247</v>
      </c>
      <c r="E31" s="50" t="s">
        <v>248</v>
      </c>
      <c r="F31" s="50"/>
      <c r="G31" s="50"/>
      <c r="H31" s="50">
        <v>0</v>
      </c>
    </row>
    <row r="32" spans="1:11" x14ac:dyDescent="0.35">
      <c r="A32" s="53" t="s">
        <v>200</v>
      </c>
      <c r="B32" s="54" t="s">
        <v>172</v>
      </c>
      <c r="C32" s="54" t="s">
        <v>171</v>
      </c>
      <c r="D32" s="50">
        <v>0.79861111111111116</v>
      </c>
      <c r="E32" s="50">
        <v>0.83333333333333337</v>
      </c>
      <c r="F32" s="50">
        <v>0.85416666666666663</v>
      </c>
      <c r="G32" s="50"/>
      <c r="H32" s="50">
        <f t="shared" si="0"/>
        <v>2.0833333333333259E-2</v>
      </c>
    </row>
    <row r="33" spans="1:8" x14ac:dyDescent="0.35">
      <c r="A33" s="53" t="s">
        <v>199</v>
      </c>
      <c r="B33" s="54" t="s">
        <v>156</v>
      </c>
      <c r="C33" s="54" t="s">
        <v>133</v>
      </c>
      <c r="D33" s="50">
        <v>0.77430555555555558</v>
      </c>
      <c r="E33" s="50">
        <v>0.84375</v>
      </c>
      <c r="F33" s="50">
        <v>0.85763888888888884</v>
      </c>
      <c r="G33" s="50"/>
      <c r="H33" s="50">
        <f t="shared" si="0"/>
        <v>1.388888888888884E-2</v>
      </c>
    </row>
    <row r="34" spans="1:8" x14ac:dyDescent="0.35">
      <c r="A34" s="53" t="s">
        <v>179</v>
      </c>
      <c r="B34" s="54" t="s">
        <v>156</v>
      </c>
      <c r="C34" s="54" t="s">
        <v>133</v>
      </c>
      <c r="D34" s="50">
        <v>0.77430555555555558</v>
      </c>
      <c r="E34" s="50">
        <v>0.86111111111111116</v>
      </c>
      <c r="F34" s="50">
        <v>0.87847222222222221</v>
      </c>
      <c r="G34" s="50"/>
      <c r="H34" s="50">
        <f t="shared" si="0"/>
        <v>1.7361111111111049E-2</v>
      </c>
    </row>
    <row r="35" spans="1:8" x14ac:dyDescent="0.35">
      <c r="A35" s="53" t="s">
        <v>205</v>
      </c>
      <c r="B35" s="54" t="s">
        <v>326</v>
      </c>
      <c r="C35" s="54" t="s">
        <v>327</v>
      </c>
      <c r="D35" s="50">
        <v>0.78472222222222221</v>
      </c>
      <c r="E35" s="50">
        <v>0.84375</v>
      </c>
      <c r="F35" s="50">
        <v>0.86805555555555558</v>
      </c>
      <c r="G35" s="50"/>
      <c r="H35" s="50">
        <f t="shared" si="0"/>
        <v>2.430555555555558E-2</v>
      </c>
    </row>
    <row r="36" spans="1:8" x14ac:dyDescent="0.35">
      <c r="A36" s="53" t="s">
        <v>196</v>
      </c>
      <c r="B36" s="54" t="s">
        <v>326</v>
      </c>
      <c r="C36" s="54" t="s">
        <v>327</v>
      </c>
      <c r="D36" s="50">
        <v>0.78472222222222221</v>
      </c>
      <c r="E36" s="50">
        <v>0.87847222222222221</v>
      </c>
      <c r="F36" s="50">
        <v>0.89583333333333337</v>
      </c>
      <c r="G36" s="50"/>
      <c r="H36" s="50">
        <f t="shared" si="0"/>
        <v>1.736111111111116E-2</v>
      </c>
    </row>
    <row r="37" spans="1:8" x14ac:dyDescent="0.35">
      <c r="A37" s="53" t="s">
        <v>191</v>
      </c>
      <c r="B37" s="54" t="s">
        <v>257</v>
      </c>
      <c r="C37" s="54" t="s">
        <v>263</v>
      </c>
      <c r="D37" s="50" t="s">
        <v>247</v>
      </c>
      <c r="E37" s="50" t="s">
        <v>248</v>
      </c>
      <c r="F37" s="50"/>
      <c r="G37" s="50"/>
      <c r="H37" s="50">
        <v>0</v>
      </c>
    </row>
    <row r="38" spans="1:8" x14ac:dyDescent="0.35">
      <c r="A38" s="53" t="s">
        <v>218</v>
      </c>
      <c r="B38" s="54" t="s">
        <v>257</v>
      </c>
      <c r="C38" s="54" t="s">
        <v>263</v>
      </c>
      <c r="D38" s="50" t="s">
        <v>247</v>
      </c>
      <c r="E38" s="50" t="s">
        <v>248</v>
      </c>
      <c r="F38" s="50"/>
      <c r="G38" s="50"/>
      <c r="H38" s="50">
        <v>0</v>
      </c>
    </row>
    <row r="39" spans="1:8" x14ac:dyDescent="0.35">
      <c r="A39" s="53" t="s">
        <v>197</v>
      </c>
      <c r="B39" s="54" t="s">
        <v>160</v>
      </c>
      <c r="C39" s="54" t="s">
        <v>159</v>
      </c>
      <c r="D39" s="50">
        <v>0.78125</v>
      </c>
      <c r="E39" s="50">
        <v>0.82986111111111116</v>
      </c>
      <c r="F39" s="50">
        <v>0.86111111111111116</v>
      </c>
      <c r="G39" s="50"/>
      <c r="H39" s="50">
        <f t="shared" si="0"/>
        <v>3.125E-2</v>
      </c>
    </row>
    <row r="40" spans="1:8" x14ac:dyDescent="0.35">
      <c r="A40" s="53" t="s">
        <v>183</v>
      </c>
      <c r="B40" s="54" t="s">
        <v>151</v>
      </c>
      <c r="C40" s="54" t="s">
        <v>132</v>
      </c>
      <c r="D40" s="50">
        <v>0.77777777777777779</v>
      </c>
      <c r="E40" s="50">
        <v>0.82986111111111116</v>
      </c>
      <c r="F40" s="50">
        <v>0.86805555555555558</v>
      </c>
      <c r="G40" s="50"/>
      <c r="H40" s="50">
        <f t="shared" si="0"/>
        <v>3.819444444444442E-2</v>
      </c>
    </row>
    <row r="41" spans="1:8" x14ac:dyDescent="0.35">
      <c r="A41" s="53" t="s">
        <v>223</v>
      </c>
      <c r="B41" s="54" t="s">
        <v>231</v>
      </c>
      <c r="C41" s="54" t="s">
        <v>232</v>
      </c>
      <c r="D41" s="50">
        <v>0.78472222222222221</v>
      </c>
      <c r="E41" s="50">
        <v>0.82291666666666663</v>
      </c>
      <c r="F41" s="50">
        <v>0.85069444444444442</v>
      </c>
      <c r="G41" s="50"/>
      <c r="H41" s="50">
        <f t="shared" si="0"/>
        <v>2.777777777777779E-2</v>
      </c>
    </row>
    <row r="42" spans="1:8" x14ac:dyDescent="0.35">
      <c r="A42" s="53" t="s">
        <v>214</v>
      </c>
      <c r="B42" s="54" t="s">
        <v>146</v>
      </c>
      <c r="C42" s="54" t="s">
        <v>140</v>
      </c>
      <c r="D42" s="50">
        <v>0.64930555555555558</v>
      </c>
      <c r="E42" s="50">
        <v>0.69791666666666663</v>
      </c>
      <c r="F42" s="50">
        <v>0.73611111111111116</v>
      </c>
      <c r="G42" s="50"/>
      <c r="H42" s="50">
        <f t="shared" si="0"/>
        <v>3.8194444444444531E-2</v>
      </c>
    </row>
    <row r="43" spans="1:8" x14ac:dyDescent="0.35">
      <c r="A43" s="53" t="s">
        <v>176</v>
      </c>
      <c r="B43" s="54" t="s">
        <v>145</v>
      </c>
      <c r="C43" s="54" t="s">
        <v>137</v>
      </c>
      <c r="D43" s="50">
        <v>0.77083333333333337</v>
      </c>
      <c r="E43" s="50">
        <v>0.84027777777777779</v>
      </c>
      <c r="F43" s="50">
        <v>0.84722222222222221</v>
      </c>
      <c r="G43" s="50"/>
      <c r="H43" s="50">
        <f t="shared" si="0"/>
        <v>6.9444444444444198E-3</v>
      </c>
    </row>
    <row r="44" spans="1:8" x14ac:dyDescent="0.35">
      <c r="A44" s="53" t="s">
        <v>178</v>
      </c>
      <c r="B44" s="54" t="s">
        <v>145</v>
      </c>
      <c r="C44" s="54" t="s">
        <v>137</v>
      </c>
      <c r="D44" s="50">
        <v>0.77083333333333337</v>
      </c>
      <c r="E44" s="50">
        <v>0.85069444444444442</v>
      </c>
      <c r="F44" s="50">
        <v>0.86111111111111116</v>
      </c>
      <c r="G44" s="50"/>
      <c r="H44" s="50">
        <f t="shared" si="0"/>
        <v>1.0416666666666741E-2</v>
      </c>
    </row>
    <row r="45" spans="1:8" x14ac:dyDescent="0.35">
      <c r="A45" s="53" t="s">
        <v>206</v>
      </c>
      <c r="B45" s="54" t="s">
        <v>254</v>
      </c>
      <c r="C45" s="54" t="s">
        <v>260</v>
      </c>
      <c r="D45" s="50">
        <v>0.77083333333333337</v>
      </c>
      <c r="E45" s="50">
        <v>0.85763888888888884</v>
      </c>
      <c r="F45" s="50">
        <v>0.86458333333333337</v>
      </c>
      <c r="G45" s="50"/>
      <c r="H45" s="50">
        <f t="shared" si="0"/>
        <v>6.9444444444445308E-3</v>
      </c>
    </row>
    <row r="46" spans="1:8" x14ac:dyDescent="0.35">
      <c r="A46" s="53" t="s">
        <v>194</v>
      </c>
      <c r="B46" s="54" t="s">
        <v>254</v>
      </c>
      <c r="C46" s="54" t="s">
        <v>260</v>
      </c>
      <c r="D46" s="50">
        <v>0.77083333333333337</v>
      </c>
      <c r="E46" s="50">
        <v>0.81597222222222221</v>
      </c>
      <c r="F46" s="50">
        <v>0.83680555555555558</v>
      </c>
      <c r="G46" s="50"/>
      <c r="H46" s="50">
        <f t="shared" si="0"/>
        <v>2.083333333333337E-2</v>
      </c>
    </row>
    <row r="47" spans="1:8" x14ac:dyDescent="0.35">
      <c r="A47" s="53" t="s">
        <v>216</v>
      </c>
      <c r="B47" s="54" t="s">
        <v>150</v>
      </c>
      <c r="C47" s="54" t="s">
        <v>139</v>
      </c>
      <c r="D47" s="50">
        <v>0.79513888888888884</v>
      </c>
      <c r="E47" s="50">
        <v>0.82638888888888884</v>
      </c>
      <c r="F47" s="50">
        <v>0.85416666666666663</v>
      </c>
      <c r="G47" s="50"/>
      <c r="H47" s="50">
        <f t="shared" si="0"/>
        <v>2.777777777777779E-2</v>
      </c>
    </row>
    <row r="48" spans="1:8" x14ac:dyDescent="0.35">
      <c r="A48" s="53" t="s">
        <v>222</v>
      </c>
      <c r="B48" s="54" t="s">
        <v>297</v>
      </c>
      <c r="C48" s="54" t="s">
        <v>322</v>
      </c>
      <c r="D48" s="50" t="s">
        <v>275</v>
      </c>
      <c r="E48" s="50" t="s">
        <v>276</v>
      </c>
      <c r="F48" s="50" t="s">
        <v>277</v>
      </c>
      <c r="G48" s="50"/>
      <c r="H48" s="50">
        <v>0</v>
      </c>
    </row>
    <row r="49" spans="1:9" x14ac:dyDescent="0.35">
      <c r="A49" s="53" t="s">
        <v>185</v>
      </c>
      <c r="B49" s="54" t="s">
        <v>297</v>
      </c>
      <c r="C49" s="54" t="s">
        <v>322</v>
      </c>
      <c r="D49" s="50" t="s">
        <v>275</v>
      </c>
      <c r="E49" s="50" t="s">
        <v>276</v>
      </c>
      <c r="F49" s="50" t="s">
        <v>277</v>
      </c>
      <c r="G49" s="50"/>
      <c r="H49" s="50">
        <v>0</v>
      </c>
    </row>
    <row r="50" spans="1:9" x14ac:dyDescent="0.35">
      <c r="A50" s="53" t="s">
        <v>220</v>
      </c>
      <c r="B50" s="54" t="s">
        <v>256</v>
      </c>
      <c r="C50" s="54" t="s">
        <v>262</v>
      </c>
      <c r="D50" s="50" t="s">
        <v>275</v>
      </c>
      <c r="E50" s="50" t="s">
        <v>276</v>
      </c>
      <c r="F50" s="50" t="s">
        <v>277</v>
      </c>
      <c r="G50" s="50"/>
      <c r="H50" s="50">
        <v>0</v>
      </c>
    </row>
    <row r="51" spans="1:9" x14ac:dyDescent="0.35">
      <c r="A51" s="53" t="s">
        <v>222</v>
      </c>
      <c r="B51" s="54" t="s">
        <v>122</v>
      </c>
      <c r="C51" s="54" t="s">
        <v>131</v>
      </c>
      <c r="D51" s="50">
        <v>0.64236111111111116</v>
      </c>
      <c r="E51" s="50">
        <v>0.65277777777777779</v>
      </c>
      <c r="F51" s="50">
        <v>0.66319444444444442</v>
      </c>
      <c r="G51" s="50"/>
      <c r="H51" s="50">
        <f t="shared" si="0"/>
        <v>1.041666666666663E-2</v>
      </c>
    </row>
    <row r="52" spans="1:9" x14ac:dyDescent="0.35">
      <c r="A52" s="53" t="s">
        <v>223</v>
      </c>
      <c r="B52" s="54" t="s">
        <v>122</v>
      </c>
      <c r="C52" s="54" t="s">
        <v>131</v>
      </c>
      <c r="D52" s="50">
        <v>0.64236111111111116</v>
      </c>
      <c r="E52" s="50">
        <v>0.70833333333333337</v>
      </c>
      <c r="F52" s="50">
        <v>0.72916666666666663</v>
      </c>
      <c r="G52" s="50"/>
      <c r="H52" s="50">
        <f t="shared" si="0"/>
        <v>2.0833333333333259E-2</v>
      </c>
    </row>
    <row r="53" spans="1:9" x14ac:dyDescent="0.35">
      <c r="A53" s="53"/>
      <c r="B53" s="54"/>
      <c r="C53" s="54"/>
      <c r="D53" s="50"/>
      <c r="E53" s="50"/>
      <c r="F53" s="50"/>
      <c r="G53" s="50"/>
      <c r="H53" s="50">
        <f t="shared" si="0"/>
        <v>0</v>
      </c>
    </row>
    <row r="54" spans="1:9" x14ac:dyDescent="0.35">
      <c r="A54" s="53"/>
      <c r="B54" s="54"/>
      <c r="C54" s="54"/>
      <c r="D54" s="50"/>
      <c r="E54" s="50"/>
      <c r="F54" s="50"/>
      <c r="G54" s="50"/>
      <c r="H54" s="50">
        <f t="shared" si="0"/>
        <v>0</v>
      </c>
    </row>
    <row r="55" spans="1:9" x14ac:dyDescent="0.35">
      <c r="A55" s="53"/>
      <c r="B55" s="54"/>
      <c r="C55" s="54"/>
      <c r="D55" s="50"/>
      <c r="E55" s="50"/>
      <c r="F55" s="50"/>
      <c r="G55" s="50"/>
      <c r="H55" s="50">
        <f t="shared" si="0"/>
        <v>0</v>
      </c>
    </row>
    <row r="56" spans="1:9" x14ac:dyDescent="0.35">
      <c r="A56" s="53"/>
      <c r="B56" s="54"/>
      <c r="C56" s="54"/>
      <c r="D56" s="50"/>
      <c r="E56" s="50"/>
      <c r="F56" s="50"/>
      <c r="G56" s="50"/>
      <c r="H56" s="50">
        <f t="shared" si="0"/>
        <v>0</v>
      </c>
    </row>
    <row r="57" spans="1:9" x14ac:dyDescent="0.35">
      <c r="A57" s="53"/>
      <c r="B57" s="54"/>
      <c r="C57" s="54"/>
      <c r="D57" s="50"/>
      <c r="E57" s="50"/>
      <c r="F57" s="50"/>
      <c r="G57" s="50"/>
      <c r="H57" s="50">
        <f t="shared" si="0"/>
        <v>0</v>
      </c>
      <c r="I57" s="28"/>
    </row>
    <row r="58" spans="1:9" x14ac:dyDescent="0.35">
      <c r="A58" s="53"/>
      <c r="B58" s="54"/>
      <c r="C58" s="54"/>
      <c r="D58" s="50"/>
      <c r="E58" s="50"/>
      <c r="F58" s="50"/>
      <c r="G58" s="50"/>
      <c r="H58" s="50">
        <f t="shared" si="0"/>
        <v>0</v>
      </c>
    </row>
    <row r="59" spans="1:9" x14ac:dyDescent="0.35">
      <c r="A59" s="53"/>
      <c r="B59" s="54"/>
      <c r="C59" s="54"/>
      <c r="D59" s="50"/>
      <c r="E59" s="50"/>
      <c r="F59" s="50"/>
      <c r="G59" s="50"/>
      <c r="H59" s="50">
        <f t="shared" si="0"/>
        <v>0</v>
      </c>
    </row>
    <row r="60" spans="1:9" x14ac:dyDescent="0.35">
      <c r="A60" s="53"/>
      <c r="B60" s="54"/>
      <c r="C60" s="54"/>
      <c r="D60" s="50"/>
      <c r="E60" s="50"/>
      <c r="F60" s="50"/>
      <c r="G60" s="50"/>
      <c r="H60" s="50">
        <f t="shared" si="0"/>
        <v>0</v>
      </c>
    </row>
    <row r="61" spans="1:9" x14ac:dyDescent="0.35">
      <c r="A61" s="53"/>
      <c r="B61" s="54"/>
      <c r="C61" s="54"/>
      <c r="D61" s="50"/>
      <c r="E61" s="50"/>
      <c r="F61" s="50"/>
      <c r="G61" s="50"/>
      <c r="H61" s="50">
        <f t="shared" si="0"/>
        <v>0</v>
      </c>
    </row>
    <row r="62" spans="1:9" x14ac:dyDescent="0.35">
      <c r="A62" s="53"/>
      <c r="B62" s="54"/>
      <c r="C62" s="54"/>
      <c r="D62" s="50"/>
      <c r="E62" s="50"/>
      <c r="F62" s="50"/>
      <c r="G62" s="50"/>
      <c r="H62" s="50">
        <f t="shared" si="0"/>
        <v>0</v>
      </c>
    </row>
    <row r="63" spans="1:9" x14ac:dyDescent="0.35">
      <c r="A63" s="53"/>
      <c r="B63" s="54"/>
      <c r="C63" s="54"/>
      <c r="D63" s="50"/>
      <c r="E63" s="50"/>
      <c r="F63" s="50"/>
      <c r="G63" s="50"/>
      <c r="H63" s="50">
        <f t="shared" si="0"/>
        <v>0</v>
      </c>
    </row>
    <row r="64" spans="1:9" x14ac:dyDescent="0.35">
      <c r="A64" s="53"/>
      <c r="B64" s="54"/>
      <c r="C64" s="54"/>
      <c r="D64" s="50"/>
      <c r="E64" s="50"/>
      <c r="F64" s="50"/>
      <c r="G64" s="50"/>
      <c r="H64" s="50">
        <f t="shared" si="0"/>
        <v>0</v>
      </c>
    </row>
    <row r="65" spans="1:8" x14ac:dyDescent="0.35">
      <c r="A65" s="53"/>
      <c r="B65" s="54"/>
      <c r="C65" s="54"/>
      <c r="D65" s="50"/>
      <c r="E65" s="50"/>
      <c r="F65" s="50"/>
      <c r="G65" s="50"/>
      <c r="H65" s="50">
        <f t="shared" si="0"/>
        <v>0</v>
      </c>
    </row>
    <row r="66" spans="1:8" x14ac:dyDescent="0.35">
      <c r="A66" s="53"/>
      <c r="B66" s="54"/>
      <c r="C66" s="54"/>
      <c r="D66" s="50"/>
      <c r="E66" s="50"/>
      <c r="F66" s="50"/>
      <c r="G66" s="50"/>
      <c r="H66" s="50">
        <f t="shared" si="0"/>
        <v>0</v>
      </c>
    </row>
    <row r="67" spans="1:8" x14ac:dyDescent="0.35">
      <c r="A67" s="53"/>
      <c r="B67" s="54"/>
      <c r="C67" s="54"/>
      <c r="D67" s="50"/>
      <c r="E67" s="50"/>
      <c r="F67" s="50"/>
      <c r="G67" s="50"/>
      <c r="H67" s="50">
        <f t="shared" ref="H67:H69" si="1">MOD(F67-E67, 1)</f>
        <v>0</v>
      </c>
    </row>
    <row r="68" spans="1:8" x14ac:dyDescent="0.35">
      <c r="A68" s="53"/>
      <c r="B68" s="54"/>
      <c r="C68" s="54"/>
      <c r="D68" s="50"/>
      <c r="E68" s="50"/>
      <c r="F68" s="50"/>
      <c r="G68" s="50"/>
      <c r="H68" s="50">
        <f t="shared" si="1"/>
        <v>0</v>
      </c>
    </row>
    <row r="69" spans="1:8" x14ac:dyDescent="0.35">
      <c r="A69" s="53"/>
      <c r="B69" s="54"/>
      <c r="C69" s="54"/>
      <c r="D69" s="50"/>
      <c r="E69" s="50"/>
      <c r="F69" s="50"/>
      <c r="G69" s="50"/>
      <c r="H69" s="50">
        <f t="shared" si="1"/>
        <v>0</v>
      </c>
    </row>
  </sheetData>
  <autoFilter ref="A2:F38" xr:uid="{00000000-0001-0000-0000-000000000000}">
    <sortState xmlns:xlrd2="http://schemas.microsoft.com/office/spreadsheetml/2017/richdata2" ref="A3:F18">
      <sortCondition ref="A2"/>
    </sortState>
  </autoFilter>
  <conditionalFormatting sqref="H3:H412">
    <cfRule type="cellIs" dxfId="15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1B6C2-607A-42B5-A2C0-5FCA9C15A687}">
  <sheetPr>
    <pageSetUpPr fitToPage="1"/>
  </sheetPr>
  <dimension ref="A1:K69"/>
  <sheetViews>
    <sheetView showGridLines="0" zoomScale="70" zoomScaleNormal="70" workbookViewId="0">
      <pane ySplit="2" topLeftCell="A21" activePane="bottomLeft" state="frozen"/>
      <selection pane="bottomLeft" activeCell="F54" sqref="F54"/>
    </sheetView>
  </sheetViews>
  <sheetFormatPr defaultColWidth="9" defaultRowHeight="23.25" x14ac:dyDescent="0.35"/>
  <cols>
    <col min="1" max="1" width="37.85546875" style="29" bestFit="1" customWidth="1"/>
    <col min="2" max="2" width="23.140625" style="7" bestFit="1" customWidth="1"/>
    <col min="3" max="3" width="16.28515625" style="6" bestFit="1" customWidth="1"/>
    <col min="4" max="4" width="20.28515625" style="5" bestFit="1" customWidth="1"/>
    <col min="5" max="5" width="23" style="5" bestFit="1" customWidth="1"/>
    <col min="6" max="6" width="24.5703125" style="3" bestFit="1" customWidth="1"/>
    <col min="7" max="7" width="0.28515625" style="1" customWidth="1"/>
    <col min="8" max="8" width="24.85546875" style="28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39" t="s">
        <v>4</v>
      </c>
      <c r="B1" s="40"/>
      <c r="C1" s="41"/>
      <c r="D1" s="42"/>
      <c r="E1" s="42"/>
      <c r="F1" s="43"/>
      <c r="G1" s="44"/>
      <c r="H1" s="51"/>
    </row>
    <row r="2" spans="1:10" s="2" customFormat="1" x14ac:dyDescent="0.35">
      <c r="A2" s="45" t="s">
        <v>0</v>
      </c>
      <c r="B2" s="45" t="s">
        <v>1</v>
      </c>
      <c r="C2" s="45" t="s">
        <v>2</v>
      </c>
      <c r="D2" s="46" t="s">
        <v>3</v>
      </c>
      <c r="E2" s="46" t="s">
        <v>236</v>
      </c>
      <c r="F2" s="45" t="s">
        <v>5</v>
      </c>
      <c r="G2" s="47"/>
      <c r="H2" s="48" t="s">
        <v>274</v>
      </c>
    </row>
    <row r="3" spans="1:10" x14ac:dyDescent="0.35">
      <c r="A3" s="53" t="s">
        <v>210</v>
      </c>
      <c r="B3" s="54" t="s">
        <v>117</v>
      </c>
      <c r="C3" s="54" t="s">
        <v>126</v>
      </c>
      <c r="D3" s="50">
        <v>0.19097222222222221</v>
      </c>
      <c r="E3" s="50">
        <v>0.21527777777777779</v>
      </c>
      <c r="F3" s="50">
        <v>0.2986111111111111</v>
      </c>
      <c r="G3" s="50"/>
      <c r="H3" s="50">
        <f t="shared" ref="H3:H66" si="0">MOD(F3-E3, 1)</f>
        <v>8.3333333333333315E-2</v>
      </c>
    </row>
    <row r="4" spans="1:10" s="4" customFormat="1" x14ac:dyDescent="0.35">
      <c r="A4" s="53" t="s">
        <v>207</v>
      </c>
      <c r="B4" s="54" t="s">
        <v>120</v>
      </c>
      <c r="C4" s="54" t="s">
        <v>129</v>
      </c>
      <c r="D4" s="50">
        <v>0.15972222222222221</v>
      </c>
      <c r="E4" s="50">
        <v>0.19097222222222221</v>
      </c>
      <c r="F4" s="50">
        <v>0.29166666666666669</v>
      </c>
      <c r="G4" s="50"/>
      <c r="H4" s="50">
        <f t="shared" si="0"/>
        <v>0.10069444444444448</v>
      </c>
    </row>
    <row r="5" spans="1:10" s="4" customFormat="1" x14ac:dyDescent="0.35">
      <c r="A5" s="53" t="s">
        <v>204</v>
      </c>
      <c r="B5" s="54" t="s">
        <v>119</v>
      </c>
      <c r="C5" s="54" t="s">
        <v>128</v>
      </c>
      <c r="D5" s="50">
        <v>0.19444444444444445</v>
      </c>
      <c r="E5" s="50">
        <v>0.21875</v>
      </c>
      <c r="F5" s="50">
        <v>0.2361111111111111</v>
      </c>
      <c r="G5" s="50"/>
      <c r="H5" s="50">
        <f t="shared" si="0"/>
        <v>1.7361111111111105E-2</v>
      </c>
    </row>
    <row r="6" spans="1:10" x14ac:dyDescent="0.35">
      <c r="A6" s="53" t="s">
        <v>195</v>
      </c>
      <c r="B6" s="54" t="s">
        <v>309</v>
      </c>
      <c r="C6" s="54" t="s">
        <v>127</v>
      </c>
      <c r="D6" s="50">
        <v>0.2013888888888889</v>
      </c>
      <c r="E6" s="50">
        <v>0.22569444444444445</v>
      </c>
      <c r="F6" s="50">
        <v>0.31597222222222221</v>
      </c>
      <c r="G6" s="50"/>
      <c r="H6" s="50">
        <f t="shared" si="0"/>
        <v>9.0277777777777762E-2</v>
      </c>
    </row>
    <row r="7" spans="1:10" x14ac:dyDescent="0.35">
      <c r="A7" s="53" t="s">
        <v>177</v>
      </c>
      <c r="B7" s="54" t="s">
        <v>121</v>
      </c>
      <c r="C7" s="54" t="s">
        <v>130</v>
      </c>
      <c r="D7" s="50">
        <v>0.26041666666666669</v>
      </c>
      <c r="E7" s="50">
        <v>0.3611111111111111</v>
      </c>
      <c r="F7" s="50">
        <v>0.3888888888888889</v>
      </c>
      <c r="G7" s="50"/>
      <c r="H7" s="50">
        <f t="shared" si="0"/>
        <v>2.777777777777779E-2</v>
      </c>
    </row>
    <row r="8" spans="1:10" x14ac:dyDescent="0.35">
      <c r="A8" s="53" t="s">
        <v>192</v>
      </c>
      <c r="B8" s="54" t="s">
        <v>122</v>
      </c>
      <c r="C8" s="54" t="s">
        <v>131</v>
      </c>
      <c r="D8" s="50">
        <v>0.1875</v>
      </c>
      <c r="E8" s="50">
        <v>0.21875</v>
      </c>
      <c r="F8" s="50">
        <v>0.28819444444444442</v>
      </c>
      <c r="G8" s="50"/>
      <c r="H8" s="50">
        <f t="shared" si="0"/>
        <v>6.944444444444442E-2</v>
      </c>
    </row>
    <row r="9" spans="1:10" s="4" customFormat="1" x14ac:dyDescent="0.35">
      <c r="A9" s="53" t="s">
        <v>201</v>
      </c>
      <c r="B9" s="54"/>
      <c r="C9" s="54" t="s">
        <v>331</v>
      </c>
      <c r="D9" s="50">
        <v>0.19444444444444445</v>
      </c>
      <c r="E9" s="50">
        <v>0.21875</v>
      </c>
      <c r="F9" s="50">
        <v>0.2361111111111111</v>
      </c>
      <c r="G9" s="50"/>
      <c r="H9" s="50">
        <f t="shared" si="0"/>
        <v>1.7361111111111105E-2</v>
      </c>
      <c r="I9" s="8"/>
      <c r="J9" s="8"/>
    </row>
    <row r="10" spans="1:10" s="4" customFormat="1" x14ac:dyDescent="0.35">
      <c r="A10" s="53" t="s">
        <v>189</v>
      </c>
      <c r="B10" s="54" t="s">
        <v>332</v>
      </c>
      <c r="C10" s="54" t="s">
        <v>333</v>
      </c>
      <c r="D10" s="50">
        <v>0.19097222222222221</v>
      </c>
      <c r="E10" s="50">
        <v>0.34375</v>
      </c>
      <c r="F10" s="50">
        <v>0.36458333333333331</v>
      </c>
      <c r="G10" s="50"/>
      <c r="H10" s="50">
        <f t="shared" si="0"/>
        <v>2.0833333333333315E-2</v>
      </c>
      <c r="I10" s="8"/>
      <c r="J10" s="8"/>
    </row>
    <row r="11" spans="1:10" x14ac:dyDescent="0.35">
      <c r="A11" s="53" t="s">
        <v>180</v>
      </c>
      <c r="B11" s="54" t="s">
        <v>156</v>
      </c>
      <c r="C11" s="54" t="s">
        <v>133</v>
      </c>
      <c r="D11" s="50">
        <v>0.22916666666666666</v>
      </c>
      <c r="E11" s="50">
        <v>0.27430555555555558</v>
      </c>
      <c r="F11" s="50">
        <v>0.44791666666666669</v>
      </c>
      <c r="G11" s="50"/>
      <c r="H11" s="50">
        <f t="shared" si="0"/>
        <v>0.1736111111111111</v>
      </c>
      <c r="I11" s="8"/>
      <c r="J11" s="8"/>
    </row>
    <row r="12" spans="1:10" x14ac:dyDescent="0.35">
      <c r="A12" s="53" t="s">
        <v>221</v>
      </c>
      <c r="B12" s="54" t="s">
        <v>124</v>
      </c>
      <c r="C12" s="54" t="s">
        <v>134</v>
      </c>
      <c r="D12" s="50">
        <v>0.14583333333333334</v>
      </c>
      <c r="E12" s="50">
        <v>0.17708333333333334</v>
      </c>
      <c r="F12" s="50">
        <v>0.29166666666666669</v>
      </c>
      <c r="G12" s="50"/>
      <c r="H12" s="50">
        <f t="shared" si="0"/>
        <v>0.11458333333333334</v>
      </c>
    </row>
    <row r="13" spans="1:10" x14ac:dyDescent="0.35">
      <c r="A13" s="53" t="s">
        <v>187</v>
      </c>
      <c r="B13" s="54" t="s">
        <v>272</v>
      </c>
      <c r="C13" s="54" t="s">
        <v>163</v>
      </c>
      <c r="D13" s="50">
        <v>0.11805555555555555</v>
      </c>
      <c r="E13" s="50">
        <v>0.26041666666666669</v>
      </c>
      <c r="F13" s="50">
        <v>0.30208333333333331</v>
      </c>
      <c r="G13" s="50"/>
      <c r="H13" s="50">
        <f t="shared" si="0"/>
        <v>4.166666666666663E-2</v>
      </c>
    </row>
    <row r="14" spans="1:10" x14ac:dyDescent="0.35">
      <c r="A14" s="53" t="s">
        <v>202</v>
      </c>
      <c r="B14" s="54" t="s">
        <v>124</v>
      </c>
      <c r="C14" s="54" t="s">
        <v>134</v>
      </c>
      <c r="D14" s="50">
        <v>0.63541666666666663</v>
      </c>
      <c r="E14" s="50">
        <v>0.6875</v>
      </c>
      <c r="F14" s="50">
        <v>0.69791666666666663</v>
      </c>
      <c r="G14" s="50"/>
      <c r="H14" s="50">
        <f t="shared" si="0"/>
        <v>1.041666666666663E-2</v>
      </c>
    </row>
    <row r="15" spans="1:10" x14ac:dyDescent="0.35">
      <c r="A15" s="53" t="s">
        <v>203</v>
      </c>
      <c r="B15" s="54" t="s">
        <v>124</v>
      </c>
      <c r="C15" s="54" t="s">
        <v>134</v>
      </c>
      <c r="D15" s="50">
        <v>0.63541666666666663</v>
      </c>
      <c r="E15" s="50">
        <v>0.70833333333333337</v>
      </c>
      <c r="F15" s="50">
        <v>0.72222222222222221</v>
      </c>
      <c r="G15" s="50"/>
      <c r="H15" s="50">
        <f t="shared" si="0"/>
        <v>1.388888888888884E-2</v>
      </c>
    </row>
    <row r="16" spans="1:10" x14ac:dyDescent="0.35">
      <c r="A16" s="53" t="s">
        <v>222</v>
      </c>
      <c r="B16" s="54" t="s">
        <v>125</v>
      </c>
      <c r="C16" s="54" t="s">
        <v>163</v>
      </c>
      <c r="D16" s="50">
        <v>0.63541666666666663</v>
      </c>
      <c r="E16" s="50">
        <v>0.65625</v>
      </c>
      <c r="F16" s="50">
        <v>0.67361111111111116</v>
      </c>
      <c r="G16" s="50"/>
      <c r="H16" s="50">
        <f t="shared" si="0"/>
        <v>1.736111111111116E-2</v>
      </c>
    </row>
    <row r="17" spans="1:11" x14ac:dyDescent="0.35">
      <c r="A17" s="53" t="s">
        <v>223</v>
      </c>
      <c r="B17" s="54" t="s">
        <v>125</v>
      </c>
      <c r="C17" s="54" t="s">
        <v>163</v>
      </c>
      <c r="D17" s="50">
        <v>0.63541666666666663</v>
      </c>
      <c r="E17" s="50">
        <v>0.73958333333333337</v>
      </c>
      <c r="F17" s="50">
        <v>0.75694444444444442</v>
      </c>
      <c r="G17" s="50"/>
      <c r="H17" s="50">
        <f t="shared" si="0"/>
        <v>1.7361111111111049E-2</v>
      </c>
    </row>
    <row r="18" spans="1:11" x14ac:dyDescent="0.35">
      <c r="A18" s="53" t="s">
        <v>180</v>
      </c>
      <c r="B18" s="54" t="s">
        <v>284</v>
      </c>
      <c r="C18" s="54" t="s">
        <v>286</v>
      </c>
      <c r="D18" s="50" t="s">
        <v>275</v>
      </c>
      <c r="E18" s="50" t="s">
        <v>276</v>
      </c>
      <c r="F18" s="50" t="s">
        <v>277</v>
      </c>
      <c r="G18" s="50"/>
      <c r="H18" s="50" t="e">
        <f t="shared" si="0"/>
        <v>#VALUE!</v>
      </c>
    </row>
    <row r="19" spans="1:11" x14ac:dyDescent="0.35">
      <c r="A19" s="53" t="s">
        <v>184</v>
      </c>
      <c r="B19" s="54" t="s">
        <v>314</v>
      </c>
      <c r="C19" s="54" t="s">
        <v>154</v>
      </c>
      <c r="D19" s="50">
        <v>0.48958333333333331</v>
      </c>
      <c r="E19" s="50">
        <v>0.53472222222222221</v>
      </c>
      <c r="F19" s="50">
        <v>0.62847222222222221</v>
      </c>
      <c r="G19" s="50"/>
      <c r="H19" s="50">
        <f t="shared" si="0"/>
        <v>9.375E-2</v>
      </c>
    </row>
    <row r="20" spans="1:11" x14ac:dyDescent="0.35">
      <c r="A20" s="53" t="s">
        <v>184</v>
      </c>
      <c r="B20" s="54" t="s">
        <v>315</v>
      </c>
      <c r="C20" s="54" t="s">
        <v>138</v>
      </c>
      <c r="D20" s="50">
        <v>0.64583333333333337</v>
      </c>
      <c r="E20" s="50">
        <v>0.70138888888888884</v>
      </c>
      <c r="F20" s="50">
        <v>0.72222222222222221</v>
      </c>
      <c r="G20" s="50"/>
      <c r="H20" s="50">
        <f t="shared" si="0"/>
        <v>2.083333333333337E-2</v>
      </c>
    </row>
    <row r="21" spans="1:11" x14ac:dyDescent="0.35">
      <c r="A21" s="53" t="s">
        <v>181</v>
      </c>
      <c r="B21" s="54" t="s">
        <v>156</v>
      </c>
      <c r="C21" s="54" t="s">
        <v>133</v>
      </c>
      <c r="D21" s="50" t="s">
        <v>275</v>
      </c>
      <c r="E21" s="50" t="s">
        <v>276</v>
      </c>
      <c r="F21" s="50" t="s">
        <v>277</v>
      </c>
      <c r="G21" s="50"/>
      <c r="H21" s="50" t="e">
        <f t="shared" si="0"/>
        <v>#VALUE!</v>
      </c>
      <c r="I21" s="6"/>
      <c r="J21" s="5"/>
      <c r="K21" s="5"/>
    </row>
    <row r="22" spans="1:11" x14ac:dyDescent="0.35">
      <c r="A22" s="53" t="s">
        <v>188</v>
      </c>
      <c r="B22" s="54" t="s">
        <v>146</v>
      </c>
      <c r="C22" s="54" t="s">
        <v>140</v>
      </c>
      <c r="D22" s="50">
        <v>0.60763888888888884</v>
      </c>
      <c r="E22" s="50">
        <v>0.67013888888888884</v>
      </c>
      <c r="F22" s="50">
        <v>0.70833333333333337</v>
      </c>
      <c r="G22" s="50"/>
      <c r="H22" s="50">
        <f t="shared" si="0"/>
        <v>3.8194444444444531E-2</v>
      </c>
      <c r="I22" s="6"/>
      <c r="J22" s="5"/>
      <c r="K22" s="5"/>
    </row>
    <row r="23" spans="1:11" x14ac:dyDescent="0.35">
      <c r="A23" s="53" t="s">
        <v>212</v>
      </c>
      <c r="B23" s="54" t="s">
        <v>254</v>
      </c>
      <c r="C23" s="54" t="s">
        <v>260</v>
      </c>
      <c r="D23" s="50">
        <v>0.61111111111111116</v>
      </c>
      <c r="E23" s="50">
        <v>0.67013888888888884</v>
      </c>
      <c r="F23" s="50">
        <v>0.69791666666666663</v>
      </c>
      <c r="G23" s="50"/>
      <c r="H23" s="50">
        <f t="shared" si="0"/>
        <v>2.777777777777779E-2</v>
      </c>
      <c r="I23" s="6"/>
      <c r="J23" s="5"/>
      <c r="K23" s="5"/>
    </row>
    <row r="24" spans="1:11" x14ac:dyDescent="0.35">
      <c r="A24" s="53" t="s">
        <v>186</v>
      </c>
      <c r="B24" s="54" t="s">
        <v>254</v>
      </c>
      <c r="C24" s="54" t="s">
        <v>260</v>
      </c>
      <c r="D24" s="50">
        <v>0.61111111111111116</v>
      </c>
      <c r="E24" s="50">
        <v>0.71527777777777779</v>
      </c>
      <c r="F24" s="50">
        <v>0.74305555555555558</v>
      </c>
      <c r="G24" s="50"/>
      <c r="H24" s="50">
        <f t="shared" si="0"/>
        <v>2.777777777777779E-2</v>
      </c>
      <c r="I24" s="6"/>
      <c r="J24" s="5"/>
      <c r="K24" s="5"/>
    </row>
    <row r="25" spans="1:11" x14ac:dyDescent="0.35">
      <c r="A25" s="53" t="s">
        <v>182</v>
      </c>
      <c r="B25" s="54" t="s">
        <v>228</v>
      </c>
      <c r="C25" s="54" t="s">
        <v>127</v>
      </c>
      <c r="D25" s="50">
        <v>0.63194444444444442</v>
      </c>
      <c r="E25" s="50">
        <v>0.69097222222222221</v>
      </c>
      <c r="F25" s="50">
        <v>0.72569444444444442</v>
      </c>
      <c r="G25" s="50"/>
      <c r="H25" s="50">
        <f t="shared" si="0"/>
        <v>3.472222222222221E-2</v>
      </c>
    </row>
    <row r="26" spans="1:11" x14ac:dyDescent="0.35">
      <c r="A26" s="53" t="s">
        <v>174</v>
      </c>
      <c r="B26" s="54" t="s">
        <v>228</v>
      </c>
      <c r="C26" s="54" t="s">
        <v>127</v>
      </c>
      <c r="D26" s="50">
        <v>0.63194444444444442</v>
      </c>
      <c r="E26" s="50">
        <v>0.72916666666666663</v>
      </c>
      <c r="F26" s="50">
        <v>0.75347222222222221</v>
      </c>
      <c r="G26" s="50"/>
      <c r="H26" s="50">
        <f t="shared" si="0"/>
        <v>2.430555555555558E-2</v>
      </c>
    </row>
    <row r="27" spans="1:11" x14ac:dyDescent="0.35">
      <c r="A27" s="53" t="s">
        <v>208</v>
      </c>
      <c r="B27" s="54" t="s">
        <v>289</v>
      </c>
      <c r="C27" s="54" t="s">
        <v>167</v>
      </c>
      <c r="D27" s="50" t="s">
        <v>275</v>
      </c>
      <c r="E27" s="50" t="s">
        <v>276</v>
      </c>
      <c r="F27" s="50" t="s">
        <v>277</v>
      </c>
      <c r="G27" s="50"/>
      <c r="H27" s="50" t="e">
        <f t="shared" si="0"/>
        <v>#VALUE!</v>
      </c>
    </row>
    <row r="28" spans="1:11" x14ac:dyDescent="0.35">
      <c r="A28" s="53" t="s">
        <v>209</v>
      </c>
      <c r="B28" s="54" t="s">
        <v>328</v>
      </c>
      <c r="C28" s="54" t="s">
        <v>141</v>
      </c>
      <c r="D28" s="50">
        <v>0.66666666666666663</v>
      </c>
      <c r="E28" s="50">
        <v>0.72569444444444442</v>
      </c>
      <c r="F28" s="50">
        <v>0.76736111111111116</v>
      </c>
      <c r="G28" s="50"/>
      <c r="H28" s="50">
        <f t="shared" si="0"/>
        <v>4.1666666666666741E-2</v>
      </c>
    </row>
    <row r="29" spans="1:11" x14ac:dyDescent="0.35">
      <c r="A29" s="53" t="s">
        <v>208</v>
      </c>
      <c r="B29" s="54" t="s">
        <v>328</v>
      </c>
      <c r="C29" s="54" t="s">
        <v>141</v>
      </c>
      <c r="D29" s="50" t="s">
        <v>275</v>
      </c>
      <c r="E29" s="50" t="s">
        <v>276</v>
      </c>
      <c r="F29" s="50" t="s">
        <v>277</v>
      </c>
      <c r="G29" s="50"/>
      <c r="H29" s="50" t="e">
        <f t="shared" si="0"/>
        <v>#VALUE!</v>
      </c>
    </row>
    <row r="30" spans="1:11" x14ac:dyDescent="0.35">
      <c r="A30" s="53" t="s">
        <v>217</v>
      </c>
      <c r="B30" s="54" t="s">
        <v>149</v>
      </c>
      <c r="C30" s="54" t="s">
        <v>129</v>
      </c>
      <c r="D30" s="50">
        <v>0.62152777777777779</v>
      </c>
      <c r="E30" s="50">
        <v>0.66666666666666663</v>
      </c>
      <c r="F30" s="50">
        <v>0.69444444444444442</v>
      </c>
      <c r="G30" s="50"/>
      <c r="H30" s="50">
        <f t="shared" si="0"/>
        <v>2.777777777777779E-2</v>
      </c>
    </row>
    <row r="31" spans="1:11" x14ac:dyDescent="0.35">
      <c r="A31" s="53" t="s">
        <v>224</v>
      </c>
      <c r="B31" s="54" t="s">
        <v>251</v>
      </c>
      <c r="C31" s="54" t="s">
        <v>249</v>
      </c>
      <c r="D31" s="50">
        <v>0.65277777777777779</v>
      </c>
      <c r="E31" s="50">
        <v>0.70138888888888884</v>
      </c>
      <c r="F31" s="50">
        <v>0.72222222222222221</v>
      </c>
      <c r="G31" s="50"/>
      <c r="H31" s="50">
        <f t="shared" si="0"/>
        <v>2.083333333333337E-2</v>
      </c>
    </row>
    <row r="32" spans="1:11" x14ac:dyDescent="0.35">
      <c r="A32" s="53" t="s">
        <v>219</v>
      </c>
      <c r="B32" s="54" t="s">
        <v>162</v>
      </c>
      <c r="C32" s="54" t="s">
        <v>161</v>
      </c>
      <c r="D32" s="50">
        <v>0.64930555555555558</v>
      </c>
      <c r="E32" s="50">
        <v>0.70138888888888884</v>
      </c>
      <c r="F32" s="50">
        <v>0.72222222222222221</v>
      </c>
      <c r="G32" s="50"/>
      <c r="H32" s="50">
        <f t="shared" si="0"/>
        <v>2.083333333333337E-2</v>
      </c>
    </row>
    <row r="33" spans="1:8" x14ac:dyDescent="0.35">
      <c r="A33" s="53" t="s">
        <v>193</v>
      </c>
      <c r="B33" s="54" t="s">
        <v>288</v>
      </c>
      <c r="C33" s="54" t="s">
        <v>287</v>
      </c>
      <c r="D33" s="50" t="s">
        <v>247</v>
      </c>
      <c r="E33" s="50" t="s">
        <v>248</v>
      </c>
      <c r="F33" s="50"/>
      <c r="G33" s="50"/>
      <c r="H33" s="50" t="e">
        <f t="shared" si="0"/>
        <v>#VALUE!</v>
      </c>
    </row>
    <row r="34" spans="1:8" x14ac:dyDescent="0.35">
      <c r="A34" s="53" t="s">
        <v>176</v>
      </c>
      <c r="B34" s="54" t="s">
        <v>122</v>
      </c>
      <c r="C34" s="54" t="s">
        <v>131</v>
      </c>
      <c r="D34" s="50">
        <v>0.74652777777777779</v>
      </c>
      <c r="E34" s="50">
        <v>0.80208333333333337</v>
      </c>
      <c r="F34" s="50">
        <v>0.81597222222222221</v>
      </c>
      <c r="G34" s="50"/>
      <c r="H34" s="50">
        <f t="shared" si="0"/>
        <v>1.388888888888884E-2</v>
      </c>
    </row>
    <row r="35" spans="1:8" x14ac:dyDescent="0.35">
      <c r="A35" s="53" t="s">
        <v>178</v>
      </c>
      <c r="B35" s="54" t="s">
        <v>122</v>
      </c>
      <c r="C35" s="54" t="s">
        <v>131</v>
      </c>
      <c r="D35" s="50">
        <v>0.74652777777777779</v>
      </c>
      <c r="E35" s="50">
        <v>0.81944444444444442</v>
      </c>
      <c r="F35" s="50">
        <v>0.82986111111111116</v>
      </c>
      <c r="G35" s="50"/>
      <c r="H35" s="50">
        <f t="shared" si="0"/>
        <v>1.0416666666666741E-2</v>
      </c>
    </row>
    <row r="36" spans="1:8" x14ac:dyDescent="0.35">
      <c r="A36" s="53" t="s">
        <v>199</v>
      </c>
      <c r="B36" s="54" t="s">
        <v>231</v>
      </c>
      <c r="C36" s="54" t="s">
        <v>232</v>
      </c>
      <c r="D36" s="50">
        <v>0.81944444444444442</v>
      </c>
      <c r="E36" s="50">
        <v>0.89930555555555558</v>
      </c>
      <c r="F36" s="50">
        <v>0.92013888888888884</v>
      </c>
      <c r="G36" s="50"/>
      <c r="H36" s="50">
        <f t="shared" si="0"/>
        <v>2.0833333333333259E-2</v>
      </c>
    </row>
    <row r="37" spans="1:8" x14ac:dyDescent="0.35">
      <c r="A37" s="53" t="s">
        <v>196</v>
      </c>
      <c r="B37" s="54" t="s">
        <v>231</v>
      </c>
      <c r="C37" s="54" t="s">
        <v>232</v>
      </c>
      <c r="D37" s="50">
        <v>0.81944444444444442</v>
      </c>
      <c r="E37" s="50">
        <v>0.92708333333333337</v>
      </c>
      <c r="F37" s="50">
        <v>0.94097222222222221</v>
      </c>
      <c r="G37" s="50"/>
      <c r="H37" s="50">
        <f t="shared" si="0"/>
        <v>1.388888888888884E-2</v>
      </c>
    </row>
    <row r="38" spans="1:8" x14ac:dyDescent="0.35">
      <c r="A38" s="53" t="s">
        <v>179</v>
      </c>
      <c r="B38" s="54" t="s">
        <v>145</v>
      </c>
      <c r="C38" s="54" t="s">
        <v>137</v>
      </c>
      <c r="D38" s="50">
        <v>0.77777777777777779</v>
      </c>
      <c r="E38" s="50">
        <v>0.82638888888888884</v>
      </c>
      <c r="F38" s="50">
        <v>0.84722222222222221</v>
      </c>
      <c r="G38" s="50"/>
      <c r="H38" s="50">
        <f t="shared" si="0"/>
        <v>2.083333333333337E-2</v>
      </c>
    </row>
    <row r="39" spans="1:8" x14ac:dyDescent="0.35">
      <c r="A39" s="53" t="s">
        <v>205</v>
      </c>
      <c r="B39" s="54" t="s">
        <v>145</v>
      </c>
      <c r="C39" s="54" t="s">
        <v>137</v>
      </c>
      <c r="D39" s="50">
        <v>0.77777777777777779</v>
      </c>
      <c r="E39" s="50">
        <v>0.85763888888888884</v>
      </c>
      <c r="F39" s="50">
        <v>0.86458333333333337</v>
      </c>
      <c r="G39" s="50"/>
      <c r="H39" s="50">
        <f t="shared" si="0"/>
        <v>6.9444444444445308E-3</v>
      </c>
    </row>
    <row r="40" spans="1:8" x14ac:dyDescent="0.35">
      <c r="A40" s="53" t="s">
        <v>197</v>
      </c>
      <c r="B40" s="54" t="s">
        <v>267</v>
      </c>
      <c r="C40" s="54" t="s">
        <v>269</v>
      </c>
      <c r="D40" s="50">
        <v>0.76041666666666663</v>
      </c>
      <c r="E40" s="50">
        <v>0.80555555555555558</v>
      </c>
      <c r="F40" s="50">
        <v>0.84027777777777779</v>
      </c>
      <c r="G40" s="50"/>
      <c r="H40" s="50">
        <f t="shared" si="0"/>
        <v>3.472222222222221E-2</v>
      </c>
    </row>
    <row r="41" spans="1:8" x14ac:dyDescent="0.35">
      <c r="A41" s="53" t="s">
        <v>191</v>
      </c>
      <c r="B41" s="54" t="s">
        <v>157</v>
      </c>
      <c r="C41" s="54" t="s">
        <v>158</v>
      </c>
      <c r="D41" s="50" t="s">
        <v>275</v>
      </c>
      <c r="E41" s="50" t="s">
        <v>276</v>
      </c>
      <c r="F41" s="50" t="s">
        <v>277</v>
      </c>
      <c r="G41" s="50"/>
      <c r="H41" s="50" t="e">
        <f t="shared" si="0"/>
        <v>#VALUE!</v>
      </c>
    </row>
    <row r="42" spans="1:8" x14ac:dyDescent="0.35">
      <c r="A42" s="53" t="s">
        <v>218</v>
      </c>
      <c r="B42" s="54" t="s">
        <v>157</v>
      </c>
      <c r="C42" s="54" t="s">
        <v>158</v>
      </c>
      <c r="D42" s="50" t="s">
        <v>275</v>
      </c>
      <c r="E42" s="50" t="s">
        <v>276</v>
      </c>
      <c r="F42" s="50" t="s">
        <v>277</v>
      </c>
      <c r="G42" s="50"/>
      <c r="H42" s="50" t="e">
        <f t="shared" si="0"/>
        <v>#VALUE!</v>
      </c>
    </row>
    <row r="43" spans="1:8" x14ac:dyDescent="0.35">
      <c r="A43" s="53" t="s">
        <v>223</v>
      </c>
      <c r="B43" s="54" t="s">
        <v>329</v>
      </c>
      <c r="C43" s="54" t="s">
        <v>322</v>
      </c>
      <c r="D43" s="50" t="s">
        <v>275</v>
      </c>
      <c r="E43" s="50" t="s">
        <v>276</v>
      </c>
      <c r="F43" s="50" t="s">
        <v>277</v>
      </c>
      <c r="G43" s="50"/>
      <c r="H43" s="50" t="e">
        <f t="shared" si="0"/>
        <v>#VALUE!</v>
      </c>
    </row>
    <row r="44" spans="1:8" x14ac:dyDescent="0.35">
      <c r="A44" s="53" t="s">
        <v>183</v>
      </c>
      <c r="B44" s="54" t="s">
        <v>330</v>
      </c>
      <c r="C44" s="54" t="s">
        <v>327</v>
      </c>
      <c r="D44" s="50">
        <v>0.75</v>
      </c>
      <c r="E44" s="50">
        <v>0.79513888888888884</v>
      </c>
      <c r="F44" s="50">
        <v>0.83333333333333337</v>
      </c>
      <c r="G44" s="50"/>
      <c r="H44" s="50">
        <f t="shared" si="0"/>
        <v>3.8194444444444531E-2</v>
      </c>
    </row>
    <row r="45" spans="1:8" x14ac:dyDescent="0.35">
      <c r="A45" s="53" t="s">
        <v>223</v>
      </c>
      <c r="B45" s="54" t="s">
        <v>330</v>
      </c>
      <c r="C45" s="54" t="s">
        <v>327</v>
      </c>
      <c r="D45" s="50" t="s">
        <v>275</v>
      </c>
      <c r="E45" s="50" t="s">
        <v>276</v>
      </c>
      <c r="F45" s="50" t="s">
        <v>277</v>
      </c>
      <c r="G45" s="50"/>
      <c r="H45" s="50" t="e">
        <f t="shared" si="0"/>
        <v>#VALUE!</v>
      </c>
    </row>
    <row r="46" spans="1:8" x14ac:dyDescent="0.35">
      <c r="A46" s="53" t="s">
        <v>200</v>
      </c>
      <c r="B46" s="54" t="s">
        <v>337</v>
      </c>
      <c r="C46" s="54" t="s">
        <v>338</v>
      </c>
      <c r="D46" s="50">
        <v>0.82291666666666663</v>
      </c>
      <c r="E46" s="50">
        <v>0.86111111111111116</v>
      </c>
      <c r="F46" s="50">
        <v>0.88194444444444442</v>
      </c>
      <c r="G46" s="50"/>
      <c r="H46" s="50">
        <f t="shared" si="0"/>
        <v>2.0833333333333259E-2</v>
      </c>
    </row>
    <row r="47" spans="1:8" x14ac:dyDescent="0.35">
      <c r="A47" s="53" t="s">
        <v>220</v>
      </c>
      <c r="B47" s="54" t="s">
        <v>122</v>
      </c>
      <c r="C47" s="54" t="s">
        <v>336</v>
      </c>
      <c r="D47" s="50">
        <v>0.77083333333333337</v>
      </c>
      <c r="E47" s="50">
        <v>0.80902777777777779</v>
      </c>
      <c r="F47" s="50">
        <v>0.82986111111111116</v>
      </c>
      <c r="G47" s="50"/>
      <c r="H47" s="50">
        <f t="shared" si="0"/>
        <v>2.083333333333337E-2</v>
      </c>
    </row>
    <row r="48" spans="1:8" x14ac:dyDescent="0.35">
      <c r="A48" s="53" t="s">
        <v>214</v>
      </c>
      <c r="B48" s="54" t="s">
        <v>334</v>
      </c>
      <c r="C48" s="54" t="s">
        <v>335</v>
      </c>
      <c r="D48" s="50">
        <v>0.63194444444444442</v>
      </c>
      <c r="E48" s="50">
        <v>0.69097222222222221</v>
      </c>
      <c r="F48" s="50">
        <v>0.75</v>
      </c>
      <c r="G48" s="50"/>
      <c r="H48" s="50">
        <f t="shared" si="0"/>
        <v>5.902777777777779E-2</v>
      </c>
    </row>
    <row r="49" spans="1:8" x14ac:dyDescent="0.35">
      <c r="A49" s="53" t="s">
        <v>194</v>
      </c>
      <c r="B49" s="54" t="s">
        <v>252</v>
      </c>
      <c r="C49" s="54" t="s">
        <v>250</v>
      </c>
      <c r="D49" s="50">
        <v>0.67708333333333337</v>
      </c>
      <c r="E49" s="50">
        <v>0.72916666666666663</v>
      </c>
      <c r="F49" s="50">
        <v>0.76388888888888884</v>
      </c>
      <c r="G49" s="50"/>
      <c r="H49" s="50">
        <f t="shared" si="0"/>
        <v>3.472222222222221E-2</v>
      </c>
    </row>
    <row r="50" spans="1:8" x14ac:dyDescent="0.35">
      <c r="A50" s="53" t="s">
        <v>206</v>
      </c>
      <c r="B50" s="54" t="s">
        <v>257</v>
      </c>
      <c r="C50" s="54" t="s">
        <v>263</v>
      </c>
      <c r="D50" s="50" t="s">
        <v>247</v>
      </c>
      <c r="E50" s="50" t="s">
        <v>248</v>
      </c>
      <c r="F50" s="50"/>
      <c r="G50" s="50"/>
      <c r="H50" s="50" t="e">
        <f t="shared" si="0"/>
        <v>#VALUE!</v>
      </c>
    </row>
    <row r="51" spans="1:8" x14ac:dyDescent="0.35">
      <c r="A51" s="53" t="s">
        <v>216</v>
      </c>
      <c r="B51" s="54" t="s">
        <v>257</v>
      </c>
      <c r="C51" s="54" t="s">
        <v>263</v>
      </c>
      <c r="D51" s="50" t="s">
        <v>247</v>
      </c>
      <c r="E51" s="50" t="s">
        <v>248</v>
      </c>
      <c r="F51" s="50"/>
      <c r="G51" s="50"/>
      <c r="H51" s="50" t="e">
        <f t="shared" si="0"/>
        <v>#VALUE!</v>
      </c>
    </row>
    <row r="52" spans="1:8" x14ac:dyDescent="0.35">
      <c r="A52" s="53" t="s">
        <v>222</v>
      </c>
      <c r="B52" s="54" t="s">
        <v>299</v>
      </c>
      <c r="C52" s="54" t="s">
        <v>133</v>
      </c>
      <c r="D52" s="50">
        <v>0.80555555555555558</v>
      </c>
      <c r="E52" s="50">
        <v>0.8125</v>
      </c>
      <c r="F52" s="50">
        <v>0.86111111111111116</v>
      </c>
      <c r="G52" s="50"/>
      <c r="H52" s="50">
        <f t="shared" si="0"/>
        <v>4.861111111111116E-2</v>
      </c>
    </row>
    <row r="53" spans="1:8" x14ac:dyDescent="0.35">
      <c r="A53" s="53" t="s">
        <v>185</v>
      </c>
      <c r="B53" s="54" t="s">
        <v>172</v>
      </c>
      <c r="C53" s="54" t="s">
        <v>171</v>
      </c>
      <c r="D53" s="50">
        <v>0.76041666666666663</v>
      </c>
      <c r="E53" s="50">
        <v>0.77083333333333337</v>
      </c>
      <c r="F53" s="50">
        <v>0.78819444444444442</v>
      </c>
      <c r="G53" s="50"/>
      <c r="H53" s="50">
        <f t="shared" si="0"/>
        <v>1.7361111111111049E-2</v>
      </c>
    </row>
    <row r="54" spans="1:8" x14ac:dyDescent="0.35">
      <c r="A54" s="53"/>
      <c r="B54" s="54"/>
      <c r="C54" s="54"/>
      <c r="D54" s="50"/>
      <c r="E54" s="50"/>
      <c r="F54" s="50"/>
      <c r="G54" s="50"/>
      <c r="H54" s="50">
        <f t="shared" si="0"/>
        <v>0</v>
      </c>
    </row>
    <row r="55" spans="1:8" x14ac:dyDescent="0.35">
      <c r="A55" s="53"/>
      <c r="B55" s="54"/>
      <c r="C55" s="54"/>
      <c r="D55" s="50"/>
      <c r="E55" s="50"/>
      <c r="F55" s="50"/>
      <c r="G55" s="50"/>
      <c r="H55" s="50">
        <f t="shared" si="0"/>
        <v>0</v>
      </c>
    </row>
    <row r="56" spans="1:8" x14ac:dyDescent="0.35">
      <c r="A56" s="53"/>
      <c r="B56" s="54"/>
      <c r="C56" s="54"/>
      <c r="D56" s="50"/>
      <c r="E56" s="50"/>
      <c r="F56" s="50"/>
      <c r="G56" s="50"/>
      <c r="H56" s="50">
        <f t="shared" si="0"/>
        <v>0</v>
      </c>
    </row>
    <row r="57" spans="1:8" x14ac:dyDescent="0.35">
      <c r="A57" s="53"/>
      <c r="B57" s="54"/>
      <c r="C57" s="54"/>
      <c r="D57" s="50"/>
      <c r="E57" s="50"/>
      <c r="F57" s="50"/>
      <c r="G57" s="50"/>
      <c r="H57" s="50">
        <f t="shared" si="0"/>
        <v>0</v>
      </c>
    </row>
    <row r="58" spans="1:8" x14ac:dyDescent="0.35">
      <c r="A58" s="53"/>
      <c r="B58" s="54"/>
      <c r="C58" s="54"/>
      <c r="D58" s="50"/>
      <c r="E58" s="50"/>
      <c r="F58" s="50"/>
      <c r="G58" s="50"/>
      <c r="H58" s="50">
        <f t="shared" si="0"/>
        <v>0</v>
      </c>
    </row>
    <row r="59" spans="1:8" x14ac:dyDescent="0.35">
      <c r="A59" s="53"/>
      <c r="B59" s="54"/>
      <c r="C59" s="54"/>
      <c r="D59" s="50"/>
      <c r="E59" s="50"/>
      <c r="F59" s="50"/>
      <c r="G59" s="50"/>
      <c r="H59" s="50">
        <f t="shared" si="0"/>
        <v>0</v>
      </c>
    </row>
    <row r="60" spans="1:8" x14ac:dyDescent="0.35">
      <c r="A60" s="53"/>
      <c r="B60" s="54"/>
      <c r="C60" s="54"/>
      <c r="D60" s="50"/>
      <c r="E60" s="50"/>
      <c r="F60" s="50"/>
      <c r="G60" s="50"/>
      <c r="H60" s="50">
        <f t="shared" si="0"/>
        <v>0</v>
      </c>
    </row>
    <row r="61" spans="1:8" x14ac:dyDescent="0.35">
      <c r="A61" s="53"/>
      <c r="B61" s="54"/>
      <c r="C61" s="54"/>
      <c r="D61" s="50"/>
      <c r="E61" s="50"/>
      <c r="F61" s="50"/>
      <c r="G61" s="50"/>
      <c r="H61" s="50">
        <f t="shared" si="0"/>
        <v>0</v>
      </c>
    </row>
    <row r="62" spans="1:8" x14ac:dyDescent="0.35">
      <c r="A62" s="53"/>
      <c r="B62" s="54"/>
      <c r="C62" s="54"/>
      <c r="D62" s="50"/>
      <c r="E62" s="50"/>
      <c r="F62" s="50"/>
      <c r="G62" s="50"/>
      <c r="H62" s="50">
        <f t="shared" si="0"/>
        <v>0</v>
      </c>
    </row>
    <row r="63" spans="1:8" x14ac:dyDescent="0.35">
      <c r="A63" s="53"/>
      <c r="B63" s="54"/>
      <c r="C63" s="54"/>
      <c r="D63" s="50"/>
      <c r="E63" s="50"/>
      <c r="F63" s="50"/>
      <c r="G63" s="50"/>
      <c r="H63" s="50">
        <f t="shared" si="0"/>
        <v>0</v>
      </c>
    </row>
    <row r="64" spans="1:8" x14ac:dyDescent="0.35">
      <c r="A64" s="53"/>
      <c r="B64" s="54"/>
      <c r="C64" s="54"/>
      <c r="D64" s="50"/>
      <c r="E64" s="50"/>
      <c r="F64" s="50"/>
      <c r="G64" s="50"/>
      <c r="H64" s="50">
        <f t="shared" si="0"/>
        <v>0</v>
      </c>
    </row>
    <row r="65" spans="1:8" x14ac:dyDescent="0.35">
      <c r="A65" s="53"/>
      <c r="B65" s="54"/>
      <c r="C65" s="54"/>
      <c r="D65" s="50"/>
      <c r="E65" s="50"/>
      <c r="F65" s="50"/>
      <c r="G65" s="50"/>
      <c r="H65" s="50">
        <f t="shared" si="0"/>
        <v>0</v>
      </c>
    </row>
    <row r="66" spans="1:8" x14ac:dyDescent="0.35">
      <c r="A66" s="53"/>
      <c r="B66" s="54"/>
      <c r="C66" s="54"/>
      <c r="D66" s="50"/>
      <c r="E66" s="50"/>
      <c r="F66" s="50"/>
      <c r="G66" s="50"/>
      <c r="H66" s="50">
        <f t="shared" si="0"/>
        <v>0</v>
      </c>
    </row>
    <row r="67" spans="1:8" x14ac:dyDescent="0.35">
      <c r="A67" s="53"/>
      <c r="B67" s="54"/>
      <c r="C67" s="54"/>
      <c r="D67" s="50"/>
      <c r="E67" s="50"/>
      <c r="F67" s="50"/>
      <c r="G67" s="50"/>
      <c r="H67" s="50">
        <f t="shared" ref="H67:H69" si="1">MOD(F67-E67, 1)</f>
        <v>0</v>
      </c>
    </row>
    <row r="68" spans="1:8" x14ac:dyDescent="0.35">
      <c r="A68" s="53"/>
      <c r="B68" s="54"/>
      <c r="C68" s="54"/>
      <c r="D68" s="50"/>
      <c r="E68" s="50"/>
      <c r="F68" s="50"/>
      <c r="G68" s="50"/>
      <c r="H68" s="50">
        <f t="shared" si="1"/>
        <v>0</v>
      </c>
    </row>
    <row r="69" spans="1:8" x14ac:dyDescent="0.35">
      <c r="A69" s="53"/>
      <c r="B69" s="54"/>
      <c r="C69" s="54"/>
      <c r="D69" s="50"/>
      <c r="E69" s="50"/>
      <c r="F69" s="50"/>
      <c r="G69" s="50"/>
      <c r="H69" s="50">
        <f t="shared" si="1"/>
        <v>0</v>
      </c>
    </row>
  </sheetData>
  <autoFilter ref="A2:F38" xr:uid="{00000000-0001-0000-0000-000000000000}">
    <sortState xmlns:xlrd2="http://schemas.microsoft.com/office/spreadsheetml/2017/richdata2" ref="A3:F18">
      <sortCondition ref="A2"/>
    </sortState>
  </autoFilter>
  <conditionalFormatting sqref="H3:H412">
    <cfRule type="cellIs" dxfId="14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65FB5-57DC-4CFC-BC63-31C0EDD3D591}">
  <sheetPr>
    <pageSetUpPr fitToPage="1"/>
  </sheetPr>
  <dimension ref="A1:K69"/>
  <sheetViews>
    <sheetView showGridLines="0" zoomScale="70" zoomScaleNormal="70" workbookViewId="0">
      <pane ySplit="2" topLeftCell="A3" activePane="bottomLeft" state="frozen"/>
      <selection pane="bottomLeft" activeCell="F56" sqref="F56"/>
    </sheetView>
  </sheetViews>
  <sheetFormatPr defaultColWidth="9" defaultRowHeight="23.25" x14ac:dyDescent="0.35"/>
  <cols>
    <col min="1" max="1" width="37.85546875" style="29" bestFit="1" customWidth="1"/>
    <col min="2" max="2" width="23.140625" style="7" bestFit="1" customWidth="1"/>
    <col min="3" max="3" width="16.28515625" style="6" bestFit="1" customWidth="1"/>
    <col min="4" max="4" width="20.28515625" style="5" bestFit="1" customWidth="1"/>
    <col min="5" max="5" width="23" style="5" bestFit="1" customWidth="1"/>
    <col min="6" max="6" width="24.5703125" style="3" bestFit="1" customWidth="1"/>
    <col min="7" max="7" width="0.28515625" style="1" customWidth="1"/>
    <col min="8" max="8" width="24.85546875" style="28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39" t="s">
        <v>4</v>
      </c>
      <c r="B1" s="40"/>
      <c r="C1" s="41"/>
      <c r="D1" s="42"/>
      <c r="E1" s="42"/>
      <c r="F1" s="43"/>
      <c r="G1" s="44"/>
      <c r="H1" s="51"/>
    </row>
    <row r="2" spans="1:10" s="2" customFormat="1" x14ac:dyDescent="0.35">
      <c r="A2" s="45" t="s">
        <v>0</v>
      </c>
      <c r="B2" s="45" t="s">
        <v>1</v>
      </c>
      <c r="C2" s="45" t="s">
        <v>2</v>
      </c>
      <c r="D2" s="46" t="s">
        <v>3</v>
      </c>
      <c r="E2" s="46" t="s">
        <v>236</v>
      </c>
      <c r="F2" s="45" t="s">
        <v>5</v>
      </c>
      <c r="G2" s="47"/>
      <c r="H2" s="48" t="s">
        <v>274</v>
      </c>
    </row>
    <row r="3" spans="1:10" x14ac:dyDescent="0.35">
      <c r="A3" s="53" t="s">
        <v>210</v>
      </c>
      <c r="B3" s="54" t="s">
        <v>117</v>
      </c>
      <c r="C3" s="54" t="s">
        <v>126</v>
      </c>
      <c r="D3" s="50">
        <v>0.19097222222222221</v>
      </c>
      <c r="E3" s="50">
        <v>0.21527777777777779</v>
      </c>
      <c r="F3" s="50">
        <v>0.30208333333333331</v>
      </c>
      <c r="G3" s="50"/>
      <c r="H3" s="50">
        <f t="shared" ref="H3:H66" si="0">MOD(F3-E3, 1)</f>
        <v>8.6805555555555525E-2</v>
      </c>
    </row>
    <row r="4" spans="1:10" s="4" customFormat="1" x14ac:dyDescent="0.35">
      <c r="A4" s="53" t="s">
        <v>207</v>
      </c>
      <c r="B4" s="54" t="s">
        <v>120</v>
      </c>
      <c r="C4" s="54" t="s">
        <v>129</v>
      </c>
      <c r="D4" s="50">
        <v>0.16319444444444445</v>
      </c>
      <c r="E4" s="50">
        <v>0.19097222222222221</v>
      </c>
      <c r="F4" s="50">
        <v>0.29166666666666669</v>
      </c>
      <c r="G4" s="50"/>
      <c r="H4" s="50">
        <f t="shared" si="0"/>
        <v>0.10069444444444448</v>
      </c>
    </row>
    <row r="5" spans="1:10" s="4" customFormat="1" x14ac:dyDescent="0.35">
      <c r="A5" s="53" t="s">
        <v>204</v>
      </c>
      <c r="B5" s="54" t="s">
        <v>119</v>
      </c>
      <c r="C5" s="54" t="s">
        <v>128</v>
      </c>
      <c r="D5" s="50">
        <v>0.19097222222222221</v>
      </c>
      <c r="E5" s="50">
        <v>0.21527777777777779</v>
      </c>
      <c r="F5" s="50">
        <v>0.22916666666666666</v>
      </c>
      <c r="G5" s="50"/>
      <c r="H5" s="50">
        <f t="shared" si="0"/>
        <v>1.3888888888888867E-2</v>
      </c>
    </row>
    <row r="6" spans="1:10" x14ac:dyDescent="0.35">
      <c r="A6" s="53" t="s">
        <v>195</v>
      </c>
      <c r="B6" s="54" t="s">
        <v>118</v>
      </c>
      <c r="C6" s="54" t="s">
        <v>127</v>
      </c>
      <c r="D6" s="50">
        <v>0.21875</v>
      </c>
      <c r="E6" s="50">
        <v>0.24305555555555555</v>
      </c>
      <c r="F6" s="50">
        <v>0.2986111111111111</v>
      </c>
      <c r="G6" s="50"/>
      <c r="H6" s="50">
        <f t="shared" si="0"/>
        <v>5.5555555555555552E-2</v>
      </c>
    </row>
    <row r="7" spans="1:10" x14ac:dyDescent="0.35">
      <c r="A7" s="53" t="s">
        <v>177</v>
      </c>
      <c r="B7" s="54" t="s">
        <v>121</v>
      </c>
      <c r="C7" s="54" t="s">
        <v>130</v>
      </c>
      <c r="D7" s="50">
        <v>0.20833333333333334</v>
      </c>
      <c r="E7" s="50">
        <v>0.2361111111111111</v>
      </c>
      <c r="F7" s="50">
        <v>0.35416666666666669</v>
      </c>
      <c r="G7" s="50"/>
      <c r="H7" s="50">
        <f t="shared" si="0"/>
        <v>0.11805555555555558</v>
      </c>
    </row>
    <row r="8" spans="1:10" x14ac:dyDescent="0.35">
      <c r="A8" s="53" t="s">
        <v>192</v>
      </c>
      <c r="B8" s="54" t="s">
        <v>252</v>
      </c>
      <c r="C8" s="54" t="s">
        <v>250</v>
      </c>
      <c r="D8" s="50">
        <v>0.25</v>
      </c>
      <c r="E8" s="50">
        <v>0.28125</v>
      </c>
      <c r="F8" s="50">
        <v>0.30555555555555558</v>
      </c>
      <c r="G8" s="50"/>
      <c r="H8" s="50">
        <f t="shared" si="0"/>
        <v>2.430555555555558E-2</v>
      </c>
    </row>
    <row r="9" spans="1:10" s="4" customFormat="1" x14ac:dyDescent="0.35">
      <c r="A9" s="53" t="s">
        <v>180</v>
      </c>
      <c r="B9" s="54" t="s">
        <v>339</v>
      </c>
      <c r="C9" s="54" t="s">
        <v>133</v>
      </c>
      <c r="D9" s="50">
        <v>0.27430555555555558</v>
      </c>
      <c r="E9" s="50">
        <v>0.34722222222222221</v>
      </c>
      <c r="F9" s="50">
        <v>0.37847222222222221</v>
      </c>
      <c r="G9" s="50"/>
      <c r="H9" s="50">
        <f t="shared" si="0"/>
        <v>3.125E-2</v>
      </c>
      <c r="I9" s="8"/>
      <c r="J9" s="8"/>
    </row>
    <row r="10" spans="1:10" s="4" customFormat="1" x14ac:dyDescent="0.35">
      <c r="A10" s="53" t="s">
        <v>180</v>
      </c>
      <c r="B10" s="54" t="s">
        <v>340</v>
      </c>
      <c r="C10" s="54" t="s">
        <v>131</v>
      </c>
      <c r="D10" s="50">
        <v>0.19097222222222221</v>
      </c>
      <c r="E10" s="50">
        <v>0.22222222222222221</v>
      </c>
      <c r="F10" s="50">
        <v>0.34375</v>
      </c>
      <c r="G10" s="50"/>
      <c r="H10" s="50">
        <f t="shared" si="0"/>
        <v>0.12152777777777779</v>
      </c>
      <c r="I10" s="8"/>
      <c r="J10" s="8"/>
    </row>
    <row r="11" spans="1:10" x14ac:dyDescent="0.35">
      <c r="A11" s="53" t="s">
        <v>221</v>
      </c>
      <c r="B11" s="54" t="s">
        <v>124</v>
      </c>
      <c r="C11" s="54" t="s">
        <v>134</v>
      </c>
      <c r="D11" s="50">
        <v>0.14583333333333334</v>
      </c>
      <c r="E11" s="50">
        <v>0.17708333333333334</v>
      </c>
      <c r="F11" s="50">
        <v>0.2951388888888889</v>
      </c>
      <c r="G11" s="50"/>
      <c r="H11" s="50">
        <f t="shared" si="0"/>
        <v>0.11805555555555555</v>
      </c>
      <c r="I11" s="8"/>
      <c r="J11" s="8"/>
    </row>
    <row r="12" spans="1:10" x14ac:dyDescent="0.35">
      <c r="A12" s="53" t="s">
        <v>187</v>
      </c>
      <c r="B12" s="54" t="s">
        <v>272</v>
      </c>
      <c r="C12" s="54" t="s">
        <v>163</v>
      </c>
      <c r="D12" s="50">
        <v>0.13541666666666666</v>
      </c>
      <c r="E12" s="50">
        <v>0.2638888888888889</v>
      </c>
      <c r="F12" s="50">
        <v>0.30208333333333331</v>
      </c>
      <c r="G12" s="50"/>
      <c r="H12" s="50">
        <f t="shared" si="0"/>
        <v>3.819444444444442E-2</v>
      </c>
    </row>
    <row r="13" spans="1:10" x14ac:dyDescent="0.35">
      <c r="A13" s="53" t="s">
        <v>202</v>
      </c>
      <c r="B13" s="54" t="s">
        <v>252</v>
      </c>
      <c r="C13" s="54" t="s">
        <v>250</v>
      </c>
      <c r="D13" s="50">
        <v>0.47916666666666669</v>
      </c>
      <c r="E13" s="50">
        <v>0.53472222222222221</v>
      </c>
      <c r="F13" s="50">
        <v>0.54166666666666663</v>
      </c>
      <c r="G13" s="50"/>
      <c r="H13" s="50">
        <f t="shared" si="0"/>
        <v>6.9444444444444198E-3</v>
      </c>
    </row>
    <row r="14" spans="1:10" x14ac:dyDescent="0.35">
      <c r="A14" s="53" t="s">
        <v>203</v>
      </c>
      <c r="B14" s="54" t="s">
        <v>122</v>
      </c>
      <c r="C14" s="54" t="s">
        <v>131</v>
      </c>
      <c r="D14" s="50">
        <v>0.56944444444444442</v>
      </c>
      <c r="E14" s="50">
        <v>0.61111111111111116</v>
      </c>
      <c r="F14" s="50">
        <v>0.63194444444444442</v>
      </c>
      <c r="G14" s="50"/>
      <c r="H14" s="50">
        <f t="shared" si="0"/>
        <v>2.0833333333333259E-2</v>
      </c>
    </row>
    <row r="15" spans="1:10" x14ac:dyDescent="0.35">
      <c r="A15" s="53" t="s">
        <v>184</v>
      </c>
      <c r="B15" s="54" t="s">
        <v>314</v>
      </c>
      <c r="C15" s="54" t="s">
        <v>154</v>
      </c>
      <c r="D15" s="50">
        <v>0.4826388888888889</v>
      </c>
      <c r="E15" s="50">
        <v>0.51736111111111116</v>
      </c>
      <c r="F15" s="50">
        <v>0.54513888888888884</v>
      </c>
      <c r="G15" s="50"/>
      <c r="H15" s="50">
        <f t="shared" si="0"/>
        <v>2.7777777777777679E-2</v>
      </c>
    </row>
    <row r="16" spans="1:10" x14ac:dyDescent="0.35">
      <c r="A16" s="53" t="s">
        <v>184</v>
      </c>
      <c r="B16" s="54" t="s">
        <v>341</v>
      </c>
      <c r="C16" s="54" t="s">
        <v>303</v>
      </c>
      <c r="D16" s="50">
        <v>0.49652777777777779</v>
      </c>
      <c r="E16" s="50">
        <v>0.55208333333333337</v>
      </c>
      <c r="F16" s="50">
        <v>0.58680555555555558</v>
      </c>
      <c r="G16" s="50"/>
      <c r="H16" s="50">
        <f t="shared" si="0"/>
        <v>3.472222222222221E-2</v>
      </c>
    </row>
    <row r="17" spans="1:11" x14ac:dyDescent="0.35">
      <c r="A17" s="53" t="s">
        <v>181</v>
      </c>
      <c r="B17" s="54" t="s">
        <v>307</v>
      </c>
      <c r="C17" s="54" t="s">
        <v>133</v>
      </c>
      <c r="D17" s="50">
        <v>0.55555555555555558</v>
      </c>
      <c r="E17" s="50">
        <v>0.61458333333333337</v>
      </c>
      <c r="F17" s="50">
        <v>0.65972222222222221</v>
      </c>
      <c r="G17" s="50"/>
      <c r="H17" s="50">
        <f t="shared" si="0"/>
        <v>4.513888888888884E-2</v>
      </c>
    </row>
    <row r="18" spans="1:11" x14ac:dyDescent="0.35">
      <c r="A18" s="53" t="s">
        <v>181</v>
      </c>
      <c r="B18" s="54" t="s">
        <v>342</v>
      </c>
      <c r="C18" s="54" t="s">
        <v>327</v>
      </c>
      <c r="D18" s="50">
        <v>0.64583333333333337</v>
      </c>
      <c r="E18" s="50">
        <v>0.69444444444444442</v>
      </c>
      <c r="F18" s="50">
        <v>0.70833333333333337</v>
      </c>
      <c r="G18" s="50"/>
      <c r="H18" s="50">
        <f t="shared" si="0"/>
        <v>1.3888888888888951E-2</v>
      </c>
    </row>
    <row r="19" spans="1:11" x14ac:dyDescent="0.35">
      <c r="A19" s="53" t="s">
        <v>174</v>
      </c>
      <c r="B19" s="54" t="s">
        <v>148</v>
      </c>
      <c r="C19" s="54" t="s">
        <v>141</v>
      </c>
      <c r="D19" s="50">
        <v>0.63888888888888884</v>
      </c>
      <c r="E19" s="50">
        <v>0.67708333333333337</v>
      </c>
      <c r="F19" s="50">
        <v>0.72222222222222221</v>
      </c>
      <c r="G19" s="50"/>
      <c r="H19" s="50">
        <f t="shared" si="0"/>
        <v>4.513888888888884E-2</v>
      </c>
    </row>
    <row r="20" spans="1:11" x14ac:dyDescent="0.35">
      <c r="A20" s="53" t="s">
        <v>188</v>
      </c>
      <c r="B20" s="54" t="s">
        <v>251</v>
      </c>
      <c r="C20" s="54" t="s">
        <v>249</v>
      </c>
      <c r="D20" s="50">
        <v>0.47569444444444442</v>
      </c>
      <c r="E20" s="50">
        <v>0.51736111111111116</v>
      </c>
      <c r="F20" s="50">
        <v>0.54166666666666663</v>
      </c>
      <c r="G20" s="50"/>
      <c r="H20" s="50">
        <f t="shared" si="0"/>
        <v>2.4305555555555469E-2</v>
      </c>
    </row>
    <row r="21" spans="1:11" x14ac:dyDescent="0.35">
      <c r="A21" s="53" t="s">
        <v>182</v>
      </c>
      <c r="B21" s="54" t="s">
        <v>343</v>
      </c>
      <c r="C21" s="54" t="s">
        <v>233</v>
      </c>
      <c r="D21" s="50" t="s">
        <v>275</v>
      </c>
      <c r="E21" s="50" t="s">
        <v>276</v>
      </c>
      <c r="F21" s="50" t="s">
        <v>277</v>
      </c>
      <c r="G21" s="50"/>
      <c r="H21" s="50" t="e">
        <f t="shared" si="0"/>
        <v>#VALUE!</v>
      </c>
      <c r="I21" s="6"/>
      <c r="J21" s="5"/>
      <c r="K21" s="5"/>
    </row>
    <row r="22" spans="1:11" x14ac:dyDescent="0.35">
      <c r="A22" s="53" t="s">
        <v>212</v>
      </c>
      <c r="B22" s="54" t="s">
        <v>254</v>
      </c>
      <c r="C22" s="54" t="s">
        <v>260</v>
      </c>
      <c r="D22" s="50" t="s">
        <v>275</v>
      </c>
      <c r="E22" s="50" t="s">
        <v>276</v>
      </c>
      <c r="F22" s="50" t="s">
        <v>277</v>
      </c>
      <c r="G22" s="50"/>
      <c r="H22" s="50" t="e">
        <f t="shared" si="0"/>
        <v>#VALUE!</v>
      </c>
      <c r="I22" s="6"/>
      <c r="J22" s="5"/>
      <c r="K22" s="5"/>
    </row>
    <row r="23" spans="1:11" x14ac:dyDescent="0.35">
      <c r="A23" s="53" t="s">
        <v>186</v>
      </c>
      <c r="B23" s="54" t="s">
        <v>344</v>
      </c>
      <c r="C23" s="54" t="s">
        <v>302</v>
      </c>
      <c r="D23" s="50">
        <v>0.62152777777777779</v>
      </c>
      <c r="E23" s="50">
        <v>0.67013888888888884</v>
      </c>
      <c r="F23" s="50">
        <v>0.71527777777777779</v>
      </c>
      <c r="G23" s="50"/>
      <c r="H23" s="50">
        <f t="shared" si="0"/>
        <v>4.5138888888888951E-2</v>
      </c>
      <c r="I23" s="6"/>
      <c r="J23" s="5"/>
      <c r="K23" s="5"/>
    </row>
    <row r="24" spans="1:11" x14ac:dyDescent="0.35">
      <c r="A24" s="53" t="s">
        <v>208</v>
      </c>
      <c r="B24" s="54" t="s">
        <v>305</v>
      </c>
      <c r="C24" s="54" t="s">
        <v>163</v>
      </c>
      <c r="D24" s="50">
        <v>0.62152777777777779</v>
      </c>
      <c r="E24" s="50">
        <v>0.66666666666666663</v>
      </c>
      <c r="F24" s="50">
        <v>0.6875</v>
      </c>
      <c r="G24" s="50"/>
      <c r="H24" s="50">
        <f t="shared" si="0"/>
        <v>2.083333333333337E-2</v>
      </c>
      <c r="I24" s="6"/>
      <c r="J24" s="5"/>
      <c r="K24" s="5"/>
    </row>
    <row r="25" spans="1:11" x14ac:dyDescent="0.35">
      <c r="A25" s="53" t="s">
        <v>208</v>
      </c>
      <c r="B25" s="54" t="s">
        <v>345</v>
      </c>
      <c r="C25" s="54" t="s">
        <v>132</v>
      </c>
      <c r="D25" s="50">
        <v>0.79861111111111116</v>
      </c>
      <c r="E25" s="50">
        <v>0.85069444444444442</v>
      </c>
      <c r="F25" s="50">
        <v>0.86805555555555558</v>
      </c>
      <c r="G25" s="50"/>
      <c r="H25" s="50">
        <f t="shared" si="0"/>
        <v>1.736111111111116E-2</v>
      </c>
    </row>
    <row r="26" spans="1:11" x14ac:dyDescent="0.35">
      <c r="A26" s="53" t="s">
        <v>217</v>
      </c>
      <c r="B26" s="54" t="s">
        <v>162</v>
      </c>
      <c r="C26" s="54" t="s">
        <v>161</v>
      </c>
      <c r="D26" s="50">
        <v>0.68055555555555558</v>
      </c>
      <c r="E26" s="50">
        <v>0.72222222222222221</v>
      </c>
      <c r="F26" s="50">
        <v>0.75694444444444442</v>
      </c>
      <c r="G26" s="50"/>
      <c r="H26" s="50">
        <f t="shared" si="0"/>
        <v>3.472222222222221E-2</v>
      </c>
    </row>
    <row r="27" spans="1:11" x14ac:dyDescent="0.35">
      <c r="A27" s="53" t="s">
        <v>209</v>
      </c>
      <c r="B27" s="54" t="s">
        <v>228</v>
      </c>
      <c r="C27" s="54" t="s">
        <v>127</v>
      </c>
      <c r="D27" s="50">
        <v>0.61111111111111116</v>
      </c>
      <c r="E27" s="50">
        <v>0.66319444444444442</v>
      </c>
      <c r="F27" s="50">
        <v>0.72569444444444442</v>
      </c>
      <c r="G27" s="50"/>
      <c r="H27" s="50">
        <f t="shared" si="0"/>
        <v>6.25E-2</v>
      </c>
    </row>
    <row r="28" spans="1:11" x14ac:dyDescent="0.35">
      <c r="A28" s="53" t="s">
        <v>214</v>
      </c>
      <c r="B28" s="54" t="s">
        <v>289</v>
      </c>
      <c r="C28" s="54" t="s">
        <v>167</v>
      </c>
      <c r="D28" s="50" t="s">
        <v>247</v>
      </c>
      <c r="E28" s="50" t="s">
        <v>248</v>
      </c>
      <c r="F28" s="50"/>
      <c r="G28" s="50"/>
      <c r="H28" s="50" t="e">
        <f t="shared" si="0"/>
        <v>#VALUE!</v>
      </c>
    </row>
    <row r="29" spans="1:11" x14ac:dyDescent="0.35">
      <c r="A29" s="53" t="s">
        <v>214</v>
      </c>
      <c r="B29" s="54" t="s">
        <v>346</v>
      </c>
      <c r="C29" s="54" t="s">
        <v>353</v>
      </c>
      <c r="D29" s="50">
        <v>0.69097222222222221</v>
      </c>
      <c r="E29" s="50">
        <v>0.72916666666666663</v>
      </c>
      <c r="F29" s="50">
        <v>0.77430555555555558</v>
      </c>
      <c r="G29" s="50"/>
      <c r="H29" s="50">
        <f t="shared" si="0"/>
        <v>4.5138888888888951E-2</v>
      </c>
    </row>
    <row r="30" spans="1:11" x14ac:dyDescent="0.35">
      <c r="A30" s="53" t="s">
        <v>219</v>
      </c>
      <c r="B30" s="54" t="s">
        <v>329</v>
      </c>
      <c r="C30" s="54" t="s">
        <v>291</v>
      </c>
      <c r="D30" s="50" t="s">
        <v>247</v>
      </c>
      <c r="E30" s="50" t="s">
        <v>248</v>
      </c>
      <c r="F30" s="50"/>
      <c r="G30" s="50"/>
      <c r="H30" s="50" t="e">
        <f t="shared" si="0"/>
        <v>#VALUE!</v>
      </c>
    </row>
    <row r="31" spans="1:11" x14ac:dyDescent="0.35">
      <c r="A31" s="53" t="s">
        <v>219</v>
      </c>
      <c r="B31" s="54" t="s">
        <v>347</v>
      </c>
      <c r="C31" s="54" t="s">
        <v>354</v>
      </c>
      <c r="D31" s="50">
        <v>0.71875</v>
      </c>
      <c r="E31" s="50">
        <v>0.75694444444444442</v>
      </c>
      <c r="F31" s="50">
        <v>0.84722222222222221</v>
      </c>
      <c r="G31" s="50"/>
      <c r="H31" s="50">
        <f t="shared" si="0"/>
        <v>9.027777777777779E-2</v>
      </c>
    </row>
    <row r="32" spans="1:11" x14ac:dyDescent="0.35">
      <c r="A32" s="53" t="s">
        <v>200</v>
      </c>
      <c r="B32" s="54" t="s">
        <v>160</v>
      </c>
      <c r="C32" s="54" t="s">
        <v>159</v>
      </c>
      <c r="D32" s="50">
        <v>0.73958333333333337</v>
      </c>
      <c r="E32" s="50">
        <v>0.78125</v>
      </c>
      <c r="F32" s="50">
        <v>0.82986111111111116</v>
      </c>
      <c r="G32" s="50"/>
      <c r="H32" s="50">
        <f t="shared" si="0"/>
        <v>4.861111111111116E-2</v>
      </c>
    </row>
    <row r="33" spans="1:8" x14ac:dyDescent="0.35">
      <c r="A33" s="53" t="s">
        <v>193</v>
      </c>
      <c r="B33" s="54" t="s">
        <v>329</v>
      </c>
      <c r="C33" s="54" t="s">
        <v>322</v>
      </c>
      <c r="D33" s="50" t="s">
        <v>247</v>
      </c>
      <c r="E33" s="50" t="s">
        <v>248</v>
      </c>
      <c r="F33" s="50"/>
      <c r="G33" s="50"/>
      <c r="H33" s="50" t="e">
        <f t="shared" si="0"/>
        <v>#VALUE!</v>
      </c>
    </row>
    <row r="34" spans="1:8" x14ac:dyDescent="0.35">
      <c r="A34" s="53" t="s">
        <v>193</v>
      </c>
      <c r="B34" s="54" t="s">
        <v>348</v>
      </c>
      <c r="C34" s="54" t="s">
        <v>170</v>
      </c>
      <c r="D34" s="50" t="s">
        <v>247</v>
      </c>
      <c r="E34" s="50" t="s">
        <v>248</v>
      </c>
      <c r="F34" s="50"/>
      <c r="G34" s="50"/>
      <c r="H34" s="50" t="e">
        <f t="shared" si="0"/>
        <v>#VALUE!</v>
      </c>
    </row>
    <row r="35" spans="1:8" x14ac:dyDescent="0.35">
      <c r="A35" s="53" t="s">
        <v>178</v>
      </c>
      <c r="B35" s="54" t="s">
        <v>256</v>
      </c>
      <c r="C35" s="54" t="s">
        <v>262</v>
      </c>
      <c r="D35" s="50" t="s">
        <v>275</v>
      </c>
      <c r="E35" s="50" t="s">
        <v>276</v>
      </c>
      <c r="F35" s="50" t="s">
        <v>277</v>
      </c>
      <c r="G35" s="50"/>
      <c r="H35" s="50" t="e">
        <f t="shared" si="0"/>
        <v>#VALUE!</v>
      </c>
    </row>
    <row r="36" spans="1:8" x14ac:dyDescent="0.35">
      <c r="A36" s="53" t="s">
        <v>176</v>
      </c>
      <c r="B36" s="54" t="s">
        <v>172</v>
      </c>
      <c r="C36" s="54" t="s">
        <v>171</v>
      </c>
      <c r="D36" s="50">
        <v>0.80902777777777779</v>
      </c>
      <c r="E36" s="50">
        <v>0.84375</v>
      </c>
      <c r="F36" s="50">
        <v>0.86111111111111116</v>
      </c>
      <c r="G36" s="50"/>
      <c r="H36" s="50">
        <f t="shared" si="0"/>
        <v>1.736111111111116E-2</v>
      </c>
    </row>
    <row r="37" spans="1:8" x14ac:dyDescent="0.35">
      <c r="A37" s="53" t="s">
        <v>194</v>
      </c>
      <c r="B37" s="54" t="s">
        <v>157</v>
      </c>
      <c r="C37" s="54" t="s">
        <v>158</v>
      </c>
      <c r="D37" s="50">
        <v>0.76388888888888884</v>
      </c>
      <c r="E37" s="50">
        <v>0.79861111111111116</v>
      </c>
      <c r="F37" s="50"/>
      <c r="G37" s="50"/>
      <c r="H37" s="50">
        <f t="shared" si="0"/>
        <v>0.20138888888888884</v>
      </c>
    </row>
    <row r="38" spans="1:8" x14ac:dyDescent="0.35">
      <c r="A38" s="53" t="s">
        <v>199</v>
      </c>
      <c r="B38" s="54" t="s">
        <v>231</v>
      </c>
      <c r="C38" s="54" t="s">
        <v>232</v>
      </c>
      <c r="D38" s="50">
        <v>0.83333333333333337</v>
      </c>
      <c r="E38" s="50">
        <v>0.86805555555555558</v>
      </c>
      <c r="F38" s="50">
        <v>0.91666666666666663</v>
      </c>
      <c r="G38" s="50"/>
      <c r="H38" s="50">
        <f t="shared" si="0"/>
        <v>4.8611111111111049E-2</v>
      </c>
    </row>
    <row r="39" spans="1:8" x14ac:dyDescent="0.35">
      <c r="A39" s="53" t="s">
        <v>196</v>
      </c>
      <c r="B39" s="54" t="s">
        <v>349</v>
      </c>
      <c r="C39" s="54" t="s">
        <v>355</v>
      </c>
      <c r="D39" s="50">
        <v>0.77083333333333337</v>
      </c>
      <c r="E39" s="50">
        <v>0.82291666666666663</v>
      </c>
      <c r="F39" s="50">
        <v>0.85416666666666663</v>
      </c>
      <c r="G39" s="50"/>
      <c r="H39" s="50">
        <f t="shared" si="0"/>
        <v>3.125E-2</v>
      </c>
    </row>
    <row r="40" spans="1:8" x14ac:dyDescent="0.35">
      <c r="A40" s="53" t="s">
        <v>205</v>
      </c>
      <c r="B40" s="54" t="s">
        <v>146</v>
      </c>
      <c r="C40" s="54" t="s">
        <v>140</v>
      </c>
      <c r="D40" s="50">
        <v>0.73958333333333337</v>
      </c>
      <c r="E40" s="50">
        <v>0.77777777777777779</v>
      </c>
      <c r="F40" s="50">
        <v>0.79861111111111116</v>
      </c>
      <c r="G40" s="50"/>
      <c r="H40" s="50">
        <f t="shared" si="0"/>
        <v>2.083333333333337E-2</v>
      </c>
    </row>
    <row r="41" spans="1:8" x14ac:dyDescent="0.35">
      <c r="A41" s="53" t="s">
        <v>191</v>
      </c>
      <c r="B41" s="54" t="s">
        <v>146</v>
      </c>
      <c r="C41" s="54" t="s">
        <v>356</v>
      </c>
      <c r="D41" s="50" t="s">
        <v>247</v>
      </c>
      <c r="E41" s="50" t="s">
        <v>248</v>
      </c>
      <c r="F41" s="50"/>
      <c r="G41" s="50"/>
      <c r="H41" s="50" t="e">
        <f t="shared" si="0"/>
        <v>#VALUE!</v>
      </c>
    </row>
    <row r="42" spans="1:8" x14ac:dyDescent="0.35">
      <c r="A42" s="53" t="s">
        <v>197</v>
      </c>
      <c r="B42" s="54" t="s">
        <v>288</v>
      </c>
      <c r="C42" s="54" t="s">
        <v>287</v>
      </c>
      <c r="D42" s="50" t="s">
        <v>247</v>
      </c>
      <c r="E42" s="50" t="s">
        <v>248</v>
      </c>
      <c r="F42" s="50"/>
      <c r="G42" s="50"/>
      <c r="H42" s="50" t="e">
        <f t="shared" si="0"/>
        <v>#VALUE!</v>
      </c>
    </row>
    <row r="43" spans="1:8" x14ac:dyDescent="0.35">
      <c r="A43" s="53" t="s">
        <v>218</v>
      </c>
      <c r="B43" s="54" t="s">
        <v>251</v>
      </c>
      <c r="C43" s="54" t="s">
        <v>249</v>
      </c>
      <c r="D43" s="50">
        <v>0.73263888888888884</v>
      </c>
      <c r="E43" s="50">
        <v>0.78819444444444442</v>
      </c>
      <c r="F43" s="50">
        <v>0.82291666666666663</v>
      </c>
      <c r="G43" s="50"/>
      <c r="H43" s="50">
        <f t="shared" si="0"/>
        <v>3.472222222222221E-2</v>
      </c>
    </row>
    <row r="44" spans="1:8" x14ac:dyDescent="0.35">
      <c r="A44" s="53" t="s">
        <v>183</v>
      </c>
      <c r="B44" s="54" t="s">
        <v>350</v>
      </c>
      <c r="C44" s="54" t="s">
        <v>263</v>
      </c>
      <c r="D44" s="50" t="s">
        <v>247</v>
      </c>
      <c r="E44" s="50" t="s">
        <v>248</v>
      </c>
      <c r="F44" s="50"/>
      <c r="G44" s="50"/>
      <c r="H44" s="50" t="e">
        <f t="shared" si="0"/>
        <v>#VALUE!</v>
      </c>
    </row>
    <row r="45" spans="1:8" x14ac:dyDescent="0.35">
      <c r="A45" s="53" t="s">
        <v>223</v>
      </c>
      <c r="B45" s="54" t="s">
        <v>351</v>
      </c>
      <c r="C45" s="54" t="s">
        <v>265</v>
      </c>
      <c r="D45" s="50">
        <v>0.75694444444444442</v>
      </c>
      <c r="E45" s="50">
        <v>0.79861111111111116</v>
      </c>
      <c r="F45" s="50">
        <v>0.83333333333333337</v>
      </c>
      <c r="G45" s="50"/>
      <c r="H45" s="50">
        <f t="shared" si="0"/>
        <v>3.472222222222221E-2</v>
      </c>
    </row>
    <row r="46" spans="1:8" x14ac:dyDescent="0.35">
      <c r="A46" s="53" t="s">
        <v>183</v>
      </c>
      <c r="B46" s="54" t="s">
        <v>352</v>
      </c>
      <c r="C46" s="54" t="s">
        <v>137</v>
      </c>
      <c r="D46" s="50">
        <v>0.80902777777777779</v>
      </c>
      <c r="E46" s="50">
        <v>0.85069444444444442</v>
      </c>
      <c r="F46" s="50">
        <v>0.85763888888888884</v>
      </c>
      <c r="G46" s="50"/>
      <c r="H46" s="50">
        <f t="shared" si="0"/>
        <v>6.9444444444444198E-3</v>
      </c>
    </row>
    <row r="47" spans="1:8" x14ac:dyDescent="0.35">
      <c r="A47" s="53" t="s">
        <v>223</v>
      </c>
      <c r="B47" s="54" t="s">
        <v>352</v>
      </c>
      <c r="C47" s="54" t="s">
        <v>137</v>
      </c>
      <c r="D47" s="50">
        <v>0.80902777777777779</v>
      </c>
      <c r="E47" s="50">
        <v>0.86805555555555558</v>
      </c>
      <c r="F47" s="50">
        <v>0.89583333333333337</v>
      </c>
      <c r="G47" s="50"/>
      <c r="H47" s="50">
        <f t="shared" si="0"/>
        <v>2.777777777777779E-2</v>
      </c>
    </row>
    <row r="48" spans="1:8" x14ac:dyDescent="0.35">
      <c r="A48" s="53" t="s">
        <v>224</v>
      </c>
      <c r="B48" s="54" t="s">
        <v>149</v>
      </c>
      <c r="C48" s="54" t="s">
        <v>129</v>
      </c>
      <c r="D48" s="50">
        <v>0.73611111111111116</v>
      </c>
      <c r="E48" s="50">
        <v>0.76736111111111116</v>
      </c>
      <c r="F48" s="50">
        <v>0.79861111111111116</v>
      </c>
      <c r="G48" s="50"/>
      <c r="H48" s="50">
        <f t="shared" si="0"/>
        <v>3.125E-2</v>
      </c>
    </row>
    <row r="49" spans="1:8" x14ac:dyDescent="0.35">
      <c r="A49" s="53" t="s">
        <v>206</v>
      </c>
      <c r="B49" s="54" t="s">
        <v>266</v>
      </c>
      <c r="C49" s="54" t="s">
        <v>268</v>
      </c>
      <c r="D49" s="50">
        <v>0.80555555555555558</v>
      </c>
      <c r="E49" s="50">
        <v>0.83680555555555558</v>
      </c>
      <c r="F49" s="50">
        <v>0.88541666666666663</v>
      </c>
      <c r="G49" s="50"/>
      <c r="H49" s="50">
        <f t="shared" si="0"/>
        <v>4.8611111111111049E-2</v>
      </c>
    </row>
    <row r="50" spans="1:8" x14ac:dyDescent="0.35">
      <c r="A50" s="53" t="s">
        <v>216</v>
      </c>
      <c r="B50" s="54" t="s">
        <v>267</v>
      </c>
      <c r="C50" s="54" t="s">
        <v>269</v>
      </c>
      <c r="D50" s="50">
        <v>0.78472222222222221</v>
      </c>
      <c r="E50" s="50">
        <v>0.81597222222222221</v>
      </c>
      <c r="F50" s="50">
        <v>0.83333333333333337</v>
      </c>
      <c r="G50" s="50"/>
      <c r="H50" s="50">
        <f t="shared" si="0"/>
        <v>1.736111111111116E-2</v>
      </c>
    </row>
    <row r="51" spans="1:8" x14ac:dyDescent="0.35">
      <c r="A51" s="53" t="s">
        <v>179</v>
      </c>
      <c r="B51" s="54" t="s">
        <v>227</v>
      </c>
      <c r="C51" s="54" t="s">
        <v>226</v>
      </c>
      <c r="D51" s="50">
        <v>0.79513888888888884</v>
      </c>
      <c r="E51" s="50">
        <v>0.84027777777777779</v>
      </c>
      <c r="F51" s="50">
        <v>0.88541666666666663</v>
      </c>
      <c r="G51" s="50"/>
      <c r="H51" s="50">
        <f t="shared" si="0"/>
        <v>4.513888888888884E-2</v>
      </c>
    </row>
    <row r="52" spans="1:8" x14ac:dyDescent="0.35">
      <c r="A52" s="53" t="s">
        <v>222</v>
      </c>
      <c r="B52" s="54" t="s">
        <v>235</v>
      </c>
      <c r="C52" s="54" t="s">
        <v>302</v>
      </c>
      <c r="D52" s="50" t="s">
        <v>275</v>
      </c>
      <c r="E52" s="50" t="s">
        <v>276</v>
      </c>
      <c r="F52" s="50" t="s">
        <v>277</v>
      </c>
      <c r="G52" s="50"/>
      <c r="H52" s="50" t="e">
        <f t="shared" si="0"/>
        <v>#VALUE!</v>
      </c>
    </row>
    <row r="53" spans="1:8" x14ac:dyDescent="0.35">
      <c r="A53" s="53" t="s">
        <v>222</v>
      </c>
      <c r="B53" s="54" t="s">
        <v>119</v>
      </c>
      <c r="C53" s="54" t="s">
        <v>128</v>
      </c>
      <c r="D53" s="50">
        <v>0.67013888888888884</v>
      </c>
      <c r="E53" s="50">
        <v>0.68402777777777779</v>
      </c>
      <c r="F53" s="50">
        <v>0.78472222222222221</v>
      </c>
      <c r="G53" s="50"/>
      <c r="H53" s="50">
        <f t="shared" si="0"/>
        <v>0.10069444444444442</v>
      </c>
    </row>
    <row r="54" spans="1:8" x14ac:dyDescent="0.35">
      <c r="A54" s="53" t="s">
        <v>185</v>
      </c>
      <c r="B54" s="54" t="s">
        <v>147</v>
      </c>
      <c r="C54" s="54" t="s">
        <v>130</v>
      </c>
      <c r="D54" s="50" t="s">
        <v>275</v>
      </c>
      <c r="E54" s="50">
        <v>0.86458333333333337</v>
      </c>
      <c r="F54" s="50" t="s">
        <v>277</v>
      </c>
      <c r="G54" s="50"/>
      <c r="H54" s="50" t="e">
        <f t="shared" si="0"/>
        <v>#VALUE!</v>
      </c>
    </row>
    <row r="55" spans="1:8" x14ac:dyDescent="0.35">
      <c r="A55" s="53" t="s">
        <v>220</v>
      </c>
      <c r="B55" s="54" t="s">
        <v>278</v>
      </c>
      <c r="C55" s="54" t="s">
        <v>292</v>
      </c>
      <c r="D55" s="50">
        <v>0.80555555555555558</v>
      </c>
      <c r="E55" s="50">
        <v>0.83680555555555558</v>
      </c>
      <c r="F55" s="50">
        <v>0.86111111111111116</v>
      </c>
      <c r="G55" s="50"/>
      <c r="H55" s="50">
        <f t="shared" si="0"/>
        <v>2.430555555555558E-2</v>
      </c>
    </row>
    <row r="56" spans="1:8" x14ac:dyDescent="0.35">
      <c r="A56" s="53" t="s">
        <v>222</v>
      </c>
      <c r="B56" s="54" t="s">
        <v>124</v>
      </c>
      <c r="C56" s="54" t="s">
        <v>134</v>
      </c>
      <c r="D56" s="50">
        <v>0.61111111111111116</v>
      </c>
      <c r="E56" s="50">
        <v>0.625</v>
      </c>
      <c r="F56" s="50">
        <v>0.63541666666666663</v>
      </c>
      <c r="G56" s="50"/>
      <c r="H56" s="50">
        <f t="shared" si="0"/>
        <v>1.041666666666663E-2</v>
      </c>
    </row>
    <row r="57" spans="1:8" x14ac:dyDescent="0.35">
      <c r="A57" s="53"/>
      <c r="B57" s="54"/>
      <c r="C57" s="54"/>
      <c r="D57" s="50"/>
      <c r="E57" s="50"/>
      <c r="F57" s="50"/>
      <c r="G57" s="50"/>
      <c r="H57" s="50">
        <f t="shared" si="0"/>
        <v>0</v>
      </c>
    </row>
    <row r="58" spans="1:8" x14ac:dyDescent="0.35">
      <c r="A58" s="53"/>
      <c r="B58" s="54"/>
      <c r="C58" s="54"/>
      <c r="D58" s="50"/>
      <c r="E58" s="50"/>
      <c r="F58" s="50"/>
      <c r="G58" s="50"/>
      <c r="H58" s="50">
        <f t="shared" si="0"/>
        <v>0</v>
      </c>
    </row>
    <row r="59" spans="1:8" x14ac:dyDescent="0.35">
      <c r="A59" s="53"/>
      <c r="B59" s="54"/>
      <c r="C59" s="54"/>
      <c r="D59" s="50"/>
      <c r="E59" s="50"/>
      <c r="F59" s="50"/>
      <c r="G59" s="50"/>
      <c r="H59" s="50">
        <f t="shared" si="0"/>
        <v>0</v>
      </c>
    </row>
    <row r="60" spans="1:8" x14ac:dyDescent="0.35">
      <c r="A60" s="53"/>
      <c r="B60" s="54"/>
      <c r="C60" s="54"/>
      <c r="D60" s="50"/>
      <c r="E60" s="50"/>
      <c r="F60" s="50"/>
      <c r="G60" s="50"/>
      <c r="H60" s="50">
        <f t="shared" si="0"/>
        <v>0</v>
      </c>
    </row>
    <row r="61" spans="1:8" x14ac:dyDescent="0.35">
      <c r="A61" s="53"/>
      <c r="B61" s="54"/>
      <c r="C61" s="54"/>
      <c r="D61" s="50"/>
      <c r="E61" s="50"/>
      <c r="F61" s="50"/>
      <c r="G61" s="50"/>
      <c r="H61" s="50">
        <f t="shared" si="0"/>
        <v>0</v>
      </c>
    </row>
    <row r="62" spans="1:8" x14ac:dyDescent="0.35">
      <c r="A62" s="53"/>
      <c r="B62" s="54"/>
      <c r="C62" s="54"/>
      <c r="D62" s="50"/>
      <c r="E62" s="50"/>
      <c r="F62" s="50"/>
      <c r="G62" s="50"/>
      <c r="H62" s="50">
        <f t="shared" si="0"/>
        <v>0</v>
      </c>
    </row>
    <row r="63" spans="1:8" x14ac:dyDescent="0.35">
      <c r="A63" s="53"/>
      <c r="B63" s="54"/>
      <c r="C63" s="54"/>
      <c r="D63" s="50"/>
      <c r="E63" s="50"/>
      <c r="F63" s="50"/>
      <c r="G63" s="50"/>
      <c r="H63" s="50">
        <f t="shared" si="0"/>
        <v>0</v>
      </c>
    </row>
    <row r="64" spans="1:8" x14ac:dyDescent="0.35">
      <c r="A64" s="53"/>
      <c r="B64" s="54"/>
      <c r="C64" s="54"/>
      <c r="D64" s="50"/>
      <c r="E64" s="50"/>
      <c r="F64" s="50"/>
      <c r="G64" s="50"/>
      <c r="H64" s="50">
        <f t="shared" si="0"/>
        <v>0</v>
      </c>
    </row>
    <row r="65" spans="1:8" x14ac:dyDescent="0.35">
      <c r="A65" s="53"/>
      <c r="B65" s="54"/>
      <c r="C65" s="54"/>
      <c r="D65" s="50"/>
      <c r="E65" s="50"/>
      <c r="F65" s="50"/>
      <c r="G65" s="50"/>
      <c r="H65" s="50">
        <f t="shared" si="0"/>
        <v>0</v>
      </c>
    </row>
    <row r="66" spans="1:8" x14ac:dyDescent="0.35">
      <c r="A66" s="53"/>
      <c r="B66" s="54"/>
      <c r="C66" s="54"/>
      <c r="D66" s="50"/>
      <c r="E66" s="50"/>
      <c r="F66" s="50"/>
      <c r="G66" s="50"/>
      <c r="H66" s="50">
        <f t="shared" si="0"/>
        <v>0</v>
      </c>
    </row>
    <row r="67" spans="1:8" x14ac:dyDescent="0.35">
      <c r="A67" s="53"/>
      <c r="B67" s="54"/>
      <c r="C67" s="54"/>
      <c r="D67" s="50"/>
      <c r="E67" s="50"/>
      <c r="F67" s="50"/>
      <c r="G67" s="50"/>
      <c r="H67" s="50">
        <f t="shared" ref="H67:H69" si="1">MOD(F67-E67, 1)</f>
        <v>0</v>
      </c>
    </row>
    <row r="68" spans="1:8" x14ac:dyDescent="0.35">
      <c r="A68" s="53"/>
      <c r="B68" s="54"/>
      <c r="C68" s="54"/>
      <c r="D68" s="50"/>
      <c r="E68" s="50"/>
      <c r="F68" s="50"/>
      <c r="G68" s="50"/>
      <c r="H68" s="50">
        <f t="shared" si="1"/>
        <v>0</v>
      </c>
    </row>
    <row r="69" spans="1:8" x14ac:dyDescent="0.35">
      <c r="A69" s="53"/>
      <c r="B69" s="54"/>
      <c r="C69" s="54"/>
      <c r="D69" s="50"/>
      <c r="E69" s="50"/>
      <c r="F69" s="50"/>
      <c r="G69" s="50"/>
      <c r="H69" s="50">
        <f t="shared" si="1"/>
        <v>0</v>
      </c>
    </row>
  </sheetData>
  <autoFilter ref="A2:F38" xr:uid="{00000000-0001-0000-0000-000000000000}">
    <sortState xmlns:xlrd2="http://schemas.microsoft.com/office/spreadsheetml/2017/richdata2" ref="A3:F18">
      <sortCondition ref="A2"/>
    </sortState>
  </autoFilter>
  <conditionalFormatting sqref="H3:H412">
    <cfRule type="cellIs" dxfId="13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A4B5A-024B-4DC9-966F-3B8957DBFAA4}">
  <sheetPr>
    <pageSetUpPr fitToPage="1"/>
  </sheetPr>
  <dimension ref="A1:K69"/>
  <sheetViews>
    <sheetView showGridLines="0" zoomScale="70" zoomScaleNormal="70" workbookViewId="0">
      <pane ySplit="2" topLeftCell="A3" activePane="bottomLeft" state="frozen"/>
      <selection pane="bottomLeft" activeCell="F16" sqref="F16"/>
    </sheetView>
  </sheetViews>
  <sheetFormatPr defaultColWidth="9" defaultRowHeight="23.25" x14ac:dyDescent="0.35"/>
  <cols>
    <col min="1" max="1" width="37.85546875" style="29" bestFit="1" customWidth="1"/>
    <col min="2" max="2" width="39.42578125" style="7" bestFit="1" customWidth="1"/>
    <col min="3" max="3" width="16.28515625" style="6" bestFit="1" customWidth="1"/>
    <col min="4" max="4" width="20.28515625" style="5" bestFit="1" customWidth="1"/>
    <col min="5" max="5" width="23" style="5" bestFit="1" customWidth="1"/>
    <col min="6" max="6" width="24.5703125" style="3" bestFit="1" customWidth="1"/>
    <col min="7" max="7" width="0.28515625" style="1" customWidth="1"/>
    <col min="8" max="8" width="24.85546875" style="28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39" t="s">
        <v>4</v>
      </c>
      <c r="B1" s="40"/>
      <c r="C1" s="41"/>
      <c r="D1" s="42"/>
      <c r="E1" s="42"/>
      <c r="F1" s="43"/>
      <c r="G1" s="44"/>
      <c r="H1" s="51"/>
    </row>
    <row r="2" spans="1:10" s="2" customFormat="1" x14ac:dyDescent="0.35">
      <c r="A2" s="45" t="s">
        <v>0</v>
      </c>
      <c r="B2" s="45" t="s">
        <v>1</v>
      </c>
      <c r="C2" s="45" t="s">
        <v>2</v>
      </c>
      <c r="D2" s="46" t="s">
        <v>3</v>
      </c>
      <c r="E2" s="46" t="s">
        <v>236</v>
      </c>
      <c r="F2" s="45" t="s">
        <v>5</v>
      </c>
      <c r="G2" s="47"/>
      <c r="H2" s="48" t="s">
        <v>274</v>
      </c>
    </row>
    <row r="3" spans="1:10" x14ac:dyDescent="0.35">
      <c r="A3" s="53" t="s">
        <v>192</v>
      </c>
      <c r="B3" s="54" t="s">
        <v>122</v>
      </c>
      <c r="C3" s="54" t="s">
        <v>131</v>
      </c>
      <c r="D3" s="50">
        <v>0.22569444444444445</v>
      </c>
      <c r="E3" s="50">
        <v>0.26041666666666669</v>
      </c>
      <c r="F3" s="50">
        <v>0.7895833333333333</v>
      </c>
      <c r="G3" s="50"/>
      <c r="H3" s="50">
        <f t="shared" ref="H3:H66" si="0">MOD(F3-E3, 1)</f>
        <v>0.52916666666666656</v>
      </c>
    </row>
    <row r="4" spans="1:10" s="4" customFormat="1" x14ac:dyDescent="0.35">
      <c r="A4" s="53" t="s">
        <v>177</v>
      </c>
      <c r="B4" s="54" t="s">
        <v>117</v>
      </c>
      <c r="C4" s="54" t="s">
        <v>126</v>
      </c>
      <c r="D4" s="50">
        <v>0.24652777777777779</v>
      </c>
      <c r="E4" s="50">
        <v>0.27777777777777779</v>
      </c>
      <c r="F4" s="50">
        <v>0.35416666666666669</v>
      </c>
      <c r="G4" s="50"/>
      <c r="H4" s="50">
        <f t="shared" si="0"/>
        <v>7.6388888888888895E-2</v>
      </c>
    </row>
    <row r="5" spans="1:10" s="4" customFormat="1" x14ac:dyDescent="0.35">
      <c r="A5" s="53" t="s">
        <v>204</v>
      </c>
      <c r="B5" s="54" t="s">
        <v>119</v>
      </c>
      <c r="C5" s="54" t="s">
        <v>128</v>
      </c>
      <c r="D5" s="50">
        <v>0.16319444444444445</v>
      </c>
      <c r="E5" s="50">
        <v>0.1875</v>
      </c>
      <c r="F5" s="50">
        <v>0.22916666666666666</v>
      </c>
      <c r="G5" s="50"/>
      <c r="H5" s="50">
        <f t="shared" si="0"/>
        <v>4.1666666666666657E-2</v>
      </c>
    </row>
    <row r="6" spans="1:10" x14ac:dyDescent="0.35">
      <c r="A6" s="53" t="s">
        <v>195</v>
      </c>
      <c r="B6" s="54" t="s">
        <v>270</v>
      </c>
      <c r="C6" s="54" t="s">
        <v>141</v>
      </c>
      <c r="D6" s="50">
        <v>0.22222222222222221</v>
      </c>
      <c r="E6" s="50">
        <v>0.2638888888888889</v>
      </c>
      <c r="F6" s="50">
        <v>0.34375</v>
      </c>
      <c r="G6" s="50"/>
      <c r="H6" s="50">
        <f t="shared" si="0"/>
        <v>7.9861111111111105E-2</v>
      </c>
    </row>
    <row r="7" spans="1:10" x14ac:dyDescent="0.35">
      <c r="A7" s="53" t="s">
        <v>207</v>
      </c>
      <c r="B7" s="54" t="s">
        <v>357</v>
      </c>
      <c r="C7" s="54" t="s">
        <v>127</v>
      </c>
      <c r="D7" s="50">
        <v>0.20833333333333334</v>
      </c>
      <c r="E7" s="50">
        <v>0.2361111111111111</v>
      </c>
      <c r="F7" s="50">
        <v>0.34375</v>
      </c>
      <c r="G7" s="50"/>
      <c r="H7" s="50">
        <f t="shared" si="0"/>
        <v>0.1076388888888889</v>
      </c>
    </row>
    <row r="8" spans="1:10" x14ac:dyDescent="0.35">
      <c r="A8" s="53" t="s">
        <v>210</v>
      </c>
      <c r="B8" s="54" t="s">
        <v>273</v>
      </c>
      <c r="C8" s="54" t="s">
        <v>133</v>
      </c>
      <c r="D8" s="50">
        <v>0.2673611111111111</v>
      </c>
      <c r="E8" s="50">
        <v>0.3611111111111111</v>
      </c>
      <c r="F8" s="50">
        <v>0.41666666666666669</v>
      </c>
      <c r="G8" s="50"/>
      <c r="H8" s="50">
        <f t="shared" si="0"/>
        <v>5.555555555555558E-2</v>
      </c>
    </row>
    <row r="9" spans="1:10" s="4" customFormat="1" x14ac:dyDescent="0.35">
      <c r="A9" s="53" t="s">
        <v>221</v>
      </c>
      <c r="B9" s="54" t="s">
        <v>152</v>
      </c>
      <c r="C9" s="54" t="s">
        <v>134</v>
      </c>
      <c r="D9" s="50">
        <v>0.18402777777777779</v>
      </c>
      <c r="E9" s="50">
        <v>0.21180555555555555</v>
      </c>
      <c r="F9" s="50">
        <v>0.28819444444444442</v>
      </c>
      <c r="G9" s="50"/>
      <c r="H9" s="50">
        <f t="shared" si="0"/>
        <v>7.6388888888888867E-2</v>
      </c>
      <c r="I9" s="8"/>
      <c r="J9" s="8"/>
    </row>
    <row r="10" spans="1:10" s="4" customFormat="1" x14ac:dyDescent="0.35">
      <c r="A10" s="53" t="s">
        <v>187</v>
      </c>
      <c r="B10" s="54" t="s">
        <v>272</v>
      </c>
      <c r="C10" s="54" t="s">
        <v>163</v>
      </c>
      <c r="D10" s="50">
        <v>3.472222222222222E-3</v>
      </c>
      <c r="E10" s="50">
        <v>0.27430555555555558</v>
      </c>
      <c r="F10" s="50">
        <v>0.30902777777777779</v>
      </c>
      <c r="G10" s="50"/>
      <c r="H10" s="50">
        <f t="shared" si="0"/>
        <v>3.472222222222221E-2</v>
      </c>
      <c r="I10" s="8"/>
      <c r="J10" s="8"/>
    </row>
    <row r="11" spans="1:10" x14ac:dyDescent="0.35">
      <c r="A11" s="53"/>
      <c r="B11" s="54"/>
      <c r="C11" s="54"/>
      <c r="D11" s="50"/>
      <c r="E11" s="50"/>
      <c r="F11" s="50"/>
      <c r="G11" s="50"/>
      <c r="H11" s="50">
        <f t="shared" si="0"/>
        <v>0</v>
      </c>
      <c r="I11" s="8"/>
      <c r="J11" s="8"/>
    </row>
    <row r="12" spans="1:10" x14ac:dyDescent="0.35">
      <c r="A12" s="53"/>
      <c r="B12" s="54"/>
      <c r="C12" s="54"/>
      <c r="D12" s="50"/>
      <c r="E12" s="50"/>
      <c r="F12" s="50"/>
      <c r="G12" s="50"/>
      <c r="H12" s="50">
        <f t="shared" si="0"/>
        <v>0</v>
      </c>
    </row>
    <row r="13" spans="1:10" x14ac:dyDescent="0.35">
      <c r="A13" s="53"/>
      <c r="B13" s="54"/>
      <c r="C13" s="54"/>
      <c r="D13" s="50"/>
      <c r="E13" s="50"/>
      <c r="F13" s="50"/>
      <c r="G13" s="50"/>
      <c r="H13" s="50">
        <f t="shared" si="0"/>
        <v>0</v>
      </c>
    </row>
    <row r="14" spans="1:10" x14ac:dyDescent="0.35">
      <c r="A14" s="53"/>
      <c r="B14" s="54"/>
      <c r="C14" s="54"/>
      <c r="D14" s="50"/>
      <c r="E14" s="50"/>
      <c r="F14" s="50"/>
      <c r="G14" s="50"/>
      <c r="H14" s="50">
        <f t="shared" si="0"/>
        <v>0</v>
      </c>
    </row>
    <row r="15" spans="1:10" x14ac:dyDescent="0.35">
      <c r="A15" s="53"/>
      <c r="B15" s="54"/>
      <c r="C15" s="54"/>
      <c r="D15" s="50"/>
      <c r="E15" s="50"/>
      <c r="F15" s="50"/>
      <c r="G15" s="50"/>
      <c r="H15" s="50">
        <f t="shared" si="0"/>
        <v>0</v>
      </c>
    </row>
    <row r="16" spans="1:10" x14ac:dyDescent="0.35">
      <c r="A16" s="53"/>
      <c r="B16" s="54"/>
      <c r="C16" s="54"/>
      <c r="D16" s="50"/>
      <c r="E16" s="50"/>
      <c r="F16" s="50"/>
      <c r="G16" s="50"/>
      <c r="H16" s="50">
        <f t="shared" si="0"/>
        <v>0</v>
      </c>
    </row>
    <row r="17" spans="1:11" x14ac:dyDescent="0.35">
      <c r="A17" s="53"/>
      <c r="B17" s="54"/>
      <c r="C17" s="54"/>
      <c r="D17" s="50"/>
      <c r="E17" s="50"/>
      <c r="F17" s="50"/>
      <c r="G17" s="50"/>
      <c r="H17" s="50">
        <f t="shared" si="0"/>
        <v>0</v>
      </c>
    </row>
    <row r="18" spans="1:11" x14ac:dyDescent="0.35">
      <c r="A18" s="53"/>
      <c r="B18" s="54"/>
      <c r="C18" s="54"/>
      <c r="D18" s="50"/>
      <c r="E18" s="50"/>
      <c r="F18" s="50"/>
      <c r="G18" s="50"/>
      <c r="H18" s="50">
        <f t="shared" si="0"/>
        <v>0</v>
      </c>
    </row>
    <row r="19" spans="1:11" x14ac:dyDescent="0.35">
      <c r="A19" s="53"/>
      <c r="B19" s="54"/>
      <c r="C19" s="54"/>
      <c r="D19" s="50"/>
      <c r="E19" s="50"/>
      <c r="F19" s="50"/>
      <c r="G19" s="50"/>
      <c r="H19" s="50">
        <f t="shared" si="0"/>
        <v>0</v>
      </c>
    </row>
    <row r="20" spans="1:11" x14ac:dyDescent="0.35">
      <c r="A20" s="53"/>
      <c r="B20" s="54"/>
      <c r="C20" s="54"/>
      <c r="D20" s="50"/>
      <c r="E20" s="50"/>
      <c r="F20" s="50"/>
      <c r="G20" s="50"/>
      <c r="H20" s="50">
        <f t="shared" si="0"/>
        <v>0</v>
      </c>
    </row>
    <row r="21" spans="1:11" x14ac:dyDescent="0.35">
      <c r="A21" s="53"/>
      <c r="B21" s="54"/>
      <c r="C21" s="54"/>
      <c r="D21" s="50"/>
      <c r="E21" s="50"/>
      <c r="F21" s="50"/>
      <c r="G21" s="50"/>
      <c r="H21" s="50">
        <f t="shared" si="0"/>
        <v>0</v>
      </c>
      <c r="I21" s="6"/>
      <c r="J21" s="5"/>
      <c r="K21" s="5"/>
    </row>
    <row r="22" spans="1:11" x14ac:dyDescent="0.35">
      <c r="A22" s="53"/>
      <c r="B22" s="54"/>
      <c r="C22" s="54"/>
      <c r="D22" s="50"/>
      <c r="E22" s="50"/>
      <c r="F22" s="50"/>
      <c r="G22" s="50"/>
      <c r="H22" s="50">
        <f t="shared" si="0"/>
        <v>0</v>
      </c>
      <c r="I22" s="6"/>
      <c r="J22" s="5"/>
      <c r="K22" s="5"/>
    </row>
    <row r="23" spans="1:11" x14ac:dyDescent="0.35">
      <c r="A23" s="53"/>
      <c r="B23" s="54"/>
      <c r="C23" s="54"/>
      <c r="D23" s="50"/>
      <c r="E23" s="50"/>
      <c r="F23" s="50"/>
      <c r="G23" s="50"/>
      <c r="H23" s="50">
        <f t="shared" si="0"/>
        <v>0</v>
      </c>
      <c r="I23" s="6"/>
      <c r="J23" s="5"/>
      <c r="K23" s="5"/>
    </row>
    <row r="24" spans="1:11" x14ac:dyDescent="0.35">
      <c r="A24" s="53"/>
      <c r="B24" s="54"/>
      <c r="C24" s="54"/>
      <c r="D24" s="50"/>
      <c r="E24" s="50"/>
      <c r="F24" s="50"/>
      <c r="G24" s="50"/>
      <c r="H24" s="50">
        <f t="shared" si="0"/>
        <v>0</v>
      </c>
      <c r="I24" s="6"/>
      <c r="J24" s="5"/>
      <c r="K24" s="5"/>
    </row>
    <row r="25" spans="1:11" x14ac:dyDescent="0.35">
      <c r="A25" s="53"/>
      <c r="B25" s="54"/>
      <c r="C25" s="54"/>
      <c r="D25" s="50"/>
      <c r="E25" s="50"/>
      <c r="F25" s="50"/>
      <c r="G25" s="50"/>
      <c r="H25" s="50">
        <f t="shared" si="0"/>
        <v>0</v>
      </c>
    </row>
    <row r="26" spans="1:11" x14ac:dyDescent="0.35">
      <c r="A26" s="53"/>
      <c r="B26" s="54"/>
      <c r="C26" s="54"/>
      <c r="D26" s="50"/>
      <c r="E26" s="50"/>
      <c r="F26" s="50"/>
      <c r="G26" s="50"/>
      <c r="H26" s="50">
        <f t="shared" si="0"/>
        <v>0</v>
      </c>
    </row>
    <row r="27" spans="1:11" x14ac:dyDescent="0.35">
      <c r="A27" s="53"/>
      <c r="B27" s="54"/>
      <c r="C27" s="54"/>
      <c r="D27" s="50"/>
      <c r="E27" s="50"/>
      <c r="F27" s="50"/>
      <c r="G27" s="50"/>
      <c r="H27" s="50">
        <f t="shared" si="0"/>
        <v>0</v>
      </c>
    </row>
    <row r="28" spans="1:11" x14ac:dyDescent="0.35">
      <c r="A28" s="53"/>
      <c r="B28" s="54"/>
      <c r="C28" s="54"/>
      <c r="D28" s="50"/>
      <c r="E28" s="50"/>
      <c r="F28" s="50"/>
      <c r="G28" s="50"/>
      <c r="H28" s="50">
        <f t="shared" si="0"/>
        <v>0</v>
      </c>
    </row>
    <row r="29" spans="1:11" x14ac:dyDescent="0.35">
      <c r="A29" s="53"/>
      <c r="B29" s="54"/>
      <c r="C29" s="54"/>
      <c r="D29" s="50"/>
      <c r="E29" s="50"/>
      <c r="F29" s="50"/>
      <c r="G29" s="50"/>
      <c r="H29" s="50">
        <f t="shared" si="0"/>
        <v>0</v>
      </c>
    </row>
    <row r="30" spans="1:11" x14ac:dyDescent="0.35">
      <c r="A30" s="53"/>
      <c r="B30" s="54"/>
      <c r="C30" s="54"/>
      <c r="D30" s="50"/>
      <c r="E30" s="50"/>
      <c r="F30" s="50"/>
      <c r="G30" s="50"/>
      <c r="H30" s="50">
        <f t="shared" si="0"/>
        <v>0</v>
      </c>
    </row>
    <row r="31" spans="1:11" x14ac:dyDescent="0.35">
      <c r="A31" s="53"/>
      <c r="B31" s="54"/>
      <c r="C31" s="54"/>
      <c r="D31" s="50"/>
      <c r="E31" s="50"/>
      <c r="F31" s="50"/>
      <c r="G31" s="50"/>
      <c r="H31" s="50">
        <f t="shared" si="0"/>
        <v>0</v>
      </c>
    </row>
    <row r="32" spans="1:11" x14ac:dyDescent="0.35">
      <c r="A32" s="53"/>
      <c r="B32" s="54"/>
      <c r="C32" s="54"/>
      <c r="D32" s="50"/>
      <c r="E32" s="50"/>
      <c r="F32" s="50"/>
      <c r="G32" s="50"/>
      <c r="H32" s="50">
        <f t="shared" si="0"/>
        <v>0</v>
      </c>
    </row>
    <row r="33" spans="1:8" x14ac:dyDescent="0.35">
      <c r="A33" s="53"/>
      <c r="B33" s="54"/>
      <c r="C33" s="54"/>
      <c r="D33" s="50"/>
      <c r="E33" s="50"/>
      <c r="F33" s="50"/>
      <c r="G33" s="50"/>
      <c r="H33" s="50">
        <f t="shared" si="0"/>
        <v>0</v>
      </c>
    </row>
    <row r="34" spans="1:8" x14ac:dyDescent="0.35">
      <c r="A34" s="53"/>
      <c r="B34" s="54"/>
      <c r="C34" s="54"/>
      <c r="D34" s="50"/>
      <c r="E34" s="50"/>
      <c r="F34" s="50"/>
      <c r="G34" s="50"/>
      <c r="H34" s="50">
        <f t="shared" si="0"/>
        <v>0</v>
      </c>
    </row>
    <row r="35" spans="1:8" x14ac:dyDescent="0.35">
      <c r="A35" s="53"/>
      <c r="B35" s="54"/>
      <c r="C35" s="54"/>
      <c r="D35" s="50"/>
      <c r="E35" s="50"/>
      <c r="F35" s="50"/>
      <c r="G35" s="50"/>
      <c r="H35" s="50">
        <f t="shared" si="0"/>
        <v>0</v>
      </c>
    </row>
    <row r="36" spans="1:8" x14ac:dyDescent="0.35">
      <c r="A36" s="53"/>
      <c r="B36" s="54"/>
      <c r="C36" s="54"/>
      <c r="D36" s="50"/>
      <c r="E36" s="50"/>
      <c r="F36" s="50"/>
      <c r="G36" s="50"/>
      <c r="H36" s="50">
        <f t="shared" si="0"/>
        <v>0</v>
      </c>
    </row>
    <row r="37" spans="1:8" x14ac:dyDescent="0.35">
      <c r="A37" s="53"/>
      <c r="B37" s="54"/>
      <c r="C37" s="54"/>
      <c r="D37" s="50"/>
      <c r="E37" s="50"/>
      <c r="F37" s="50"/>
      <c r="G37" s="50"/>
      <c r="H37" s="50">
        <f t="shared" si="0"/>
        <v>0</v>
      </c>
    </row>
    <row r="38" spans="1:8" x14ac:dyDescent="0.35">
      <c r="A38" s="53"/>
      <c r="B38" s="54"/>
      <c r="C38" s="54"/>
      <c r="D38" s="50"/>
      <c r="E38" s="50"/>
      <c r="F38" s="50"/>
      <c r="G38" s="50"/>
      <c r="H38" s="50">
        <f t="shared" si="0"/>
        <v>0</v>
      </c>
    </row>
    <row r="39" spans="1:8" x14ac:dyDescent="0.35">
      <c r="A39" s="53"/>
      <c r="B39" s="54"/>
      <c r="C39" s="54"/>
      <c r="D39" s="50"/>
      <c r="E39" s="50"/>
      <c r="F39" s="50"/>
      <c r="G39" s="50"/>
      <c r="H39" s="50">
        <f t="shared" si="0"/>
        <v>0</v>
      </c>
    </row>
    <row r="40" spans="1:8" x14ac:dyDescent="0.35">
      <c r="A40" s="53"/>
      <c r="B40" s="54"/>
      <c r="C40" s="54"/>
      <c r="D40" s="50"/>
      <c r="E40" s="50"/>
      <c r="F40" s="50"/>
      <c r="G40" s="50"/>
      <c r="H40" s="50">
        <f t="shared" si="0"/>
        <v>0</v>
      </c>
    </row>
    <row r="41" spans="1:8" x14ac:dyDescent="0.35">
      <c r="A41" s="53"/>
      <c r="B41" s="54"/>
      <c r="C41" s="54"/>
      <c r="D41" s="50"/>
      <c r="E41" s="50"/>
      <c r="F41" s="50"/>
      <c r="G41" s="50"/>
      <c r="H41" s="50">
        <f t="shared" si="0"/>
        <v>0</v>
      </c>
    </row>
    <row r="42" spans="1:8" x14ac:dyDescent="0.35">
      <c r="A42" s="53"/>
      <c r="B42" s="54"/>
      <c r="C42" s="54"/>
      <c r="D42" s="50"/>
      <c r="E42" s="50"/>
      <c r="F42" s="50"/>
      <c r="G42" s="50"/>
      <c r="H42" s="50">
        <f t="shared" si="0"/>
        <v>0</v>
      </c>
    </row>
    <row r="43" spans="1:8" x14ac:dyDescent="0.35">
      <c r="A43" s="53"/>
      <c r="B43" s="54"/>
      <c r="C43" s="54"/>
      <c r="D43" s="50"/>
      <c r="E43" s="50"/>
      <c r="F43" s="50"/>
      <c r="G43" s="50"/>
      <c r="H43" s="50">
        <f t="shared" si="0"/>
        <v>0</v>
      </c>
    </row>
    <row r="44" spans="1:8" x14ac:dyDescent="0.35">
      <c r="A44" s="53"/>
      <c r="B44" s="54"/>
      <c r="C44" s="54"/>
      <c r="D44" s="50"/>
      <c r="E44" s="50"/>
      <c r="F44" s="50"/>
      <c r="G44" s="50"/>
      <c r="H44" s="50">
        <f t="shared" si="0"/>
        <v>0</v>
      </c>
    </row>
    <row r="45" spans="1:8" x14ac:dyDescent="0.35">
      <c r="A45" s="53"/>
      <c r="B45" s="54"/>
      <c r="C45" s="54"/>
      <c r="D45" s="50"/>
      <c r="E45" s="50"/>
      <c r="F45" s="50"/>
      <c r="G45" s="50"/>
      <c r="H45" s="50">
        <f t="shared" si="0"/>
        <v>0</v>
      </c>
    </row>
    <row r="46" spans="1:8" x14ac:dyDescent="0.35">
      <c r="A46" s="53"/>
      <c r="B46" s="54"/>
      <c r="C46" s="54"/>
      <c r="D46" s="50"/>
      <c r="E46" s="50"/>
      <c r="F46" s="50"/>
      <c r="G46" s="50"/>
      <c r="H46" s="50">
        <f t="shared" si="0"/>
        <v>0</v>
      </c>
    </row>
    <row r="47" spans="1:8" x14ac:dyDescent="0.35">
      <c r="A47" s="53"/>
      <c r="B47" s="54"/>
      <c r="C47" s="54"/>
      <c r="D47" s="50"/>
      <c r="E47" s="50"/>
      <c r="F47" s="50"/>
      <c r="G47" s="50"/>
      <c r="H47" s="50">
        <f t="shared" si="0"/>
        <v>0</v>
      </c>
    </row>
    <row r="48" spans="1:8" x14ac:dyDescent="0.35">
      <c r="A48" s="53"/>
      <c r="B48" s="54"/>
      <c r="C48" s="54"/>
      <c r="D48" s="50"/>
      <c r="E48" s="50"/>
      <c r="F48" s="50"/>
      <c r="G48" s="50"/>
      <c r="H48" s="50">
        <f t="shared" si="0"/>
        <v>0</v>
      </c>
    </row>
    <row r="49" spans="1:8" x14ac:dyDescent="0.35">
      <c r="A49" s="53"/>
      <c r="B49" s="54"/>
      <c r="C49" s="54"/>
      <c r="D49" s="50"/>
      <c r="E49" s="50"/>
      <c r="F49" s="50"/>
      <c r="G49" s="50"/>
      <c r="H49" s="50">
        <f t="shared" si="0"/>
        <v>0</v>
      </c>
    </row>
    <row r="50" spans="1:8" x14ac:dyDescent="0.35">
      <c r="A50" s="53"/>
      <c r="B50" s="54"/>
      <c r="C50" s="54"/>
      <c r="D50" s="50"/>
      <c r="E50" s="50"/>
      <c r="F50" s="50"/>
      <c r="G50" s="50"/>
      <c r="H50" s="50">
        <f t="shared" si="0"/>
        <v>0</v>
      </c>
    </row>
    <row r="51" spans="1:8" x14ac:dyDescent="0.35">
      <c r="A51" s="53"/>
      <c r="B51" s="54"/>
      <c r="C51" s="54"/>
      <c r="D51" s="50"/>
      <c r="E51" s="50"/>
      <c r="F51" s="50"/>
      <c r="G51" s="50"/>
      <c r="H51" s="50">
        <f t="shared" si="0"/>
        <v>0</v>
      </c>
    </row>
    <row r="52" spans="1:8" x14ac:dyDescent="0.35">
      <c r="A52" s="53"/>
      <c r="B52" s="54"/>
      <c r="C52" s="54"/>
      <c r="D52" s="50"/>
      <c r="E52" s="50"/>
      <c r="F52" s="50"/>
      <c r="G52" s="50"/>
      <c r="H52" s="50">
        <f t="shared" si="0"/>
        <v>0</v>
      </c>
    </row>
    <row r="53" spans="1:8" x14ac:dyDescent="0.35">
      <c r="A53" s="53"/>
      <c r="B53" s="54"/>
      <c r="C53" s="54"/>
      <c r="D53" s="50"/>
      <c r="E53" s="50"/>
      <c r="F53" s="50"/>
      <c r="G53" s="50"/>
      <c r="H53" s="50">
        <f t="shared" si="0"/>
        <v>0</v>
      </c>
    </row>
    <row r="54" spans="1:8" x14ac:dyDescent="0.35">
      <c r="A54" s="53"/>
      <c r="B54" s="54"/>
      <c r="C54" s="54"/>
      <c r="D54" s="50"/>
      <c r="E54" s="50"/>
      <c r="F54" s="50"/>
      <c r="G54" s="50"/>
      <c r="H54" s="50">
        <f t="shared" si="0"/>
        <v>0</v>
      </c>
    </row>
    <row r="55" spans="1:8" x14ac:dyDescent="0.35">
      <c r="A55" s="53"/>
      <c r="B55" s="54"/>
      <c r="C55" s="54"/>
      <c r="D55" s="50"/>
      <c r="E55" s="50"/>
      <c r="F55" s="50"/>
      <c r="G55" s="50"/>
      <c r="H55" s="50">
        <f t="shared" si="0"/>
        <v>0</v>
      </c>
    </row>
    <row r="56" spans="1:8" x14ac:dyDescent="0.35">
      <c r="A56" s="53"/>
      <c r="B56" s="54"/>
      <c r="C56" s="54"/>
      <c r="D56" s="50"/>
      <c r="E56" s="50"/>
      <c r="F56" s="50"/>
      <c r="G56" s="50"/>
      <c r="H56" s="50">
        <f t="shared" si="0"/>
        <v>0</v>
      </c>
    </row>
    <row r="57" spans="1:8" x14ac:dyDescent="0.35">
      <c r="A57" s="53"/>
      <c r="B57" s="54"/>
      <c r="C57" s="54"/>
      <c r="D57" s="50"/>
      <c r="E57" s="50"/>
      <c r="F57" s="50"/>
      <c r="G57" s="50"/>
      <c r="H57" s="50">
        <f t="shared" si="0"/>
        <v>0</v>
      </c>
    </row>
    <row r="58" spans="1:8" x14ac:dyDescent="0.35">
      <c r="A58" s="53"/>
      <c r="B58" s="54"/>
      <c r="C58" s="54"/>
      <c r="D58" s="50"/>
      <c r="E58" s="50"/>
      <c r="F58" s="50"/>
      <c r="G58" s="50"/>
      <c r="H58" s="50">
        <f t="shared" si="0"/>
        <v>0</v>
      </c>
    </row>
    <row r="59" spans="1:8" x14ac:dyDescent="0.35">
      <c r="A59" s="53"/>
      <c r="B59" s="54"/>
      <c r="C59" s="54"/>
      <c r="D59" s="50"/>
      <c r="E59" s="50"/>
      <c r="F59" s="50"/>
      <c r="G59" s="50"/>
      <c r="H59" s="50">
        <f t="shared" si="0"/>
        <v>0</v>
      </c>
    </row>
    <row r="60" spans="1:8" x14ac:dyDescent="0.35">
      <c r="A60" s="53"/>
      <c r="B60" s="54"/>
      <c r="C60" s="54"/>
      <c r="D60" s="50"/>
      <c r="E60" s="50"/>
      <c r="F60" s="50"/>
      <c r="G60" s="50"/>
      <c r="H60" s="50">
        <f t="shared" si="0"/>
        <v>0</v>
      </c>
    </row>
    <row r="61" spans="1:8" x14ac:dyDescent="0.35">
      <c r="A61" s="53"/>
      <c r="B61" s="54"/>
      <c r="C61" s="54"/>
      <c r="D61" s="50"/>
      <c r="E61" s="50"/>
      <c r="F61" s="50"/>
      <c r="G61" s="50"/>
      <c r="H61" s="50">
        <f t="shared" si="0"/>
        <v>0</v>
      </c>
    </row>
    <row r="62" spans="1:8" x14ac:dyDescent="0.35">
      <c r="A62" s="53"/>
      <c r="B62" s="54"/>
      <c r="C62" s="54"/>
      <c r="D62" s="50"/>
      <c r="E62" s="50"/>
      <c r="F62" s="50"/>
      <c r="G62" s="50"/>
      <c r="H62" s="50">
        <f t="shared" si="0"/>
        <v>0</v>
      </c>
    </row>
    <row r="63" spans="1:8" x14ac:dyDescent="0.35">
      <c r="A63" s="53"/>
      <c r="B63" s="54"/>
      <c r="C63" s="54"/>
      <c r="D63" s="50"/>
      <c r="E63" s="50"/>
      <c r="F63" s="50"/>
      <c r="G63" s="50"/>
      <c r="H63" s="50">
        <f t="shared" si="0"/>
        <v>0</v>
      </c>
    </row>
    <row r="64" spans="1:8" x14ac:dyDescent="0.35">
      <c r="A64" s="53"/>
      <c r="B64" s="54"/>
      <c r="C64" s="54"/>
      <c r="D64" s="50"/>
      <c r="E64" s="50"/>
      <c r="F64" s="50"/>
      <c r="G64" s="50"/>
      <c r="H64" s="50">
        <f t="shared" si="0"/>
        <v>0</v>
      </c>
    </row>
    <row r="65" spans="1:8" x14ac:dyDescent="0.35">
      <c r="A65" s="53"/>
      <c r="B65" s="54"/>
      <c r="C65" s="54"/>
      <c r="D65" s="50"/>
      <c r="E65" s="50"/>
      <c r="F65" s="50"/>
      <c r="G65" s="50"/>
      <c r="H65" s="50">
        <f t="shared" si="0"/>
        <v>0</v>
      </c>
    </row>
    <row r="66" spans="1:8" x14ac:dyDescent="0.35">
      <c r="A66" s="53"/>
      <c r="B66" s="54"/>
      <c r="C66" s="54"/>
      <c r="D66" s="50"/>
      <c r="E66" s="50"/>
      <c r="F66" s="50"/>
      <c r="G66" s="50"/>
      <c r="H66" s="50">
        <f t="shared" si="0"/>
        <v>0</v>
      </c>
    </row>
    <row r="67" spans="1:8" x14ac:dyDescent="0.35">
      <c r="A67" s="53"/>
      <c r="B67" s="54"/>
      <c r="C67" s="54"/>
      <c r="D67" s="50"/>
      <c r="E67" s="50"/>
      <c r="F67" s="50"/>
      <c r="G67" s="50"/>
      <c r="H67" s="50">
        <f t="shared" ref="H67:H69" si="1">MOD(F67-E67, 1)</f>
        <v>0</v>
      </c>
    </row>
    <row r="68" spans="1:8" x14ac:dyDescent="0.35">
      <c r="A68" s="53"/>
      <c r="B68" s="54"/>
      <c r="C68" s="54"/>
      <c r="D68" s="50"/>
      <c r="E68" s="50"/>
      <c r="F68" s="50"/>
      <c r="G68" s="50"/>
      <c r="H68" s="50">
        <f t="shared" si="1"/>
        <v>0</v>
      </c>
    </row>
    <row r="69" spans="1:8" x14ac:dyDescent="0.35">
      <c r="A69" s="53"/>
      <c r="B69" s="54"/>
      <c r="C69" s="54"/>
      <c r="D69" s="50"/>
      <c r="E69" s="50"/>
      <c r="F69" s="50"/>
      <c r="G69" s="50"/>
      <c r="H69" s="50">
        <f t="shared" si="1"/>
        <v>0</v>
      </c>
    </row>
  </sheetData>
  <autoFilter ref="A2:F38" xr:uid="{00000000-0001-0000-0000-000000000000}">
    <sortState xmlns:xlrd2="http://schemas.microsoft.com/office/spreadsheetml/2017/richdata2" ref="A3:F18">
      <sortCondition ref="A2"/>
    </sortState>
  </autoFilter>
  <conditionalFormatting sqref="H3:H412">
    <cfRule type="cellIs" dxfId="12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85B22-40E5-4B86-88A8-F95991D7D54A}">
  <sheetPr>
    <pageSetUpPr fitToPage="1"/>
  </sheetPr>
  <dimension ref="A1:K70"/>
  <sheetViews>
    <sheetView showGridLines="0" zoomScale="70" zoomScaleNormal="70" workbookViewId="0">
      <pane ySplit="2" topLeftCell="A44" activePane="bottomLeft" state="frozen"/>
      <selection pane="bottomLeft" activeCell="F70" sqref="F70"/>
    </sheetView>
  </sheetViews>
  <sheetFormatPr defaultColWidth="9" defaultRowHeight="23.25" x14ac:dyDescent="0.35"/>
  <cols>
    <col min="1" max="1" width="37.85546875" style="29" bestFit="1" customWidth="1"/>
    <col min="2" max="2" width="25.140625" style="7" bestFit="1" customWidth="1"/>
    <col min="3" max="3" width="19.140625" style="6" bestFit="1" customWidth="1"/>
    <col min="4" max="4" width="22.7109375" style="5" bestFit="1" customWidth="1"/>
    <col min="5" max="5" width="25.28515625" style="5" bestFit="1" customWidth="1"/>
    <col min="6" max="6" width="27.42578125" style="3" bestFit="1" customWidth="1"/>
    <col min="7" max="7" width="0.28515625" style="1" customWidth="1"/>
    <col min="8" max="8" width="24.85546875" style="28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39" t="s">
        <v>4</v>
      </c>
      <c r="B1" s="40"/>
      <c r="C1" s="41"/>
      <c r="D1" s="42"/>
      <c r="E1" s="42"/>
      <c r="F1" s="43"/>
      <c r="G1" s="44"/>
      <c r="H1" s="51"/>
    </row>
    <row r="2" spans="1:10" s="2" customFormat="1" x14ac:dyDescent="0.35">
      <c r="A2" s="45" t="s">
        <v>0</v>
      </c>
      <c r="B2" s="45" t="s">
        <v>1</v>
      </c>
      <c r="C2" s="45" t="s">
        <v>2</v>
      </c>
      <c r="D2" s="46" t="s">
        <v>3</v>
      </c>
      <c r="E2" s="46" t="s">
        <v>236</v>
      </c>
      <c r="F2" s="45" t="s">
        <v>5</v>
      </c>
      <c r="G2" s="47"/>
      <c r="H2" s="48" t="s">
        <v>274</v>
      </c>
    </row>
    <row r="3" spans="1:10" x14ac:dyDescent="0.35">
      <c r="A3" s="53" t="s">
        <v>201</v>
      </c>
      <c r="B3" s="54" t="s">
        <v>309</v>
      </c>
      <c r="C3" s="54" t="s">
        <v>127</v>
      </c>
      <c r="D3" s="50">
        <v>0.20833333333333334</v>
      </c>
      <c r="E3" s="50">
        <v>0.23958333333333334</v>
      </c>
      <c r="F3" s="50">
        <v>0.25694444444444442</v>
      </c>
      <c r="G3" s="50"/>
      <c r="H3" s="50">
        <f t="shared" ref="H3:H65" si="0">MOD(F3-E3, 1)</f>
        <v>1.7361111111111077E-2</v>
      </c>
    </row>
    <row r="4" spans="1:10" s="4" customFormat="1" x14ac:dyDescent="0.35">
      <c r="A4" s="53" t="s">
        <v>195</v>
      </c>
      <c r="B4" s="54" t="s">
        <v>151</v>
      </c>
      <c r="C4" s="54" t="s">
        <v>132</v>
      </c>
      <c r="D4" s="50" t="s">
        <v>275</v>
      </c>
      <c r="E4" s="50" t="s">
        <v>276</v>
      </c>
      <c r="F4" s="50" t="s">
        <v>277</v>
      </c>
      <c r="G4" s="50"/>
      <c r="H4" s="50" t="e">
        <f t="shared" si="0"/>
        <v>#VALUE!</v>
      </c>
    </row>
    <row r="5" spans="1:10" s="4" customFormat="1" x14ac:dyDescent="0.35">
      <c r="A5" s="53" t="s">
        <v>204</v>
      </c>
      <c r="B5" s="54" t="s">
        <v>119</v>
      </c>
      <c r="C5" s="54" t="s">
        <v>128</v>
      </c>
      <c r="D5" s="50" t="s">
        <v>275</v>
      </c>
      <c r="E5" s="50" t="s">
        <v>276</v>
      </c>
      <c r="F5" s="50" t="s">
        <v>277</v>
      </c>
      <c r="G5" s="50"/>
      <c r="H5" s="50" t="e">
        <f t="shared" si="0"/>
        <v>#VALUE!</v>
      </c>
    </row>
    <row r="6" spans="1:10" x14ac:dyDescent="0.35">
      <c r="A6" s="53" t="s">
        <v>201</v>
      </c>
      <c r="B6" s="54" t="s">
        <v>117</v>
      </c>
      <c r="C6" s="54" t="s">
        <v>126</v>
      </c>
      <c r="D6" s="50" t="s">
        <v>275</v>
      </c>
      <c r="E6" s="50" t="s">
        <v>276</v>
      </c>
      <c r="F6" s="50" t="s">
        <v>277</v>
      </c>
      <c r="G6" s="50"/>
      <c r="H6" s="50" t="e">
        <f t="shared" si="0"/>
        <v>#VALUE!</v>
      </c>
    </row>
    <row r="7" spans="1:10" x14ac:dyDescent="0.35">
      <c r="A7" s="53" t="s">
        <v>189</v>
      </c>
      <c r="B7" s="54" t="s">
        <v>117</v>
      </c>
      <c r="C7" s="54" t="s">
        <v>126</v>
      </c>
      <c r="D7" s="50">
        <v>0.21180555555555555</v>
      </c>
      <c r="E7" s="50">
        <v>0.2673611111111111</v>
      </c>
      <c r="F7" s="50">
        <v>0.2951388888888889</v>
      </c>
      <c r="G7" s="50"/>
      <c r="H7" s="50">
        <f t="shared" si="0"/>
        <v>2.777777777777779E-2</v>
      </c>
    </row>
    <row r="8" spans="1:10" x14ac:dyDescent="0.35">
      <c r="A8" s="53" t="s">
        <v>177</v>
      </c>
      <c r="B8" s="54" t="s">
        <v>147</v>
      </c>
      <c r="C8" s="54" t="s">
        <v>130</v>
      </c>
      <c r="D8" s="50" t="s">
        <v>275</v>
      </c>
      <c r="E8" s="50" t="s">
        <v>276</v>
      </c>
      <c r="F8" s="50" t="s">
        <v>277</v>
      </c>
      <c r="G8" s="50"/>
      <c r="H8" s="50" t="e">
        <f t="shared" si="0"/>
        <v>#VALUE!</v>
      </c>
    </row>
    <row r="9" spans="1:10" s="4" customFormat="1" x14ac:dyDescent="0.35">
      <c r="A9" s="53" t="s">
        <v>180</v>
      </c>
      <c r="B9" s="54" t="s">
        <v>123</v>
      </c>
      <c r="C9" s="54" t="s">
        <v>133</v>
      </c>
      <c r="D9" s="50">
        <v>0.21875</v>
      </c>
      <c r="E9" s="50">
        <v>0.2638888888888889</v>
      </c>
      <c r="F9" s="50">
        <v>0.4513888888888889</v>
      </c>
      <c r="G9" s="50"/>
      <c r="H9" s="50">
        <f t="shared" si="0"/>
        <v>0.1875</v>
      </c>
      <c r="I9" s="8"/>
      <c r="J9" s="8"/>
    </row>
    <row r="10" spans="1:10" x14ac:dyDescent="0.35">
      <c r="A10" s="53" t="s">
        <v>221</v>
      </c>
      <c r="B10" s="54" t="s">
        <v>152</v>
      </c>
      <c r="C10" s="54" t="s">
        <v>134</v>
      </c>
      <c r="D10" s="50" t="s">
        <v>275</v>
      </c>
      <c r="E10" s="50" t="s">
        <v>276</v>
      </c>
      <c r="F10" s="50" t="s">
        <v>277</v>
      </c>
      <c r="G10" s="50"/>
      <c r="H10" s="50" t="e">
        <f t="shared" si="0"/>
        <v>#VALUE!</v>
      </c>
      <c r="I10" s="8"/>
      <c r="J10" s="8"/>
    </row>
    <row r="11" spans="1:10" x14ac:dyDescent="0.35">
      <c r="A11" s="53" t="s">
        <v>187</v>
      </c>
      <c r="B11" s="54" t="s">
        <v>272</v>
      </c>
      <c r="C11" s="54" t="s">
        <v>163</v>
      </c>
      <c r="D11" s="50" t="s">
        <v>275</v>
      </c>
      <c r="E11" s="50" t="s">
        <v>276</v>
      </c>
      <c r="F11" s="50" t="s">
        <v>277</v>
      </c>
      <c r="G11" s="50"/>
      <c r="H11" s="50" t="e">
        <f t="shared" si="0"/>
        <v>#VALUE!</v>
      </c>
    </row>
    <row r="12" spans="1:10" x14ac:dyDescent="0.35">
      <c r="A12" s="53" t="s">
        <v>189</v>
      </c>
      <c r="B12" s="54" t="s">
        <v>252</v>
      </c>
      <c r="C12" s="54" t="s">
        <v>250</v>
      </c>
      <c r="D12" s="50">
        <v>0.47916666666666669</v>
      </c>
      <c r="E12" s="50">
        <v>0.54861111111111116</v>
      </c>
      <c r="F12" s="50">
        <v>0.55902777777777779</v>
      </c>
      <c r="G12" s="50"/>
      <c r="H12" s="50">
        <f t="shared" si="0"/>
        <v>1.041666666666663E-2</v>
      </c>
    </row>
    <row r="13" spans="1:10" x14ac:dyDescent="0.35">
      <c r="A13" s="53" t="s">
        <v>199</v>
      </c>
      <c r="B13" s="54" t="s">
        <v>252</v>
      </c>
      <c r="C13" s="54" t="s">
        <v>250</v>
      </c>
      <c r="D13" s="50">
        <v>0.47916666666666669</v>
      </c>
      <c r="E13" s="50">
        <v>0.53125</v>
      </c>
      <c r="F13" s="50">
        <v>0.54513888888888884</v>
      </c>
      <c r="G13" s="50"/>
      <c r="H13" s="50">
        <f t="shared" si="0"/>
        <v>1.388888888888884E-2</v>
      </c>
    </row>
    <row r="14" spans="1:10" x14ac:dyDescent="0.35">
      <c r="A14" s="53" t="s">
        <v>177</v>
      </c>
      <c r="B14" s="54" t="s">
        <v>122</v>
      </c>
      <c r="C14" s="54" t="s">
        <v>131</v>
      </c>
      <c r="D14" s="50">
        <v>0.46180555555555558</v>
      </c>
      <c r="E14" s="50">
        <v>0.50347222222222221</v>
      </c>
      <c r="F14" s="50">
        <v>0.51736111111111116</v>
      </c>
      <c r="G14" s="50"/>
      <c r="H14" s="50">
        <f t="shared" si="0"/>
        <v>1.3888888888888951E-2</v>
      </c>
    </row>
    <row r="15" spans="1:10" x14ac:dyDescent="0.35">
      <c r="A15" s="53" t="s">
        <v>192</v>
      </c>
      <c r="B15" s="54" t="s">
        <v>122</v>
      </c>
      <c r="C15" s="54" t="s">
        <v>131</v>
      </c>
      <c r="D15" s="50">
        <v>0.46180555555555558</v>
      </c>
      <c r="E15" s="50">
        <v>0.52083333333333337</v>
      </c>
      <c r="F15" s="50">
        <v>0.54166666666666663</v>
      </c>
      <c r="G15" s="50"/>
      <c r="H15" s="50">
        <f t="shared" si="0"/>
        <v>2.0833333333333259E-2</v>
      </c>
    </row>
    <row r="16" spans="1:10" x14ac:dyDescent="0.35">
      <c r="A16" s="53" t="s">
        <v>183</v>
      </c>
      <c r="B16" s="54" t="s">
        <v>280</v>
      </c>
      <c r="C16" s="54" t="s">
        <v>141</v>
      </c>
      <c r="D16" s="50">
        <v>0.4548611111111111</v>
      </c>
      <c r="E16" s="50">
        <v>0.53472222222222221</v>
      </c>
      <c r="F16" s="50">
        <v>0.55208333333333337</v>
      </c>
      <c r="G16" s="50"/>
      <c r="H16" s="50">
        <f t="shared" si="0"/>
        <v>1.736111111111116E-2</v>
      </c>
    </row>
    <row r="17" spans="1:11" x14ac:dyDescent="0.35">
      <c r="A17" s="53" t="s">
        <v>191</v>
      </c>
      <c r="B17" s="54" t="s">
        <v>280</v>
      </c>
      <c r="C17" s="54" t="s">
        <v>141</v>
      </c>
      <c r="D17" s="50">
        <v>0.4548611111111111</v>
      </c>
      <c r="E17" s="50">
        <v>0.49305555555555558</v>
      </c>
      <c r="F17" s="50">
        <v>0.51736111111111116</v>
      </c>
      <c r="G17" s="50"/>
      <c r="H17" s="50">
        <f t="shared" si="0"/>
        <v>2.430555555555558E-2</v>
      </c>
    </row>
    <row r="18" spans="1:11" x14ac:dyDescent="0.35">
      <c r="A18" s="53" t="s">
        <v>220</v>
      </c>
      <c r="B18" s="54" t="s">
        <v>149</v>
      </c>
      <c r="C18" s="54" t="s">
        <v>129</v>
      </c>
      <c r="D18" s="50">
        <v>0.46180555555555558</v>
      </c>
      <c r="E18" s="50">
        <v>0.5</v>
      </c>
      <c r="F18" s="50">
        <v>0.51736111111111116</v>
      </c>
      <c r="G18" s="50"/>
      <c r="H18" s="50">
        <f t="shared" si="0"/>
        <v>1.736111111111116E-2</v>
      </c>
    </row>
    <row r="19" spans="1:11" x14ac:dyDescent="0.35">
      <c r="A19" s="53" t="s">
        <v>210</v>
      </c>
      <c r="B19" s="54" t="s">
        <v>149</v>
      </c>
      <c r="C19" s="54" t="s">
        <v>129</v>
      </c>
      <c r="D19" s="50">
        <v>0.46180555555555558</v>
      </c>
      <c r="E19" s="50">
        <v>0.53472222222222221</v>
      </c>
      <c r="F19" s="50">
        <v>0.54861111111111116</v>
      </c>
      <c r="G19" s="50"/>
      <c r="H19" s="50">
        <f t="shared" si="0"/>
        <v>1.3888888888888951E-2</v>
      </c>
    </row>
    <row r="20" spans="1:11" x14ac:dyDescent="0.35">
      <c r="A20" s="53" t="s">
        <v>185</v>
      </c>
      <c r="B20" s="54" t="s">
        <v>162</v>
      </c>
      <c r="C20" s="54" t="s">
        <v>161</v>
      </c>
      <c r="D20" s="50">
        <v>0.50694444444444442</v>
      </c>
      <c r="E20" s="50">
        <v>0.52083333333333337</v>
      </c>
      <c r="F20" s="50">
        <v>0.53125</v>
      </c>
      <c r="G20" s="50"/>
      <c r="H20" s="50">
        <f t="shared" si="0"/>
        <v>1.041666666666663E-2</v>
      </c>
      <c r="I20" s="6"/>
      <c r="J20" s="5"/>
      <c r="K20" s="5"/>
    </row>
    <row r="21" spans="1:11" x14ac:dyDescent="0.35">
      <c r="A21" s="53" t="s">
        <v>222</v>
      </c>
      <c r="B21" s="54" t="s">
        <v>162</v>
      </c>
      <c r="C21" s="54" t="s">
        <v>161</v>
      </c>
      <c r="D21" s="50">
        <v>0.50694444444444442</v>
      </c>
      <c r="E21" s="50">
        <v>0.53472222222222221</v>
      </c>
      <c r="F21" s="50">
        <v>0.54513888888888884</v>
      </c>
      <c r="G21" s="50"/>
      <c r="H21" s="50">
        <f t="shared" si="0"/>
        <v>1.041666666666663E-2</v>
      </c>
      <c r="I21" s="6"/>
      <c r="J21" s="5"/>
      <c r="K21" s="5"/>
    </row>
    <row r="22" spans="1:11" x14ac:dyDescent="0.35">
      <c r="A22" s="53" t="s">
        <v>224</v>
      </c>
      <c r="B22" s="54" t="s">
        <v>293</v>
      </c>
      <c r="C22" s="54" t="s">
        <v>128</v>
      </c>
      <c r="D22" s="50">
        <v>0.49652777777777779</v>
      </c>
      <c r="E22" s="50">
        <v>0.53125</v>
      </c>
      <c r="F22" s="50">
        <v>0.5625</v>
      </c>
      <c r="G22" s="50"/>
      <c r="H22" s="50">
        <f t="shared" si="0"/>
        <v>3.125E-2</v>
      </c>
      <c r="I22" s="6"/>
      <c r="J22" s="5"/>
      <c r="K22" s="5"/>
    </row>
    <row r="23" spans="1:11" x14ac:dyDescent="0.35">
      <c r="A23" s="53" t="s">
        <v>205</v>
      </c>
      <c r="B23" s="54" t="s">
        <v>293</v>
      </c>
      <c r="C23" s="54" t="s">
        <v>128</v>
      </c>
      <c r="D23" s="50">
        <v>0.49652777777777779</v>
      </c>
      <c r="E23" s="50">
        <v>0.58333333333333337</v>
      </c>
      <c r="F23" s="50">
        <v>0.62152777777777779</v>
      </c>
      <c r="G23" s="50"/>
      <c r="H23" s="50">
        <f t="shared" si="0"/>
        <v>3.819444444444442E-2</v>
      </c>
      <c r="I23" s="6"/>
      <c r="J23" s="5"/>
      <c r="K23" s="5"/>
    </row>
    <row r="24" spans="1:11" x14ac:dyDescent="0.35">
      <c r="A24" s="53" t="s">
        <v>181</v>
      </c>
      <c r="B24" s="54" t="s">
        <v>326</v>
      </c>
      <c r="C24" s="54" t="s">
        <v>327</v>
      </c>
      <c r="D24" s="50">
        <v>0.46180555555555558</v>
      </c>
      <c r="E24" s="50">
        <v>0.51041666666666663</v>
      </c>
      <c r="F24" s="50">
        <v>0.59027777777777779</v>
      </c>
      <c r="G24" s="50"/>
      <c r="H24" s="50">
        <f t="shared" si="0"/>
        <v>7.986111111111116E-2</v>
      </c>
    </row>
    <row r="25" spans="1:11" x14ac:dyDescent="0.35">
      <c r="A25" s="53" t="s">
        <v>193</v>
      </c>
      <c r="B25" s="54" t="s">
        <v>254</v>
      </c>
      <c r="C25" s="54" t="s">
        <v>260</v>
      </c>
      <c r="D25" s="50">
        <v>0.46180555555555558</v>
      </c>
      <c r="E25" s="50">
        <v>0.50694444444444442</v>
      </c>
      <c r="F25" s="50">
        <v>0.55555555555555558</v>
      </c>
      <c r="G25" s="50"/>
      <c r="H25" s="50">
        <f t="shared" si="0"/>
        <v>4.861111111111116E-2</v>
      </c>
    </row>
    <row r="26" spans="1:11" x14ac:dyDescent="0.35">
      <c r="A26" s="53" t="s">
        <v>223</v>
      </c>
      <c r="B26" s="54" t="s">
        <v>297</v>
      </c>
      <c r="C26" s="54" t="s">
        <v>322</v>
      </c>
      <c r="D26" s="50" t="s">
        <v>275</v>
      </c>
      <c r="E26" s="50" t="s">
        <v>276</v>
      </c>
      <c r="F26" s="50" t="s">
        <v>277</v>
      </c>
      <c r="G26" s="50"/>
      <c r="H26" s="50" t="e">
        <f t="shared" si="0"/>
        <v>#VALUE!</v>
      </c>
    </row>
    <row r="27" spans="1:11" x14ac:dyDescent="0.35">
      <c r="A27" s="53" t="s">
        <v>208</v>
      </c>
      <c r="B27" s="54" t="s">
        <v>152</v>
      </c>
      <c r="C27" s="54" t="s">
        <v>134</v>
      </c>
      <c r="D27" s="50">
        <v>0.46180555555555558</v>
      </c>
      <c r="E27" s="50">
        <v>0.5</v>
      </c>
      <c r="F27" s="50">
        <v>0.52430555555555558</v>
      </c>
      <c r="G27" s="50"/>
      <c r="H27" s="50">
        <f t="shared" si="0"/>
        <v>2.430555555555558E-2</v>
      </c>
    </row>
    <row r="28" spans="1:11" x14ac:dyDescent="0.35">
      <c r="A28" s="53" t="s">
        <v>202</v>
      </c>
      <c r="B28" s="54" t="s">
        <v>359</v>
      </c>
      <c r="C28" s="54" t="s">
        <v>358</v>
      </c>
      <c r="D28" s="50" t="s">
        <v>247</v>
      </c>
      <c r="E28" s="50" t="s">
        <v>248</v>
      </c>
      <c r="F28" s="50"/>
      <c r="G28" s="50"/>
      <c r="H28" s="50" t="e">
        <f t="shared" si="0"/>
        <v>#VALUE!</v>
      </c>
    </row>
    <row r="29" spans="1:11" x14ac:dyDescent="0.35">
      <c r="A29" s="53" t="s">
        <v>203</v>
      </c>
      <c r="B29" s="54" t="s">
        <v>251</v>
      </c>
      <c r="C29" s="54" t="s">
        <v>249</v>
      </c>
      <c r="D29" s="50" t="s">
        <v>275</v>
      </c>
      <c r="E29" s="50" t="s">
        <v>276</v>
      </c>
      <c r="F29" s="50" t="s">
        <v>277</v>
      </c>
      <c r="G29" s="50"/>
      <c r="H29" s="50" t="e">
        <f t="shared" si="0"/>
        <v>#VALUE!</v>
      </c>
    </row>
    <row r="30" spans="1:11" x14ac:dyDescent="0.35">
      <c r="A30" s="53" t="s">
        <v>202</v>
      </c>
      <c r="B30" s="54" t="s">
        <v>251</v>
      </c>
      <c r="C30" s="54" t="s">
        <v>249</v>
      </c>
      <c r="D30" s="50" t="s">
        <v>275</v>
      </c>
      <c r="E30" s="50" t="s">
        <v>276</v>
      </c>
      <c r="F30" s="50" t="s">
        <v>277</v>
      </c>
      <c r="G30" s="50"/>
      <c r="H30" s="50" t="e">
        <f t="shared" si="0"/>
        <v>#VALUE!</v>
      </c>
    </row>
    <row r="31" spans="1:11" x14ac:dyDescent="0.35">
      <c r="A31" s="53" t="s">
        <v>180</v>
      </c>
      <c r="B31" s="54" t="s">
        <v>284</v>
      </c>
      <c r="C31" s="54" t="s">
        <v>286</v>
      </c>
      <c r="D31" s="50" t="s">
        <v>275</v>
      </c>
      <c r="E31" s="50" t="s">
        <v>276</v>
      </c>
      <c r="F31" s="50" t="s">
        <v>277</v>
      </c>
      <c r="G31" s="50"/>
      <c r="H31" s="50" t="e">
        <f t="shared" si="0"/>
        <v>#VALUE!</v>
      </c>
    </row>
    <row r="32" spans="1:11" x14ac:dyDescent="0.35">
      <c r="A32" s="53" t="s">
        <v>184</v>
      </c>
      <c r="B32" s="54" t="s">
        <v>164</v>
      </c>
      <c r="C32" s="54" t="s">
        <v>154</v>
      </c>
      <c r="D32" s="50">
        <v>0.52777777777777779</v>
      </c>
      <c r="E32" s="50">
        <v>0.58680555555555558</v>
      </c>
      <c r="F32" s="50">
        <v>0.63888888888888884</v>
      </c>
      <c r="G32" s="50"/>
      <c r="H32" s="50">
        <f t="shared" si="0"/>
        <v>5.2083333333333259E-2</v>
      </c>
    </row>
    <row r="33" spans="1:8" x14ac:dyDescent="0.35">
      <c r="A33" s="53" t="s">
        <v>184</v>
      </c>
      <c r="B33" s="54" t="s">
        <v>144</v>
      </c>
      <c r="C33" s="54" t="s">
        <v>138</v>
      </c>
      <c r="D33" s="50">
        <v>0.60763888888888884</v>
      </c>
      <c r="E33" s="50">
        <v>0.64236111111111116</v>
      </c>
      <c r="F33" s="50">
        <v>0.69791666666666663</v>
      </c>
      <c r="G33" s="50"/>
      <c r="H33" s="50">
        <f t="shared" si="0"/>
        <v>5.5555555555555469E-2</v>
      </c>
    </row>
    <row r="34" spans="1:8" x14ac:dyDescent="0.35">
      <c r="A34" s="53" t="s">
        <v>184</v>
      </c>
      <c r="B34" s="54" t="s">
        <v>360</v>
      </c>
      <c r="C34" s="54" t="s">
        <v>361</v>
      </c>
      <c r="D34" s="50">
        <v>0.57291666666666663</v>
      </c>
      <c r="E34" s="50">
        <v>0.61111111111111116</v>
      </c>
      <c r="F34" s="50">
        <v>0.67708333333333337</v>
      </c>
      <c r="G34" s="50"/>
      <c r="H34" s="50">
        <f t="shared" si="0"/>
        <v>6.597222222222221E-2</v>
      </c>
    </row>
    <row r="35" spans="1:8" x14ac:dyDescent="0.35">
      <c r="A35" s="53" t="s">
        <v>181</v>
      </c>
      <c r="B35" s="54" t="s">
        <v>165</v>
      </c>
      <c r="C35" s="54" t="s">
        <v>167</v>
      </c>
      <c r="D35" s="50" t="s">
        <v>247</v>
      </c>
      <c r="E35" s="50" t="s">
        <v>248</v>
      </c>
      <c r="F35" s="50"/>
      <c r="G35" s="50"/>
      <c r="H35" s="50" t="e">
        <f t="shared" si="0"/>
        <v>#VALUE!</v>
      </c>
    </row>
    <row r="36" spans="1:8" x14ac:dyDescent="0.35">
      <c r="A36" s="53" t="s">
        <v>174</v>
      </c>
      <c r="B36" s="54" t="s">
        <v>156</v>
      </c>
      <c r="C36" s="54" t="s">
        <v>133</v>
      </c>
      <c r="D36" s="50">
        <v>0.67013888888888884</v>
      </c>
      <c r="E36" s="50">
        <v>0.71180555555555558</v>
      </c>
      <c r="F36" s="50">
        <v>0.75694444444444442</v>
      </c>
      <c r="G36" s="50"/>
      <c r="H36" s="50">
        <f t="shared" si="0"/>
        <v>4.513888888888884E-2</v>
      </c>
    </row>
    <row r="37" spans="1:8" x14ac:dyDescent="0.35">
      <c r="A37" s="53" t="s">
        <v>182</v>
      </c>
      <c r="B37" s="54" t="s">
        <v>362</v>
      </c>
      <c r="C37" s="54" t="s">
        <v>168</v>
      </c>
      <c r="D37" s="50">
        <v>0.64236111111111116</v>
      </c>
      <c r="E37" s="50">
        <v>0.69097222222222221</v>
      </c>
      <c r="F37" s="50">
        <v>0.73958333333333337</v>
      </c>
      <c r="G37" s="50"/>
      <c r="H37" s="50">
        <f t="shared" si="0"/>
        <v>4.861111111111116E-2</v>
      </c>
    </row>
    <row r="38" spans="1:8" x14ac:dyDescent="0.35">
      <c r="A38" s="53" t="s">
        <v>212</v>
      </c>
      <c r="B38" s="54" t="s">
        <v>146</v>
      </c>
      <c r="C38" s="54" t="s">
        <v>140</v>
      </c>
      <c r="D38" s="50">
        <v>0.64236111111111116</v>
      </c>
      <c r="E38" s="50">
        <v>0.68402777777777779</v>
      </c>
      <c r="F38" s="50">
        <v>0.71875</v>
      </c>
      <c r="G38" s="50"/>
      <c r="H38" s="50">
        <f t="shared" si="0"/>
        <v>3.472222222222221E-2</v>
      </c>
    </row>
    <row r="39" spans="1:8" x14ac:dyDescent="0.35">
      <c r="A39" s="53" t="s">
        <v>186</v>
      </c>
      <c r="B39" s="54" t="s">
        <v>228</v>
      </c>
      <c r="C39" s="54" t="s">
        <v>127</v>
      </c>
      <c r="D39" s="50">
        <v>0.62152777777777779</v>
      </c>
      <c r="E39" s="50">
        <v>0.66666666666666663</v>
      </c>
      <c r="F39" s="50">
        <v>0.75</v>
      </c>
      <c r="G39" s="50"/>
      <c r="H39" s="50">
        <f t="shared" si="0"/>
        <v>8.333333333333337E-2</v>
      </c>
    </row>
    <row r="40" spans="1:8" x14ac:dyDescent="0.35">
      <c r="A40" s="53" t="s">
        <v>188</v>
      </c>
      <c r="B40" s="54" t="s">
        <v>230</v>
      </c>
      <c r="C40" s="54" t="s">
        <v>225</v>
      </c>
      <c r="D40" s="50" t="s">
        <v>247</v>
      </c>
      <c r="E40" s="50" t="s">
        <v>248</v>
      </c>
      <c r="F40" s="50"/>
      <c r="G40" s="50"/>
      <c r="H40" s="50" t="e">
        <f t="shared" si="0"/>
        <v>#VALUE!</v>
      </c>
    </row>
    <row r="41" spans="1:8" x14ac:dyDescent="0.35">
      <c r="A41" s="53" t="s">
        <v>208</v>
      </c>
      <c r="B41" s="54" t="s">
        <v>172</v>
      </c>
      <c r="C41" s="54" t="s">
        <v>171</v>
      </c>
      <c r="D41" s="50">
        <v>0.62847222222222221</v>
      </c>
      <c r="E41" s="50">
        <v>0.67361111111111116</v>
      </c>
      <c r="F41" s="50">
        <v>0.69444444444444442</v>
      </c>
      <c r="G41" s="50"/>
      <c r="H41" s="50">
        <f t="shared" si="0"/>
        <v>2.0833333333333259E-2</v>
      </c>
    </row>
    <row r="42" spans="1:8" x14ac:dyDescent="0.35">
      <c r="A42" s="53" t="s">
        <v>217</v>
      </c>
      <c r="B42" s="54" t="s">
        <v>288</v>
      </c>
      <c r="C42" s="54" t="s">
        <v>287</v>
      </c>
      <c r="D42" s="50" t="s">
        <v>247</v>
      </c>
      <c r="E42" s="50" t="s">
        <v>248</v>
      </c>
      <c r="F42" s="50"/>
      <c r="G42" s="50"/>
      <c r="H42" s="50" t="e">
        <f t="shared" si="0"/>
        <v>#VALUE!</v>
      </c>
    </row>
    <row r="43" spans="1:8" x14ac:dyDescent="0.35">
      <c r="A43" s="53" t="s">
        <v>209</v>
      </c>
      <c r="B43" s="54" t="s">
        <v>255</v>
      </c>
      <c r="C43" s="54" t="s">
        <v>259</v>
      </c>
      <c r="D43" s="50" t="s">
        <v>275</v>
      </c>
      <c r="E43" s="50" t="s">
        <v>276</v>
      </c>
      <c r="F43" s="50" t="s">
        <v>277</v>
      </c>
      <c r="G43" s="50"/>
      <c r="H43" s="50" t="e">
        <f t="shared" si="0"/>
        <v>#VALUE!</v>
      </c>
    </row>
    <row r="44" spans="1:8" x14ac:dyDescent="0.35">
      <c r="A44" s="53" t="s">
        <v>214</v>
      </c>
      <c r="B44" s="54" t="s">
        <v>160</v>
      </c>
      <c r="C44" s="54" t="s">
        <v>159</v>
      </c>
      <c r="D44" s="50">
        <v>0.65972222222222221</v>
      </c>
      <c r="E44" s="50">
        <v>0.72916666666666663</v>
      </c>
      <c r="F44" s="50">
        <v>0.77777777777777779</v>
      </c>
      <c r="G44" s="50"/>
      <c r="H44" s="50">
        <f t="shared" si="0"/>
        <v>4.861111111111116E-2</v>
      </c>
    </row>
    <row r="45" spans="1:8" x14ac:dyDescent="0.35">
      <c r="A45" s="53" t="s">
        <v>214</v>
      </c>
      <c r="B45" s="54" t="s">
        <v>267</v>
      </c>
      <c r="C45" s="54" t="s">
        <v>269</v>
      </c>
      <c r="D45" s="50">
        <v>0.69791666666666663</v>
      </c>
      <c r="E45" s="50">
        <v>0.76041666666666663</v>
      </c>
      <c r="F45" s="50">
        <v>0.79513888888888884</v>
      </c>
      <c r="G45" s="50"/>
      <c r="H45" s="50">
        <f t="shared" si="0"/>
        <v>3.472222222222221E-2</v>
      </c>
    </row>
    <row r="46" spans="1:8" x14ac:dyDescent="0.35">
      <c r="A46" s="53" t="s">
        <v>219</v>
      </c>
      <c r="B46" s="54" t="s">
        <v>151</v>
      </c>
      <c r="C46" s="54" t="s">
        <v>132</v>
      </c>
      <c r="D46" s="50">
        <v>0.57291666666666663</v>
      </c>
      <c r="E46" s="50">
        <v>0.61458333333333337</v>
      </c>
      <c r="F46" s="50">
        <v>0.68055555555555558</v>
      </c>
      <c r="G46" s="50"/>
      <c r="H46" s="50">
        <f t="shared" si="0"/>
        <v>6.597222222222221E-2</v>
      </c>
    </row>
    <row r="47" spans="1:8" x14ac:dyDescent="0.35">
      <c r="A47" s="53" t="s">
        <v>219</v>
      </c>
      <c r="B47" s="54" t="s">
        <v>227</v>
      </c>
      <c r="C47" s="54" t="s">
        <v>226</v>
      </c>
      <c r="D47" s="50" t="s">
        <v>275</v>
      </c>
      <c r="E47" s="50" t="s">
        <v>276</v>
      </c>
      <c r="F47" s="50" t="s">
        <v>277</v>
      </c>
      <c r="G47" s="50"/>
      <c r="H47" s="50" t="e">
        <f t="shared" si="0"/>
        <v>#VALUE!</v>
      </c>
    </row>
    <row r="48" spans="1:8" x14ac:dyDescent="0.35">
      <c r="A48" s="53" t="s">
        <v>178</v>
      </c>
      <c r="B48" s="54" t="s">
        <v>147</v>
      </c>
      <c r="C48" s="54" t="s">
        <v>130</v>
      </c>
      <c r="D48" s="50">
        <v>0.79166666666666663</v>
      </c>
      <c r="E48" s="50">
        <v>0.82638888888888884</v>
      </c>
      <c r="F48" s="50">
        <v>0.84722222222222221</v>
      </c>
      <c r="G48" s="50"/>
      <c r="H48" s="50">
        <f t="shared" si="0"/>
        <v>2.083333333333337E-2</v>
      </c>
    </row>
    <row r="49" spans="1:8" x14ac:dyDescent="0.35">
      <c r="A49" s="53" t="s">
        <v>194</v>
      </c>
      <c r="B49" s="54" t="s">
        <v>162</v>
      </c>
      <c r="C49" s="54" t="s">
        <v>161</v>
      </c>
      <c r="D49" s="50">
        <v>0.77777777777777779</v>
      </c>
      <c r="E49" s="50">
        <v>0.8125</v>
      </c>
      <c r="F49" s="50">
        <v>0.86805555555555558</v>
      </c>
      <c r="G49" s="50"/>
      <c r="H49" s="50">
        <f t="shared" si="0"/>
        <v>5.555555555555558E-2</v>
      </c>
    </row>
    <row r="50" spans="1:8" x14ac:dyDescent="0.35">
      <c r="A50" s="53" t="s">
        <v>199</v>
      </c>
      <c r="B50" s="54" t="s">
        <v>169</v>
      </c>
      <c r="C50" s="54" t="s">
        <v>170</v>
      </c>
      <c r="D50" s="50">
        <v>0.80208333333333337</v>
      </c>
      <c r="E50" s="50">
        <v>0.86458333333333337</v>
      </c>
      <c r="F50" s="50">
        <v>0.875</v>
      </c>
      <c r="G50" s="50"/>
      <c r="H50" s="50">
        <f t="shared" si="0"/>
        <v>1.041666666666663E-2</v>
      </c>
    </row>
    <row r="51" spans="1:8" x14ac:dyDescent="0.35">
      <c r="A51" s="53" t="s">
        <v>196</v>
      </c>
      <c r="B51" s="54" t="s">
        <v>150</v>
      </c>
      <c r="C51" s="54" t="s">
        <v>139</v>
      </c>
      <c r="D51" s="50">
        <v>0.85416666666666663</v>
      </c>
      <c r="E51" s="50">
        <v>0.88888888888888884</v>
      </c>
      <c r="F51" s="50">
        <v>0.90972222222222221</v>
      </c>
      <c r="G51" s="50"/>
      <c r="H51" s="50">
        <f t="shared" si="0"/>
        <v>2.083333333333337E-2</v>
      </c>
    </row>
    <row r="52" spans="1:8" x14ac:dyDescent="0.35">
      <c r="A52" s="53" t="s">
        <v>205</v>
      </c>
      <c r="B52" s="54" t="s">
        <v>293</v>
      </c>
      <c r="C52" s="54" t="s">
        <v>128</v>
      </c>
      <c r="D52" s="50">
        <v>0.79861111111111116</v>
      </c>
      <c r="E52" s="50">
        <v>0.85416666666666663</v>
      </c>
      <c r="F52" s="50">
        <v>0.86805555555555558</v>
      </c>
      <c r="G52" s="50"/>
      <c r="H52" s="50">
        <f t="shared" si="0"/>
        <v>1.3888888888888951E-2</v>
      </c>
    </row>
    <row r="53" spans="1:8" x14ac:dyDescent="0.35">
      <c r="A53" s="53" t="s">
        <v>191</v>
      </c>
      <c r="B53" s="54" t="s">
        <v>257</v>
      </c>
      <c r="C53" s="54" t="s">
        <v>263</v>
      </c>
      <c r="D53" s="50" t="s">
        <v>247</v>
      </c>
      <c r="E53" s="50" t="s">
        <v>248</v>
      </c>
      <c r="F53" s="50"/>
      <c r="G53" s="50"/>
      <c r="H53" s="50" t="e">
        <f t="shared" si="0"/>
        <v>#VALUE!</v>
      </c>
    </row>
    <row r="54" spans="1:8" x14ac:dyDescent="0.35">
      <c r="A54" s="53" t="s">
        <v>197</v>
      </c>
      <c r="B54" s="54" t="s">
        <v>229</v>
      </c>
      <c r="C54" s="54" t="s">
        <v>291</v>
      </c>
      <c r="D54" s="50" t="s">
        <v>247</v>
      </c>
      <c r="E54" s="50" t="s">
        <v>248</v>
      </c>
      <c r="F54" s="50"/>
      <c r="G54" s="50"/>
      <c r="H54" s="50" t="e">
        <f t="shared" si="0"/>
        <v>#VALUE!</v>
      </c>
    </row>
    <row r="55" spans="1:8" x14ac:dyDescent="0.35">
      <c r="A55" s="53" t="s">
        <v>218</v>
      </c>
      <c r="B55" s="54" t="s">
        <v>256</v>
      </c>
      <c r="C55" s="54" t="s">
        <v>262</v>
      </c>
      <c r="D55" s="50">
        <v>0.78819444444444442</v>
      </c>
      <c r="E55" s="50">
        <v>0.83333333333333337</v>
      </c>
      <c r="F55" s="50">
        <v>0.84375</v>
      </c>
      <c r="G55" s="50"/>
      <c r="H55" s="50">
        <f t="shared" si="0"/>
        <v>1.041666666666663E-2</v>
      </c>
    </row>
    <row r="56" spans="1:8" x14ac:dyDescent="0.35">
      <c r="A56" s="53" t="s">
        <v>197</v>
      </c>
      <c r="B56" s="54" t="s">
        <v>256</v>
      </c>
      <c r="C56" s="54" t="s">
        <v>262</v>
      </c>
      <c r="D56" s="50">
        <v>0.78819444444444442</v>
      </c>
      <c r="E56" s="50">
        <v>0.84722222222222221</v>
      </c>
      <c r="F56" s="50">
        <v>0.87152777777777779</v>
      </c>
      <c r="G56" s="50"/>
      <c r="H56" s="50">
        <f t="shared" si="0"/>
        <v>2.430555555555558E-2</v>
      </c>
    </row>
    <row r="57" spans="1:8" x14ac:dyDescent="0.35">
      <c r="A57" s="53" t="s">
        <v>223</v>
      </c>
      <c r="B57" s="54" t="s">
        <v>326</v>
      </c>
      <c r="C57" s="54" t="s">
        <v>327</v>
      </c>
      <c r="D57" s="50">
        <v>0.77430555555555558</v>
      </c>
      <c r="E57" s="50">
        <v>0.81597222222222221</v>
      </c>
      <c r="F57" s="50">
        <v>0.82638888888888884</v>
      </c>
      <c r="G57" s="50"/>
      <c r="H57" s="50">
        <f t="shared" si="0"/>
        <v>1.041666666666663E-2</v>
      </c>
    </row>
    <row r="58" spans="1:8" x14ac:dyDescent="0.35">
      <c r="A58" s="53" t="s">
        <v>183</v>
      </c>
      <c r="B58" s="54" t="s">
        <v>254</v>
      </c>
      <c r="C58" s="54" t="s">
        <v>260</v>
      </c>
      <c r="D58" s="50">
        <v>0.75694444444444442</v>
      </c>
      <c r="E58" s="50">
        <v>0.79861111111111116</v>
      </c>
      <c r="F58" s="50">
        <v>0.83680555555555558</v>
      </c>
      <c r="G58" s="50"/>
      <c r="H58" s="50">
        <f t="shared" si="0"/>
        <v>3.819444444444442E-2</v>
      </c>
    </row>
    <row r="59" spans="1:8" x14ac:dyDescent="0.35">
      <c r="A59" s="53" t="s">
        <v>206</v>
      </c>
      <c r="B59" s="54" t="s">
        <v>149</v>
      </c>
      <c r="C59" s="54" t="s">
        <v>129</v>
      </c>
      <c r="D59" s="50">
        <v>0.76388888888888884</v>
      </c>
      <c r="E59" s="50">
        <v>0.8125</v>
      </c>
      <c r="F59" s="50">
        <v>0.83680555555555558</v>
      </c>
      <c r="G59" s="50"/>
      <c r="H59" s="50">
        <f t="shared" si="0"/>
        <v>2.430555555555558E-2</v>
      </c>
    </row>
    <row r="60" spans="1:8" x14ac:dyDescent="0.35">
      <c r="A60" s="53" t="s">
        <v>216</v>
      </c>
      <c r="B60" s="54" t="s">
        <v>117</v>
      </c>
      <c r="C60" s="54" t="s">
        <v>126</v>
      </c>
      <c r="D60" s="50">
        <v>0.79861111111111116</v>
      </c>
      <c r="E60" s="50">
        <v>0.83680555555555558</v>
      </c>
      <c r="F60" s="50">
        <v>0.85069444444444442</v>
      </c>
      <c r="G60" s="50"/>
      <c r="H60" s="50">
        <f t="shared" si="0"/>
        <v>1.388888888888884E-2</v>
      </c>
    </row>
    <row r="61" spans="1:8" x14ac:dyDescent="0.35">
      <c r="A61" s="53" t="s">
        <v>176</v>
      </c>
      <c r="B61" s="54" t="s">
        <v>297</v>
      </c>
      <c r="C61" s="54" t="s">
        <v>363</v>
      </c>
      <c r="D61" s="50" t="s">
        <v>247</v>
      </c>
      <c r="E61" s="50" t="s">
        <v>248</v>
      </c>
      <c r="F61" s="50"/>
      <c r="G61" s="50"/>
      <c r="H61" s="50" t="e">
        <f t="shared" si="0"/>
        <v>#VALUE!</v>
      </c>
    </row>
    <row r="62" spans="1:8" x14ac:dyDescent="0.35">
      <c r="A62" s="53" t="s">
        <v>200</v>
      </c>
      <c r="B62" s="54" t="s">
        <v>297</v>
      </c>
      <c r="C62" s="54" t="s">
        <v>363</v>
      </c>
      <c r="D62" s="50" t="s">
        <v>247</v>
      </c>
      <c r="E62" s="50" t="s">
        <v>248</v>
      </c>
      <c r="F62" s="50"/>
      <c r="G62" s="50"/>
      <c r="H62" s="50" t="e">
        <f t="shared" si="0"/>
        <v>#VALUE!</v>
      </c>
    </row>
    <row r="63" spans="1:8" x14ac:dyDescent="0.35">
      <c r="A63" s="53" t="s">
        <v>193</v>
      </c>
      <c r="B63" s="54" t="s">
        <v>231</v>
      </c>
      <c r="C63" s="54" t="s">
        <v>232</v>
      </c>
      <c r="D63" s="50">
        <v>0.77777777777777779</v>
      </c>
      <c r="E63" s="50">
        <v>0.82986111111111116</v>
      </c>
      <c r="F63" s="50">
        <v>0.88194444444444442</v>
      </c>
      <c r="G63" s="50"/>
      <c r="H63" s="50">
        <f t="shared" si="0"/>
        <v>5.2083333333333259E-2</v>
      </c>
    </row>
    <row r="64" spans="1:8" x14ac:dyDescent="0.35">
      <c r="A64" s="53" t="s">
        <v>224</v>
      </c>
      <c r="B64" s="54" t="s">
        <v>124</v>
      </c>
      <c r="C64" s="54" t="s">
        <v>134</v>
      </c>
      <c r="D64" s="50">
        <v>0.73958333333333337</v>
      </c>
      <c r="E64" s="50">
        <v>0.78819444444444442</v>
      </c>
      <c r="F64" s="50">
        <v>0.79861111111111116</v>
      </c>
      <c r="G64" s="50"/>
      <c r="H64" s="50">
        <f t="shared" si="0"/>
        <v>1.0416666666666741E-2</v>
      </c>
    </row>
    <row r="65" spans="1:8" x14ac:dyDescent="0.35">
      <c r="A65" s="53" t="s">
        <v>222</v>
      </c>
      <c r="B65" s="54" t="s">
        <v>148</v>
      </c>
      <c r="C65" s="54" t="s">
        <v>141</v>
      </c>
      <c r="D65" s="50">
        <v>0.75694444444444442</v>
      </c>
      <c r="E65" s="50">
        <v>0.76736111111111116</v>
      </c>
      <c r="F65" s="50">
        <v>0.79513888888888884</v>
      </c>
      <c r="G65" s="50"/>
      <c r="H65" s="50">
        <f t="shared" si="0"/>
        <v>2.7777777777777679E-2</v>
      </c>
    </row>
    <row r="66" spans="1:8" x14ac:dyDescent="0.35">
      <c r="A66" s="53" t="s">
        <v>185</v>
      </c>
      <c r="B66" s="54" t="s">
        <v>122</v>
      </c>
      <c r="C66" s="54" t="s">
        <v>131</v>
      </c>
      <c r="D66" s="50">
        <v>0.73958333333333337</v>
      </c>
      <c r="E66" s="50">
        <v>0.75347222222222221</v>
      </c>
      <c r="F66" s="50">
        <v>0.76388888888888884</v>
      </c>
      <c r="G66" s="50"/>
      <c r="H66" s="50">
        <f t="shared" ref="H66:H70" si="1">MOD(F66-E66, 1)</f>
        <v>1.041666666666663E-2</v>
      </c>
    </row>
    <row r="67" spans="1:8" x14ac:dyDescent="0.35">
      <c r="A67" s="53" t="s">
        <v>179</v>
      </c>
      <c r="B67" s="54" t="s">
        <v>145</v>
      </c>
      <c r="C67" s="54" t="s">
        <v>137</v>
      </c>
      <c r="D67" s="50">
        <v>0.80208333333333337</v>
      </c>
      <c r="E67" s="50">
        <v>0.84722222222222221</v>
      </c>
      <c r="F67" s="50">
        <v>0.90277777777777779</v>
      </c>
      <c r="G67" s="50"/>
      <c r="H67" s="50">
        <f t="shared" si="1"/>
        <v>5.555555555555558E-2</v>
      </c>
    </row>
    <row r="68" spans="1:8" x14ac:dyDescent="0.35">
      <c r="A68" s="53" t="s">
        <v>210</v>
      </c>
      <c r="B68" s="54" t="s">
        <v>264</v>
      </c>
      <c r="C68" s="54" t="s">
        <v>265</v>
      </c>
      <c r="D68" s="50">
        <v>0.79513888888888884</v>
      </c>
      <c r="E68" s="50">
        <v>0.84722222222222221</v>
      </c>
      <c r="F68" s="50">
        <v>0.86111111111111116</v>
      </c>
      <c r="G68" s="50"/>
      <c r="H68" s="50">
        <f t="shared" si="1"/>
        <v>1.3888888888888951E-2</v>
      </c>
    </row>
    <row r="69" spans="1:8" x14ac:dyDescent="0.35">
      <c r="A69" s="53" t="s">
        <v>220</v>
      </c>
      <c r="B69" s="54" t="s">
        <v>264</v>
      </c>
      <c r="C69" s="54" t="s">
        <v>265</v>
      </c>
      <c r="D69" s="50">
        <v>0.79513888888888884</v>
      </c>
      <c r="E69" s="50">
        <v>0.86805555555555558</v>
      </c>
      <c r="F69" s="50">
        <v>0.88541666666666663</v>
      </c>
      <c r="G69" s="50"/>
      <c r="H69" s="50">
        <f t="shared" si="1"/>
        <v>1.7361111111111049E-2</v>
      </c>
    </row>
    <row r="70" spans="1:8" x14ac:dyDescent="0.35">
      <c r="A70" s="53"/>
      <c r="B70" s="54"/>
      <c r="C70" s="54"/>
      <c r="D70" s="50"/>
      <c r="E70" s="50"/>
      <c r="F70" s="50"/>
      <c r="G70" s="50"/>
      <c r="H70" s="50">
        <f t="shared" si="1"/>
        <v>0</v>
      </c>
    </row>
  </sheetData>
  <autoFilter ref="A2:F37" xr:uid="{00000000-0001-0000-0000-000000000000}">
    <sortState xmlns:xlrd2="http://schemas.microsoft.com/office/spreadsheetml/2017/richdata2" ref="A3:F17">
      <sortCondition ref="A2"/>
    </sortState>
  </autoFilter>
  <conditionalFormatting sqref="H3:H411">
    <cfRule type="cellIs" dxfId="11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502B0-583F-49B8-B26F-C5E625A6A44D}">
  <sheetPr>
    <pageSetUpPr fitToPage="1"/>
  </sheetPr>
  <dimension ref="A1:K69"/>
  <sheetViews>
    <sheetView showGridLines="0" zoomScale="55" zoomScaleNormal="55" workbookViewId="0">
      <pane ySplit="2" topLeftCell="A3" activePane="bottomLeft" state="frozen"/>
      <selection pane="bottomLeft" activeCell="D29" sqref="D29"/>
    </sheetView>
  </sheetViews>
  <sheetFormatPr defaultColWidth="9" defaultRowHeight="23.25" x14ac:dyDescent="0.35"/>
  <cols>
    <col min="1" max="1" width="41.7109375" style="29" bestFit="1" customWidth="1"/>
    <col min="2" max="2" width="23.140625" style="7" bestFit="1" customWidth="1"/>
    <col min="3" max="3" width="16.28515625" style="6" bestFit="1" customWidth="1"/>
    <col min="4" max="4" width="20.28515625" style="5" bestFit="1" customWidth="1"/>
    <col min="5" max="5" width="23" style="5" bestFit="1" customWidth="1"/>
    <col min="6" max="6" width="24.5703125" style="3" bestFit="1" customWidth="1"/>
    <col min="7" max="7" width="0.28515625" style="1" customWidth="1"/>
    <col min="8" max="8" width="24.85546875" style="28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39" t="s">
        <v>4</v>
      </c>
      <c r="B1" s="40"/>
      <c r="C1" s="41"/>
      <c r="D1" s="42"/>
      <c r="E1" s="42"/>
      <c r="F1" s="43"/>
      <c r="G1" s="44"/>
      <c r="H1" s="51"/>
    </row>
    <row r="2" spans="1:10" s="2" customFormat="1" x14ac:dyDescent="0.35">
      <c r="A2" s="45" t="s">
        <v>0</v>
      </c>
      <c r="B2" s="45" t="s">
        <v>1</v>
      </c>
      <c r="C2" s="45" t="s">
        <v>2</v>
      </c>
      <c r="D2" s="46" t="s">
        <v>3</v>
      </c>
      <c r="E2" s="46" t="s">
        <v>236</v>
      </c>
      <c r="F2" s="45" t="s">
        <v>5</v>
      </c>
      <c r="G2" s="47"/>
      <c r="H2" s="48" t="s">
        <v>274</v>
      </c>
    </row>
    <row r="3" spans="1:10" x14ac:dyDescent="0.35">
      <c r="A3" s="53" t="s">
        <v>207</v>
      </c>
      <c r="B3" s="54" t="s">
        <v>309</v>
      </c>
      <c r="C3" s="54" t="s">
        <v>127</v>
      </c>
      <c r="D3" s="50">
        <v>0.20833333333333334</v>
      </c>
      <c r="E3" s="50">
        <v>0.22916666666666666</v>
      </c>
      <c r="F3" s="50">
        <v>0.30555555555555558</v>
      </c>
      <c r="G3" s="50"/>
      <c r="H3" s="50">
        <f t="shared" ref="H3:H66" si="0">MOD(F3-E3, 1)</f>
        <v>7.6388888888888923E-2</v>
      </c>
    </row>
    <row r="4" spans="1:10" s="4" customFormat="1" x14ac:dyDescent="0.35">
      <c r="A4" s="53" t="s">
        <v>195</v>
      </c>
      <c r="B4" s="54" t="s">
        <v>151</v>
      </c>
      <c r="C4" s="54" t="s">
        <v>132</v>
      </c>
      <c r="D4" s="50">
        <v>0.20833333333333334</v>
      </c>
      <c r="E4" s="50">
        <v>0.2361111111111111</v>
      </c>
      <c r="F4" s="50">
        <v>0.30902777777777779</v>
      </c>
      <c r="G4" s="50"/>
      <c r="H4" s="50">
        <f t="shared" si="0"/>
        <v>7.2916666666666685E-2</v>
      </c>
    </row>
    <row r="5" spans="1:10" s="4" customFormat="1" x14ac:dyDescent="0.35">
      <c r="A5" s="53" t="s">
        <v>204</v>
      </c>
      <c r="B5" s="54" t="s">
        <v>119</v>
      </c>
      <c r="C5" s="54" t="s">
        <v>128</v>
      </c>
      <c r="D5" s="50">
        <v>0.2048611111111111</v>
      </c>
      <c r="E5" s="50">
        <v>0.22569444444444445</v>
      </c>
      <c r="F5" s="50">
        <v>0.24305555555555555</v>
      </c>
      <c r="G5" s="50"/>
      <c r="H5" s="50">
        <f t="shared" si="0"/>
        <v>1.7361111111111105E-2</v>
      </c>
    </row>
    <row r="6" spans="1:10" x14ac:dyDescent="0.35">
      <c r="A6" s="53" t="s">
        <v>189</v>
      </c>
      <c r="B6" s="54" t="s">
        <v>117</v>
      </c>
      <c r="C6" s="54" t="s">
        <v>126</v>
      </c>
      <c r="D6" s="50">
        <v>0.19097222222222221</v>
      </c>
      <c r="E6" s="50">
        <v>0.21875</v>
      </c>
      <c r="F6" s="50">
        <v>0.27083333333333331</v>
      </c>
      <c r="G6" s="50"/>
      <c r="H6" s="50">
        <f t="shared" si="0"/>
        <v>5.2083333333333315E-2</v>
      </c>
    </row>
    <row r="7" spans="1:10" x14ac:dyDescent="0.35">
      <c r="A7" s="53" t="s">
        <v>177</v>
      </c>
      <c r="B7" s="54" t="s">
        <v>147</v>
      </c>
      <c r="C7" s="54" t="s">
        <v>130</v>
      </c>
      <c r="D7" s="50">
        <v>0.21180555555555555</v>
      </c>
      <c r="E7" s="50">
        <v>0.25</v>
      </c>
      <c r="F7" s="50">
        <v>0.38541666666666669</v>
      </c>
      <c r="G7" s="50"/>
      <c r="H7" s="50">
        <f t="shared" si="0"/>
        <v>0.13541666666666669</v>
      </c>
    </row>
    <row r="8" spans="1:10" x14ac:dyDescent="0.35">
      <c r="A8" s="53" t="s">
        <v>192</v>
      </c>
      <c r="B8" s="54" t="s">
        <v>122</v>
      </c>
      <c r="C8" s="54" t="s">
        <v>131</v>
      </c>
      <c r="D8" s="50">
        <v>0.19097222222222221</v>
      </c>
      <c r="E8" s="50">
        <v>0.22222222222222221</v>
      </c>
      <c r="F8" s="50">
        <v>0.24305555555555555</v>
      </c>
      <c r="G8" s="50"/>
      <c r="H8" s="50">
        <f t="shared" si="0"/>
        <v>2.0833333333333343E-2</v>
      </c>
    </row>
    <row r="9" spans="1:10" s="4" customFormat="1" x14ac:dyDescent="0.35">
      <c r="A9" s="53" t="s">
        <v>180</v>
      </c>
      <c r="B9" s="54" t="s">
        <v>123</v>
      </c>
      <c r="C9" s="54" t="s">
        <v>133</v>
      </c>
      <c r="D9" s="50">
        <v>0.25694444444444442</v>
      </c>
      <c r="E9" s="50">
        <v>0.4375</v>
      </c>
      <c r="F9" s="50">
        <v>0.4513888888888889</v>
      </c>
      <c r="G9" s="50"/>
      <c r="H9" s="50">
        <f t="shared" si="0"/>
        <v>1.3888888888888895E-2</v>
      </c>
      <c r="I9" s="8"/>
      <c r="J9" s="8"/>
    </row>
    <row r="10" spans="1:10" s="4" customFormat="1" x14ac:dyDescent="0.35">
      <c r="A10" s="53" t="s">
        <v>201</v>
      </c>
      <c r="B10" s="54" t="s">
        <v>252</v>
      </c>
      <c r="C10" s="54" t="s">
        <v>250</v>
      </c>
      <c r="D10" s="50">
        <v>0.15972222222222221</v>
      </c>
      <c r="E10" s="50">
        <v>0.19791666666666666</v>
      </c>
      <c r="F10" s="50">
        <v>0.22222222222222221</v>
      </c>
      <c r="G10" s="50"/>
      <c r="H10" s="50">
        <f t="shared" si="0"/>
        <v>2.4305555555555552E-2</v>
      </c>
      <c r="I10" s="8"/>
      <c r="J10" s="8"/>
    </row>
    <row r="11" spans="1:10" x14ac:dyDescent="0.35">
      <c r="A11" s="53" t="s">
        <v>180</v>
      </c>
      <c r="B11" s="54" t="s">
        <v>252</v>
      </c>
      <c r="C11" s="54" t="s">
        <v>250</v>
      </c>
      <c r="D11" s="50" t="s">
        <v>275</v>
      </c>
      <c r="E11" s="50" t="s">
        <v>276</v>
      </c>
      <c r="F11" s="50" t="s">
        <v>277</v>
      </c>
      <c r="G11" s="50"/>
      <c r="H11" s="50">
        <v>0</v>
      </c>
      <c r="I11" s="8"/>
      <c r="J11" s="8"/>
    </row>
    <row r="12" spans="1:10" x14ac:dyDescent="0.35">
      <c r="A12" s="53" t="s">
        <v>221</v>
      </c>
      <c r="B12" s="54" t="s">
        <v>152</v>
      </c>
      <c r="C12" s="54" t="s">
        <v>134</v>
      </c>
      <c r="D12" s="50">
        <v>0.14930555555555555</v>
      </c>
      <c r="E12" s="50">
        <v>0.17708333333333334</v>
      </c>
      <c r="F12" s="50">
        <v>0.2986111111111111</v>
      </c>
      <c r="G12" s="50"/>
      <c r="H12" s="50">
        <f t="shared" si="0"/>
        <v>0.12152777777777776</v>
      </c>
    </row>
    <row r="13" spans="1:10" x14ac:dyDescent="0.35">
      <c r="A13" s="53" t="s">
        <v>187</v>
      </c>
      <c r="B13" s="54" t="s">
        <v>272</v>
      </c>
      <c r="C13" s="54" t="s">
        <v>354</v>
      </c>
      <c r="D13" s="50">
        <v>0.1111111111111111</v>
      </c>
      <c r="E13" s="50">
        <v>0.24305555555555555</v>
      </c>
      <c r="F13" s="50">
        <v>0.28125</v>
      </c>
      <c r="G13" s="50"/>
      <c r="H13" s="50">
        <f t="shared" si="0"/>
        <v>3.8194444444444448E-2</v>
      </c>
    </row>
    <row r="14" spans="1:10" x14ac:dyDescent="0.35">
      <c r="A14" s="53" t="s">
        <v>202</v>
      </c>
      <c r="B14" s="54" t="s">
        <v>148</v>
      </c>
      <c r="C14" s="54" t="s">
        <v>141</v>
      </c>
      <c r="D14" s="50">
        <v>0.62847222222222221</v>
      </c>
      <c r="E14" s="50">
        <v>0.66666666666666663</v>
      </c>
      <c r="F14" s="50">
        <v>0.6875</v>
      </c>
      <c r="G14" s="50"/>
      <c r="H14" s="50">
        <f t="shared" si="0"/>
        <v>2.083333333333337E-2</v>
      </c>
    </row>
    <row r="15" spans="1:10" x14ac:dyDescent="0.35">
      <c r="A15" s="53" t="s">
        <v>203</v>
      </c>
      <c r="B15" s="54" t="s">
        <v>148</v>
      </c>
      <c r="C15" s="54" t="s">
        <v>141</v>
      </c>
      <c r="D15" s="50">
        <v>0.62847222222222221</v>
      </c>
      <c r="E15" s="50">
        <v>0.69791666666666663</v>
      </c>
      <c r="F15" s="50">
        <v>0.70833333333333337</v>
      </c>
      <c r="G15" s="50"/>
      <c r="H15" s="50">
        <f t="shared" si="0"/>
        <v>1.0416666666666741E-2</v>
      </c>
    </row>
    <row r="16" spans="1:10" x14ac:dyDescent="0.35">
      <c r="A16" s="53" t="s">
        <v>180</v>
      </c>
      <c r="B16" s="54" t="s">
        <v>284</v>
      </c>
      <c r="C16" s="54" t="s">
        <v>286</v>
      </c>
      <c r="D16" s="50">
        <v>0.53472222222222221</v>
      </c>
      <c r="E16" s="50">
        <v>0.56597222222222221</v>
      </c>
      <c r="F16" s="50">
        <v>0.61458333333333337</v>
      </c>
      <c r="G16" s="50"/>
      <c r="H16" s="50">
        <f t="shared" si="0"/>
        <v>4.861111111111116E-2</v>
      </c>
    </row>
    <row r="17" spans="1:11" x14ac:dyDescent="0.35">
      <c r="A17" s="53" t="s">
        <v>184</v>
      </c>
      <c r="B17" s="54" t="s">
        <v>364</v>
      </c>
      <c r="C17" s="54" t="s">
        <v>303</v>
      </c>
      <c r="D17" s="50">
        <v>0.63888888888888884</v>
      </c>
      <c r="E17" s="50">
        <v>0.64236111111111116</v>
      </c>
      <c r="F17" s="50">
        <v>0.68402777777777779</v>
      </c>
      <c r="G17" s="50"/>
      <c r="H17" s="50">
        <f t="shared" si="0"/>
        <v>4.166666666666663E-2</v>
      </c>
    </row>
    <row r="18" spans="1:11" x14ac:dyDescent="0.35">
      <c r="A18" s="53" t="s">
        <v>184</v>
      </c>
      <c r="B18" s="54" t="s">
        <v>365</v>
      </c>
      <c r="C18" s="54" t="s">
        <v>154</v>
      </c>
      <c r="D18" s="50">
        <v>0.52430555555555558</v>
      </c>
      <c r="E18" s="50">
        <v>0.60069444444444442</v>
      </c>
      <c r="F18" s="50">
        <v>0.64583333333333337</v>
      </c>
      <c r="G18" s="50"/>
      <c r="H18" s="50">
        <f t="shared" si="0"/>
        <v>4.5138888888888951E-2</v>
      </c>
    </row>
    <row r="19" spans="1:11" x14ac:dyDescent="0.35">
      <c r="A19" s="53" t="s">
        <v>181</v>
      </c>
      <c r="B19" s="54" t="s">
        <v>366</v>
      </c>
      <c r="C19" s="54" t="s">
        <v>260</v>
      </c>
      <c r="D19" s="50">
        <v>0.60416666666666663</v>
      </c>
      <c r="E19" s="50">
        <v>0.64930555555555558</v>
      </c>
      <c r="F19" s="50">
        <v>0.68055555555555558</v>
      </c>
      <c r="G19" s="50"/>
      <c r="H19" s="50">
        <f t="shared" si="0"/>
        <v>3.125E-2</v>
      </c>
    </row>
    <row r="20" spans="1:11" x14ac:dyDescent="0.35">
      <c r="A20" s="53" t="s">
        <v>174</v>
      </c>
      <c r="B20" s="54" t="s">
        <v>367</v>
      </c>
      <c r="C20" s="54" t="s">
        <v>327</v>
      </c>
      <c r="D20" s="50">
        <v>0.64930555555555558</v>
      </c>
      <c r="E20" s="50">
        <v>0.68402777777777779</v>
      </c>
      <c r="F20" s="50">
        <v>0.71875</v>
      </c>
      <c r="G20" s="50"/>
      <c r="H20" s="50">
        <f t="shared" si="0"/>
        <v>3.472222222222221E-2</v>
      </c>
    </row>
    <row r="21" spans="1:11" x14ac:dyDescent="0.35">
      <c r="A21" s="53" t="s">
        <v>181</v>
      </c>
      <c r="B21" s="54" t="s">
        <v>367</v>
      </c>
      <c r="C21" s="54" t="s">
        <v>327</v>
      </c>
      <c r="D21" s="50">
        <v>0.64930555555555558</v>
      </c>
      <c r="E21" s="50">
        <v>0.72916666666666663</v>
      </c>
      <c r="F21" s="50">
        <v>0.73611111111111116</v>
      </c>
      <c r="G21" s="50"/>
      <c r="H21" s="50">
        <f t="shared" si="0"/>
        <v>6.9444444444445308E-3</v>
      </c>
      <c r="I21" s="6"/>
      <c r="J21" s="5"/>
      <c r="K21" s="5"/>
    </row>
    <row r="22" spans="1:11" x14ac:dyDescent="0.35">
      <c r="A22" s="53" t="s">
        <v>188</v>
      </c>
      <c r="B22" s="54" t="s">
        <v>146</v>
      </c>
      <c r="C22" s="54" t="s">
        <v>140</v>
      </c>
      <c r="D22" s="50">
        <v>0.60763888888888884</v>
      </c>
      <c r="E22" s="50">
        <v>0.66666666666666663</v>
      </c>
      <c r="F22" s="50">
        <v>0.72916666666666663</v>
      </c>
      <c r="G22" s="50"/>
      <c r="H22" s="50">
        <f t="shared" si="0"/>
        <v>6.25E-2</v>
      </c>
      <c r="I22" s="6"/>
      <c r="J22" s="5"/>
      <c r="K22" s="5"/>
    </row>
    <row r="23" spans="1:11" x14ac:dyDescent="0.35">
      <c r="A23" s="53" t="s">
        <v>222</v>
      </c>
      <c r="B23" s="54" t="s">
        <v>368</v>
      </c>
      <c r="C23" s="54" t="s">
        <v>132</v>
      </c>
      <c r="D23" s="50">
        <v>0.67708333333333337</v>
      </c>
      <c r="E23" s="50">
        <v>0.70486111111111116</v>
      </c>
      <c r="F23" s="50">
        <v>0.71875</v>
      </c>
      <c r="G23" s="50"/>
      <c r="H23" s="50">
        <f t="shared" si="0"/>
        <v>1.388888888888884E-2</v>
      </c>
      <c r="I23" s="6"/>
      <c r="J23" s="5"/>
      <c r="K23" s="5"/>
    </row>
    <row r="24" spans="1:11" x14ac:dyDescent="0.35">
      <c r="A24" s="53" t="s">
        <v>182</v>
      </c>
      <c r="B24" s="54" t="s">
        <v>149</v>
      </c>
      <c r="C24" s="54" t="s">
        <v>129</v>
      </c>
      <c r="D24" s="50">
        <v>0.64583333333333337</v>
      </c>
      <c r="E24" s="50">
        <v>0.69791666666666663</v>
      </c>
      <c r="F24" s="50">
        <v>0.71875</v>
      </c>
      <c r="G24" s="50"/>
      <c r="H24" s="50">
        <f t="shared" si="0"/>
        <v>2.083333333333337E-2</v>
      </c>
      <c r="I24" s="6"/>
      <c r="J24" s="5"/>
      <c r="K24" s="5"/>
    </row>
    <row r="25" spans="1:11" x14ac:dyDescent="0.35">
      <c r="A25" s="53" t="s">
        <v>222</v>
      </c>
      <c r="B25" s="54" t="s">
        <v>149</v>
      </c>
      <c r="C25" s="54" t="s">
        <v>129</v>
      </c>
      <c r="D25" s="50">
        <v>0.64583333333333337</v>
      </c>
      <c r="E25" s="50">
        <v>0.65625</v>
      </c>
      <c r="F25" s="50">
        <v>0.66666666666666663</v>
      </c>
      <c r="G25" s="50"/>
      <c r="H25" s="50">
        <f t="shared" si="0"/>
        <v>1.041666666666663E-2</v>
      </c>
    </row>
    <row r="26" spans="1:11" x14ac:dyDescent="0.35">
      <c r="A26" s="53" t="s">
        <v>212</v>
      </c>
      <c r="B26" s="54" t="s">
        <v>228</v>
      </c>
      <c r="C26" s="54" t="s">
        <v>370</v>
      </c>
      <c r="D26" s="50"/>
      <c r="E26" s="50"/>
      <c r="F26" s="50"/>
      <c r="G26" s="50"/>
      <c r="H26" s="50">
        <f t="shared" si="0"/>
        <v>0</v>
      </c>
    </row>
    <row r="27" spans="1:11" x14ac:dyDescent="0.35">
      <c r="A27" s="53" t="s">
        <v>186</v>
      </c>
      <c r="B27" s="54" t="s">
        <v>124</v>
      </c>
      <c r="C27" s="54" t="s">
        <v>134</v>
      </c>
      <c r="D27" s="50">
        <v>0.63541666666666663</v>
      </c>
      <c r="E27" s="50">
        <v>0.67361111111111116</v>
      </c>
      <c r="F27" s="50">
        <v>0.69791666666666663</v>
      </c>
      <c r="G27" s="50"/>
      <c r="H27" s="50">
        <f t="shared" si="0"/>
        <v>2.4305555555555469E-2</v>
      </c>
    </row>
    <row r="28" spans="1:11" x14ac:dyDescent="0.35">
      <c r="A28" s="53" t="s">
        <v>208</v>
      </c>
      <c r="B28" s="54" t="s">
        <v>307</v>
      </c>
      <c r="C28" s="54" t="s">
        <v>133</v>
      </c>
      <c r="D28" s="50">
        <v>0.62847222222222221</v>
      </c>
      <c r="E28" s="50">
        <v>0.67013888888888884</v>
      </c>
      <c r="F28" s="50">
        <v>0.69444444444444442</v>
      </c>
      <c r="G28" s="50"/>
      <c r="H28" s="50">
        <f t="shared" si="0"/>
        <v>2.430555555555558E-2</v>
      </c>
    </row>
    <row r="29" spans="1:11" x14ac:dyDescent="0.35">
      <c r="A29" s="53" t="s">
        <v>209</v>
      </c>
      <c r="B29" s="54" t="s">
        <v>369</v>
      </c>
      <c r="C29" s="54" t="s">
        <v>131</v>
      </c>
      <c r="D29" s="50">
        <v>0.625</v>
      </c>
      <c r="E29" s="50">
        <v>0.66319444444444442</v>
      </c>
      <c r="F29" s="50">
        <v>0.69444444444444442</v>
      </c>
      <c r="G29" s="50"/>
      <c r="H29" s="50">
        <f t="shared" si="0"/>
        <v>3.125E-2</v>
      </c>
    </row>
    <row r="30" spans="1:11" x14ac:dyDescent="0.35">
      <c r="A30" s="53" t="s">
        <v>208</v>
      </c>
      <c r="B30" s="54" t="s">
        <v>369</v>
      </c>
      <c r="C30" s="54" t="s">
        <v>131</v>
      </c>
      <c r="D30" s="50" t="s">
        <v>275</v>
      </c>
      <c r="E30" s="50" t="s">
        <v>276</v>
      </c>
      <c r="F30" s="50" t="s">
        <v>277</v>
      </c>
      <c r="G30" s="50"/>
      <c r="H30" s="50">
        <v>0</v>
      </c>
    </row>
    <row r="31" spans="1:11" x14ac:dyDescent="0.35">
      <c r="A31" s="53" t="s">
        <v>217</v>
      </c>
      <c r="B31" s="54" t="s">
        <v>231</v>
      </c>
      <c r="C31" s="54" t="s">
        <v>232</v>
      </c>
      <c r="D31" s="50">
        <v>0.64930555555555558</v>
      </c>
      <c r="E31" s="50">
        <v>0.6875</v>
      </c>
      <c r="F31" s="50">
        <v>0.72569444444444442</v>
      </c>
      <c r="G31" s="50"/>
      <c r="H31" s="50">
        <f t="shared" si="0"/>
        <v>3.819444444444442E-2</v>
      </c>
    </row>
    <row r="32" spans="1:11" x14ac:dyDescent="0.35">
      <c r="A32" s="53" t="s">
        <v>219</v>
      </c>
      <c r="B32" s="54" t="s">
        <v>162</v>
      </c>
      <c r="C32" s="54" t="s">
        <v>161</v>
      </c>
      <c r="D32" s="50">
        <v>0.61458333333333337</v>
      </c>
      <c r="E32" s="50">
        <v>0.71180555555555558</v>
      </c>
      <c r="F32" s="50">
        <v>0.77430555555555558</v>
      </c>
      <c r="G32" s="50"/>
      <c r="H32" s="50">
        <f t="shared" si="0"/>
        <v>6.25E-2</v>
      </c>
    </row>
    <row r="33" spans="1:8" x14ac:dyDescent="0.35">
      <c r="A33" s="53" t="s">
        <v>214</v>
      </c>
      <c r="B33" s="54" t="s">
        <v>297</v>
      </c>
      <c r="C33" s="54" t="s">
        <v>322</v>
      </c>
      <c r="D33" s="50" t="s">
        <v>247</v>
      </c>
      <c r="E33" s="50" t="s">
        <v>248</v>
      </c>
      <c r="F33" s="50"/>
      <c r="G33" s="50"/>
      <c r="H33" s="50">
        <v>0</v>
      </c>
    </row>
    <row r="34" spans="1:8" x14ac:dyDescent="0.35">
      <c r="A34" s="53" t="s">
        <v>199</v>
      </c>
      <c r="B34" s="54" t="s">
        <v>257</v>
      </c>
      <c r="C34" s="54" t="s">
        <v>263</v>
      </c>
      <c r="D34" s="50" t="s">
        <v>247</v>
      </c>
      <c r="E34" s="50" t="s">
        <v>248</v>
      </c>
      <c r="F34" s="50"/>
      <c r="G34" s="50"/>
      <c r="H34" s="50">
        <v>0</v>
      </c>
    </row>
    <row r="35" spans="1:8" x14ac:dyDescent="0.35">
      <c r="A35" s="53" t="s">
        <v>196</v>
      </c>
      <c r="B35" s="54" t="s">
        <v>257</v>
      </c>
      <c r="C35" s="54" t="s">
        <v>263</v>
      </c>
      <c r="D35" s="50" t="s">
        <v>247</v>
      </c>
      <c r="E35" s="50" t="s">
        <v>248</v>
      </c>
      <c r="F35" s="50"/>
      <c r="G35" s="50"/>
      <c r="H35" s="50">
        <v>0</v>
      </c>
    </row>
    <row r="36" spans="1:8" x14ac:dyDescent="0.35">
      <c r="A36" s="53" t="s">
        <v>205</v>
      </c>
      <c r="B36" s="54" t="s">
        <v>145</v>
      </c>
      <c r="C36" s="54" t="s">
        <v>137</v>
      </c>
      <c r="D36" s="50">
        <v>0.76388888888888884</v>
      </c>
      <c r="E36" s="50">
        <v>0.82986111111111116</v>
      </c>
      <c r="F36" s="50">
        <v>0.84027777777777779</v>
      </c>
      <c r="G36" s="50"/>
      <c r="H36" s="50">
        <f t="shared" si="0"/>
        <v>1.041666666666663E-2</v>
      </c>
    </row>
    <row r="37" spans="1:8" x14ac:dyDescent="0.35">
      <c r="A37" s="53" t="s">
        <v>191</v>
      </c>
      <c r="B37" s="54" t="s">
        <v>293</v>
      </c>
      <c r="C37" s="54" t="s">
        <v>128</v>
      </c>
      <c r="D37" s="50">
        <v>0.82638888888888884</v>
      </c>
      <c r="E37" s="50">
        <v>0.86111111111111116</v>
      </c>
      <c r="F37" s="50">
        <v>0.87847222222222221</v>
      </c>
      <c r="G37" s="50"/>
      <c r="H37" s="50">
        <f t="shared" si="0"/>
        <v>1.7361111111111049E-2</v>
      </c>
    </row>
    <row r="38" spans="1:8" x14ac:dyDescent="0.35">
      <c r="A38" s="53" t="s">
        <v>197</v>
      </c>
      <c r="B38" s="54" t="s">
        <v>160</v>
      </c>
      <c r="C38" s="54" t="s">
        <v>159</v>
      </c>
      <c r="D38" s="50">
        <v>0.76388888888888884</v>
      </c>
      <c r="E38" s="50">
        <v>0.80902777777777779</v>
      </c>
      <c r="F38" s="50">
        <v>0.82638888888888884</v>
      </c>
      <c r="G38" s="50"/>
      <c r="H38" s="50">
        <f t="shared" si="0"/>
        <v>1.7361111111111049E-2</v>
      </c>
    </row>
    <row r="39" spans="1:8" x14ac:dyDescent="0.35">
      <c r="A39" s="53" t="s">
        <v>218</v>
      </c>
      <c r="B39" s="54" t="s">
        <v>251</v>
      </c>
      <c r="C39" s="54" t="s">
        <v>249</v>
      </c>
      <c r="D39" s="50">
        <v>0.72916666666666663</v>
      </c>
      <c r="E39" s="50">
        <v>0.79166666666666663</v>
      </c>
      <c r="F39" s="50">
        <v>0.80555555555555558</v>
      </c>
      <c r="G39" s="50"/>
      <c r="H39" s="50">
        <f t="shared" si="0"/>
        <v>1.3888888888888951E-2</v>
      </c>
    </row>
    <row r="40" spans="1:8" x14ac:dyDescent="0.35">
      <c r="A40" s="53" t="s">
        <v>183</v>
      </c>
      <c r="B40" s="54" t="s">
        <v>165</v>
      </c>
      <c r="C40" s="54" t="s">
        <v>167</v>
      </c>
      <c r="D40" s="50" t="s">
        <v>247</v>
      </c>
      <c r="E40" s="50" t="s">
        <v>248</v>
      </c>
      <c r="F40" s="50"/>
      <c r="G40" s="50"/>
      <c r="H40" s="50">
        <v>0</v>
      </c>
    </row>
    <row r="41" spans="1:8" x14ac:dyDescent="0.35">
      <c r="A41" s="53" t="s">
        <v>223</v>
      </c>
      <c r="B41" s="54" t="s">
        <v>266</v>
      </c>
      <c r="C41" s="54" t="s">
        <v>268</v>
      </c>
      <c r="D41" s="50" t="s">
        <v>275</v>
      </c>
      <c r="E41" s="50" t="s">
        <v>276</v>
      </c>
      <c r="F41" s="50" t="s">
        <v>277</v>
      </c>
      <c r="G41" s="50"/>
      <c r="H41" s="50">
        <v>0</v>
      </c>
    </row>
    <row r="42" spans="1:8" x14ac:dyDescent="0.35">
      <c r="A42" s="53" t="s">
        <v>193</v>
      </c>
      <c r="B42" s="54" t="s">
        <v>371</v>
      </c>
      <c r="C42" s="54" t="s">
        <v>287</v>
      </c>
      <c r="D42" s="50" t="s">
        <v>247</v>
      </c>
      <c r="E42" s="50" t="s">
        <v>248</v>
      </c>
      <c r="F42" s="50"/>
      <c r="G42" s="50"/>
      <c r="H42" s="50">
        <v>0</v>
      </c>
    </row>
    <row r="43" spans="1:8" x14ac:dyDescent="0.35">
      <c r="A43" s="53" t="s">
        <v>176</v>
      </c>
      <c r="B43" s="54" t="s">
        <v>372</v>
      </c>
      <c r="C43" s="54" t="s">
        <v>126</v>
      </c>
      <c r="D43" s="50">
        <v>0.81597222222222221</v>
      </c>
      <c r="E43" s="50">
        <v>0.85416666666666663</v>
      </c>
      <c r="F43" s="50">
        <v>0.86458333333333337</v>
      </c>
      <c r="G43" s="50"/>
      <c r="H43" s="50">
        <f t="shared" si="0"/>
        <v>1.0416666666666741E-2</v>
      </c>
    </row>
    <row r="44" spans="1:8" x14ac:dyDescent="0.35">
      <c r="A44" s="53" t="s">
        <v>193</v>
      </c>
      <c r="B44" s="54" t="s">
        <v>372</v>
      </c>
      <c r="C44" s="54" t="s">
        <v>126</v>
      </c>
      <c r="D44" s="50">
        <v>0.81597222222222221</v>
      </c>
      <c r="E44" s="50">
        <v>0.87152777777777779</v>
      </c>
      <c r="F44" s="50">
        <v>0.88194444444444442</v>
      </c>
      <c r="G44" s="50"/>
      <c r="H44" s="50">
        <f t="shared" si="0"/>
        <v>1.041666666666663E-2</v>
      </c>
    </row>
    <row r="45" spans="1:8" x14ac:dyDescent="0.35">
      <c r="A45" s="53" t="s">
        <v>178</v>
      </c>
      <c r="B45" s="54" t="s">
        <v>157</v>
      </c>
      <c r="C45" s="54" t="s">
        <v>158</v>
      </c>
      <c r="D45" s="50">
        <v>0.76388888888888884</v>
      </c>
      <c r="E45" s="50">
        <v>0.80902777777777779</v>
      </c>
      <c r="F45" s="50">
        <v>0.84027777777777779</v>
      </c>
      <c r="G45" s="50"/>
      <c r="H45" s="50">
        <f t="shared" si="0"/>
        <v>3.125E-2</v>
      </c>
    </row>
    <row r="46" spans="1:8" x14ac:dyDescent="0.35">
      <c r="A46" s="53" t="s">
        <v>200</v>
      </c>
      <c r="B46" s="54" t="s">
        <v>157</v>
      </c>
      <c r="C46" s="54" t="s">
        <v>158</v>
      </c>
      <c r="D46" s="50">
        <v>0.76388888888888884</v>
      </c>
      <c r="E46" s="50">
        <v>0.84375</v>
      </c>
      <c r="F46" s="50">
        <v>0.85416666666666663</v>
      </c>
      <c r="G46" s="50"/>
      <c r="H46" s="50">
        <f t="shared" si="0"/>
        <v>1.041666666666663E-2</v>
      </c>
    </row>
    <row r="47" spans="1:8" x14ac:dyDescent="0.35">
      <c r="A47" s="53" t="s">
        <v>206</v>
      </c>
      <c r="B47" s="54" t="s">
        <v>172</v>
      </c>
      <c r="C47" s="54" t="s">
        <v>171</v>
      </c>
      <c r="D47" s="50">
        <v>0.79166666666666663</v>
      </c>
      <c r="E47" s="50">
        <v>0.82986111111111116</v>
      </c>
      <c r="F47" s="50">
        <v>0.85069444444444442</v>
      </c>
      <c r="G47" s="50"/>
      <c r="H47" s="50">
        <f t="shared" si="0"/>
        <v>2.0833333333333259E-2</v>
      </c>
    </row>
    <row r="48" spans="1:8" x14ac:dyDescent="0.35">
      <c r="A48" s="53" t="s">
        <v>194</v>
      </c>
      <c r="B48" s="54" t="s">
        <v>229</v>
      </c>
      <c r="C48" s="54" t="s">
        <v>291</v>
      </c>
      <c r="D48" s="50" t="s">
        <v>247</v>
      </c>
      <c r="E48" s="50" t="s">
        <v>248</v>
      </c>
      <c r="F48" s="50"/>
      <c r="G48" s="50"/>
      <c r="H48" s="50">
        <v>0</v>
      </c>
    </row>
    <row r="49" spans="1:8" x14ac:dyDescent="0.35">
      <c r="A49" s="53" t="s">
        <v>216</v>
      </c>
      <c r="B49" s="54" t="s">
        <v>229</v>
      </c>
      <c r="C49" s="54" t="s">
        <v>291</v>
      </c>
      <c r="D49" s="50" t="s">
        <v>247</v>
      </c>
      <c r="E49" s="50" t="s">
        <v>248</v>
      </c>
      <c r="F49" s="50"/>
      <c r="G49" s="50"/>
      <c r="H49" s="50">
        <v>0</v>
      </c>
    </row>
    <row r="50" spans="1:8" x14ac:dyDescent="0.35">
      <c r="A50" s="53" t="s">
        <v>224</v>
      </c>
      <c r="B50" s="54" t="s">
        <v>267</v>
      </c>
      <c r="C50" s="54" t="s">
        <v>269</v>
      </c>
      <c r="D50" s="50">
        <v>0.78125</v>
      </c>
      <c r="E50" s="50">
        <v>0.81944444444444442</v>
      </c>
      <c r="F50" s="50">
        <v>0.84027777777777779</v>
      </c>
      <c r="G50" s="50"/>
      <c r="H50" s="50">
        <f t="shared" si="0"/>
        <v>2.083333333333337E-2</v>
      </c>
    </row>
    <row r="51" spans="1:8" x14ac:dyDescent="0.35">
      <c r="A51" s="53" t="s">
        <v>179</v>
      </c>
      <c r="B51" s="54" t="s">
        <v>252</v>
      </c>
      <c r="C51" s="54" t="s">
        <v>250</v>
      </c>
      <c r="D51" s="50">
        <v>0.73958333333333337</v>
      </c>
      <c r="E51" s="50">
        <v>0.8125</v>
      </c>
      <c r="F51" s="50">
        <v>0.83680555555555558</v>
      </c>
      <c r="G51" s="50"/>
      <c r="H51" s="50">
        <f t="shared" si="0"/>
        <v>2.430555555555558E-2</v>
      </c>
    </row>
    <row r="52" spans="1:8" x14ac:dyDescent="0.35">
      <c r="A52" s="53" t="s">
        <v>185</v>
      </c>
      <c r="B52" s="54" t="s">
        <v>151</v>
      </c>
      <c r="C52" s="54" t="s">
        <v>132</v>
      </c>
      <c r="D52" s="50">
        <v>0.78819444444444442</v>
      </c>
      <c r="E52" s="50">
        <v>0.79861111111111116</v>
      </c>
      <c r="F52" s="50">
        <v>0.81597222222222221</v>
      </c>
      <c r="G52" s="50"/>
      <c r="H52" s="50">
        <f t="shared" si="0"/>
        <v>1.7361111111111049E-2</v>
      </c>
    </row>
    <row r="53" spans="1:8" x14ac:dyDescent="0.35">
      <c r="A53" s="53" t="s">
        <v>220</v>
      </c>
      <c r="B53" s="54" t="s">
        <v>150</v>
      </c>
      <c r="C53" s="54" t="s">
        <v>139</v>
      </c>
      <c r="D53" s="50">
        <v>0.79166666666666663</v>
      </c>
      <c r="E53" s="50">
        <v>0.82986111111111116</v>
      </c>
      <c r="F53" s="50">
        <v>0.85416666666666663</v>
      </c>
      <c r="G53" s="50"/>
      <c r="H53" s="50">
        <f t="shared" si="0"/>
        <v>2.4305555555555469E-2</v>
      </c>
    </row>
    <row r="54" spans="1:8" x14ac:dyDescent="0.35">
      <c r="A54" s="53"/>
      <c r="B54" s="54"/>
      <c r="C54" s="54"/>
      <c r="D54" s="50"/>
      <c r="E54" s="50"/>
      <c r="F54" s="50"/>
      <c r="G54" s="50"/>
      <c r="H54" s="50">
        <f t="shared" si="0"/>
        <v>0</v>
      </c>
    </row>
    <row r="55" spans="1:8" x14ac:dyDescent="0.35">
      <c r="A55" s="53"/>
      <c r="B55" s="54"/>
      <c r="C55" s="54"/>
      <c r="D55" s="50"/>
      <c r="E55" s="50"/>
      <c r="F55" s="50"/>
      <c r="G55" s="50"/>
      <c r="H55" s="50">
        <f t="shared" si="0"/>
        <v>0</v>
      </c>
    </row>
    <row r="56" spans="1:8" x14ac:dyDescent="0.35">
      <c r="A56" s="53"/>
      <c r="B56" s="54"/>
      <c r="C56" s="54"/>
      <c r="D56" s="50"/>
      <c r="E56" s="50"/>
      <c r="F56" s="50"/>
      <c r="G56" s="50"/>
      <c r="H56" s="50">
        <f t="shared" si="0"/>
        <v>0</v>
      </c>
    </row>
    <row r="57" spans="1:8" x14ac:dyDescent="0.35">
      <c r="A57" s="53"/>
      <c r="B57" s="54"/>
      <c r="C57" s="54"/>
      <c r="D57" s="50"/>
      <c r="E57" s="50"/>
      <c r="F57" s="50"/>
      <c r="G57" s="50"/>
      <c r="H57" s="50">
        <f t="shared" si="0"/>
        <v>0</v>
      </c>
    </row>
    <row r="58" spans="1:8" x14ac:dyDescent="0.35">
      <c r="A58" s="53"/>
      <c r="B58" s="54"/>
      <c r="C58" s="54"/>
      <c r="D58" s="50"/>
      <c r="E58" s="50"/>
      <c r="F58" s="50"/>
      <c r="G58" s="50"/>
      <c r="H58" s="50">
        <f t="shared" si="0"/>
        <v>0</v>
      </c>
    </row>
    <row r="59" spans="1:8" x14ac:dyDescent="0.35">
      <c r="A59" s="53"/>
      <c r="B59" s="54"/>
      <c r="C59" s="54"/>
      <c r="D59" s="50"/>
      <c r="E59" s="50"/>
      <c r="F59" s="50"/>
      <c r="G59" s="50"/>
      <c r="H59" s="50">
        <f t="shared" si="0"/>
        <v>0</v>
      </c>
    </row>
    <row r="60" spans="1:8" x14ac:dyDescent="0.35">
      <c r="A60" s="53"/>
      <c r="B60" s="54"/>
      <c r="C60" s="54"/>
      <c r="D60" s="50"/>
      <c r="E60" s="50"/>
      <c r="F60" s="50"/>
      <c r="G60" s="50"/>
      <c r="H60" s="50">
        <f t="shared" si="0"/>
        <v>0</v>
      </c>
    </row>
    <row r="61" spans="1:8" x14ac:dyDescent="0.35">
      <c r="A61" s="53"/>
      <c r="B61" s="54"/>
      <c r="C61" s="54"/>
      <c r="D61" s="50"/>
      <c r="E61" s="50"/>
      <c r="F61" s="50"/>
      <c r="G61" s="50"/>
      <c r="H61" s="50">
        <f t="shared" si="0"/>
        <v>0</v>
      </c>
    </row>
    <row r="62" spans="1:8" x14ac:dyDescent="0.35">
      <c r="A62" s="53"/>
      <c r="B62" s="54"/>
      <c r="C62" s="54"/>
      <c r="D62" s="50"/>
      <c r="E62" s="50"/>
      <c r="F62" s="50"/>
      <c r="G62" s="50"/>
      <c r="H62" s="50">
        <f t="shared" si="0"/>
        <v>0</v>
      </c>
    </row>
    <row r="63" spans="1:8" x14ac:dyDescent="0.35">
      <c r="A63" s="53"/>
      <c r="B63" s="54"/>
      <c r="C63" s="54"/>
      <c r="D63" s="50"/>
      <c r="E63" s="50"/>
      <c r="F63" s="50"/>
      <c r="G63" s="50"/>
      <c r="H63" s="50">
        <f t="shared" si="0"/>
        <v>0</v>
      </c>
    </row>
    <row r="64" spans="1:8" x14ac:dyDescent="0.35">
      <c r="A64" s="53"/>
      <c r="B64" s="54"/>
      <c r="C64" s="54"/>
      <c r="D64" s="50"/>
      <c r="E64" s="50"/>
      <c r="F64" s="50"/>
      <c r="G64" s="50"/>
      <c r="H64" s="50">
        <f t="shared" si="0"/>
        <v>0</v>
      </c>
    </row>
    <row r="65" spans="1:8" x14ac:dyDescent="0.35">
      <c r="A65" s="53"/>
      <c r="B65" s="54"/>
      <c r="C65" s="54"/>
      <c r="D65" s="50"/>
      <c r="E65" s="50"/>
      <c r="F65" s="50"/>
      <c r="G65" s="50"/>
      <c r="H65" s="50">
        <f t="shared" si="0"/>
        <v>0</v>
      </c>
    </row>
    <row r="66" spans="1:8" x14ac:dyDescent="0.35">
      <c r="A66" s="53"/>
      <c r="B66" s="54"/>
      <c r="C66" s="54"/>
      <c r="D66" s="50"/>
      <c r="E66" s="50"/>
      <c r="F66" s="50"/>
      <c r="G66" s="50"/>
      <c r="H66" s="50">
        <f t="shared" si="0"/>
        <v>0</v>
      </c>
    </row>
    <row r="67" spans="1:8" x14ac:dyDescent="0.35">
      <c r="A67" s="53"/>
      <c r="B67" s="54"/>
      <c r="C67" s="54"/>
      <c r="D67" s="50"/>
      <c r="E67" s="50"/>
      <c r="F67" s="50"/>
      <c r="G67" s="50"/>
      <c r="H67" s="50">
        <f t="shared" ref="H67:H69" si="1">MOD(F67-E67, 1)</f>
        <v>0</v>
      </c>
    </row>
    <row r="68" spans="1:8" x14ac:dyDescent="0.35">
      <c r="A68" s="53"/>
      <c r="B68" s="54"/>
      <c r="C68" s="54"/>
      <c r="D68" s="50"/>
      <c r="E68" s="50"/>
      <c r="F68" s="50"/>
      <c r="G68" s="50"/>
      <c r="H68" s="50">
        <f t="shared" si="1"/>
        <v>0</v>
      </c>
    </row>
    <row r="69" spans="1:8" x14ac:dyDescent="0.35">
      <c r="A69" s="53"/>
      <c r="B69" s="54"/>
      <c r="C69" s="54"/>
      <c r="D69" s="50"/>
      <c r="E69" s="50"/>
      <c r="F69" s="50"/>
      <c r="G69" s="50"/>
      <c r="H69" s="50">
        <f t="shared" si="1"/>
        <v>0</v>
      </c>
    </row>
  </sheetData>
  <autoFilter ref="A2:F38" xr:uid="{00000000-0001-0000-0000-000000000000}">
    <sortState xmlns:xlrd2="http://schemas.microsoft.com/office/spreadsheetml/2017/richdata2" ref="A3:F18">
      <sortCondition ref="A2"/>
    </sortState>
  </autoFilter>
  <conditionalFormatting sqref="H3:H412">
    <cfRule type="cellIs" dxfId="10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ECB76-F211-41DE-992F-2F441403DBEC}">
  <sheetPr>
    <pageSetUpPr fitToPage="1"/>
  </sheetPr>
  <dimension ref="A1:K68"/>
  <sheetViews>
    <sheetView showGridLines="0" zoomScale="70" zoomScaleNormal="70" workbookViewId="0">
      <pane ySplit="2" topLeftCell="A27" activePane="bottomLeft" state="frozen"/>
      <selection pane="bottomLeft" activeCell="F50" sqref="F50"/>
    </sheetView>
  </sheetViews>
  <sheetFormatPr defaultColWidth="9" defaultRowHeight="23.25" x14ac:dyDescent="0.35"/>
  <cols>
    <col min="1" max="1" width="37.85546875" style="29" bestFit="1" customWidth="1"/>
    <col min="2" max="2" width="23.140625" style="7" bestFit="1" customWidth="1"/>
    <col min="3" max="3" width="16.28515625" style="6" bestFit="1" customWidth="1"/>
    <col min="4" max="4" width="20.28515625" style="5" bestFit="1" customWidth="1"/>
    <col min="5" max="5" width="23" style="5" bestFit="1" customWidth="1"/>
    <col min="6" max="6" width="24.5703125" style="3" bestFit="1" customWidth="1"/>
    <col min="7" max="7" width="0.28515625" style="1" customWidth="1"/>
    <col min="8" max="8" width="24.85546875" style="28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39" t="s">
        <v>4</v>
      </c>
      <c r="B1" s="40"/>
      <c r="C1" s="41"/>
      <c r="D1" s="42"/>
      <c r="E1" s="42"/>
      <c r="F1" s="43"/>
      <c r="G1" s="44"/>
      <c r="H1" s="51"/>
    </row>
    <row r="2" spans="1:10" s="2" customFormat="1" x14ac:dyDescent="0.35">
      <c r="A2" s="45" t="s">
        <v>0</v>
      </c>
      <c r="B2" s="45" t="s">
        <v>1</v>
      </c>
      <c r="C2" s="45" t="s">
        <v>2</v>
      </c>
      <c r="D2" s="46" t="s">
        <v>3</v>
      </c>
      <c r="E2" s="46" t="s">
        <v>236</v>
      </c>
      <c r="F2" s="45" t="s">
        <v>5</v>
      </c>
      <c r="G2" s="47"/>
      <c r="H2" s="48" t="s">
        <v>274</v>
      </c>
    </row>
    <row r="3" spans="1:10" x14ac:dyDescent="0.35">
      <c r="A3" s="53" t="s">
        <v>210</v>
      </c>
      <c r="B3" s="54" t="s">
        <v>117</v>
      </c>
      <c r="C3" s="54" t="s">
        <v>126</v>
      </c>
      <c r="D3" s="50">
        <v>0.18402777777777779</v>
      </c>
      <c r="E3" s="50">
        <v>0.2048611111111111</v>
      </c>
      <c r="F3" s="50">
        <v>0.30208333333333331</v>
      </c>
      <c r="G3" s="50"/>
      <c r="H3" s="50">
        <f t="shared" ref="H3:H65" si="0">MOD(F3-E3, 1)</f>
        <v>9.722222222222221E-2</v>
      </c>
    </row>
    <row r="4" spans="1:10" s="4" customFormat="1" x14ac:dyDescent="0.35">
      <c r="A4" s="53" t="s">
        <v>207</v>
      </c>
      <c r="B4" s="54" t="s">
        <v>120</v>
      </c>
      <c r="C4" s="54" t="s">
        <v>129</v>
      </c>
      <c r="D4" s="50">
        <v>0.15972222222222221</v>
      </c>
      <c r="E4" s="50">
        <v>0.18402777777777779</v>
      </c>
      <c r="F4" s="50">
        <v>0.30555555555555558</v>
      </c>
      <c r="G4" s="50"/>
      <c r="H4" s="50">
        <f t="shared" si="0"/>
        <v>0.12152777777777779</v>
      </c>
    </row>
    <row r="5" spans="1:10" s="4" customFormat="1" x14ac:dyDescent="0.35">
      <c r="A5" s="53" t="s">
        <v>204</v>
      </c>
      <c r="B5" s="54" t="s">
        <v>119</v>
      </c>
      <c r="C5" s="54" t="s">
        <v>128</v>
      </c>
      <c r="D5" s="50">
        <v>0.19097222222222221</v>
      </c>
      <c r="E5" s="50">
        <v>0.21180555555555555</v>
      </c>
      <c r="F5" s="50">
        <v>0.2361111111111111</v>
      </c>
      <c r="G5" s="50"/>
      <c r="H5" s="50">
        <f t="shared" si="0"/>
        <v>2.4305555555555552E-2</v>
      </c>
    </row>
    <row r="6" spans="1:10" x14ac:dyDescent="0.35">
      <c r="A6" s="53" t="s">
        <v>195</v>
      </c>
      <c r="B6" s="54" t="s">
        <v>309</v>
      </c>
      <c r="C6" s="54" t="s">
        <v>127</v>
      </c>
      <c r="D6" s="50">
        <v>0.2048611111111111</v>
      </c>
      <c r="E6" s="50">
        <v>0.22916666666666666</v>
      </c>
      <c r="F6" s="50">
        <v>0.34375</v>
      </c>
      <c r="G6" s="50"/>
      <c r="H6" s="50">
        <f t="shared" si="0"/>
        <v>0.11458333333333334</v>
      </c>
    </row>
    <row r="7" spans="1:10" x14ac:dyDescent="0.35">
      <c r="A7" s="53" t="s">
        <v>177</v>
      </c>
      <c r="B7" s="54" t="s">
        <v>121</v>
      </c>
      <c r="C7" s="54" t="s">
        <v>130</v>
      </c>
      <c r="D7" s="50">
        <v>0.19791666666666666</v>
      </c>
      <c r="E7" s="50">
        <v>0.23958333333333334</v>
      </c>
      <c r="F7" s="50">
        <v>0.3923611111111111</v>
      </c>
      <c r="G7" s="50"/>
      <c r="H7" s="50">
        <f t="shared" si="0"/>
        <v>0.15277777777777776</v>
      </c>
    </row>
    <row r="8" spans="1:10" x14ac:dyDescent="0.35">
      <c r="A8" s="53" t="s">
        <v>192</v>
      </c>
      <c r="B8" s="54" t="s">
        <v>122</v>
      </c>
      <c r="C8" s="54" t="s">
        <v>131</v>
      </c>
      <c r="D8" s="50">
        <v>0.1875</v>
      </c>
      <c r="E8" s="50">
        <v>0.21527777777777779</v>
      </c>
      <c r="F8" s="50">
        <v>0.27083333333333331</v>
      </c>
      <c r="G8" s="50"/>
      <c r="H8" s="50">
        <f t="shared" si="0"/>
        <v>5.5555555555555525E-2</v>
      </c>
    </row>
    <row r="9" spans="1:10" s="4" customFormat="1" x14ac:dyDescent="0.35">
      <c r="A9" s="53" t="s">
        <v>201</v>
      </c>
      <c r="B9" s="54" t="s">
        <v>151</v>
      </c>
      <c r="C9" s="54" t="s">
        <v>132</v>
      </c>
      <c r="D9" s="50">
        <v>0.1875</v>
      </c>
      <c r="E9" s="50">
        <v>0.21875</v>
      </c>
      <c r="F9" s="50">
        <v>0.2361111111111111</v>
      </c>
      <c r="G9" s="50"/>
      <c r="H9" s="50">
        <f t="shared" si="0"/>
        <v>1.7361111111111105E-2</v>
      </c>
      <c r="I9" s="8"/>
      <c r="J9" s="8"/>
    </row>
    <row r="10" spans="1:10" s="4" customFormat="1" x14ac:dyDescent="0.35">
      <c r="A10" s="53" t="s">
        <v>189</v>
      </c>
      <c r="B10" s="54" t="s">
        <v>151</v>
      </c>
      <c r="C10" s="54" t="s">
        <v>132</v>
      </c>
      <c r="D10" s="50">
        <v>0.1875</v>
      </c>
      <c r="E10" s="50">
        <v>0.24652777777777779</v>
      </c>
      <c r="F10" s="50">
        <v>0.27430555555555558</v>
      </c>
      <c r="G10" s="50"/>
      <c r="H10" s="50">
        <f t="shared" si="0"/>
        <v>2.777777777777779E-2</v>
      </c>
      <c r="I10" s="8"/>
      <c r="J10" s="8"/>
    </row>
    <row r="11" spans="1:10" x14ac:dyDescent="0.35">
      <c r="A11" s="53" t="s">
        <v>180</v>
      </c>
      <c r="B11" s="54" t="s">
        <v>156</v>
      </c>
      <c r="C11" s="54" t="s">
        <v>133</v>
      </c>
      <c r="D11" s="50">
        <v>0.23958333333333334</v>
      </c>
      <c r="E11" s="50">
        <v>0.2986111111111111</v>
      </c>
      <c r="F11" s="50">
        <v>0.4548611111111111</v>
      </c>
      <c r="G11" s="50"/>
      <c r="H11" s="50">
        <f t="shared" si="0"/>
        <v>0.15625</v>
      </c>
      <c r="I11" s="8"/>
      <c r="J11" s="8"/>
    </row>
    <row r="12" spans="1:10" x14ac:dyDescent="0.35">
      <c r="A12" s="53" t="s">
        <v>221</v>
      </c>
      <c r="B12" s="54" t="s">
        <v>124</v>
      </c>
      <c r="C12" s="54" t="s">
        <v>134</v>
      </c>
      <c r="D12" s="50">
        <v>0.14930555555555555</v>
      </c>
      <c r="E12" s="50">
        <v>0.18055555555555555</v>
      </c>
      <c r="F12" s="50">
        <v>0.29166666666666669</v>
      </c>
      <c r="G12" s="50"/>
      <c r="H12" s="50">
        <f t="shared" si="0"/>
        <v>0.11111111111111113</v>
      </c>
    </row>
    <row r="13" spans="1:10" x14ac:dyDescent="0.35">
      <c r="A13" s="53" t="s">
        <v>202</v>
      </c>
      <c r="B13" s="54" t="s">
        <v>122</v>
      </c>
      <c r="C13" s="54" t="s">
        <v>131</v>
      </c>
      <c r="D13" s="50">
        <v>0.55555555555555558</v>
      </c>
      <c r="E13" s="50">
        <v>0.59722222222222221</v>
      </c>
      <c r="F13" s="50">
        <v>0.61111111111111116</v>
      </c>
      <c r="G13" s="50"/>
      <c r="H13" s="50">
        <f t="shared" si="0"/>
        <v>1.3888888888888951E-2</v>
      </c>
    </row>
    <row r="14" spans="1:10" x14ac:dyDescent="0.35">
      <c r="A14" s="53" t="s">
        <v>203</v>
      </c>
      <c r="B14" s="54" t="s">
        <v>122</v>
      </c>
      <c r="C14" s="54" t="s">
        <v>131</v>
      </c>
      <c r="D14" s="50">
        <v>0.55555555555555558</v>
      </c>
      <c r="E14" s="50">
        <v>0.61805555555555558</v>
      </c>
      <c r="F14" s="50">
        <v>0.63194444444444442</v>
      </c>
      <c r="G14" s="50"/>
      <c r="H14" s="50">
        <f t="shared" si="0"/>
        <v>1.388888888888884E-2</v>
      </c>
    </row>
    <row r="15" spans="1:10" x14ac:dyDescent="0.35">
      <c r="A15" s="53" t="s">
        <v>222</v>
      </c>
      <c r="B15" s="54" t="s">
        <v>149</v>
      </c>
      <c r="C15" s="54" t="s">
        <v>129</v>
      </c>
      <c r="D15" s="50">
        <v>0.56597222222222221</v>
      </c>
      <c r="E15" s="50">
        <v>0.57986111111111116</v>
      </c>
      <c r="F15" s="50">
        <v>0.59722222222222221</v>
      </c>
      <c r="G15" s="50"/>
      <c r="H15" s="50">
        <f t="shared" si="0"/>
        <v>1.7361111111111049E-2</v>
      </c>
    </row>
    <row r="16" spans="1:10" x14ac:dyDescent="0.35">
      <c r="A16" s="53" t="s">
        <v>223</v>
      </c>
      <c r="B16" s="54" t="s">
        <v>149</v>
      </c>
      <c r="C16" s="54" t="s">
        <v>129</v>
      </c>
      <c r="D16" s="50">
        <v>0.56597222222222221</v>
      </c>
      <c r="E16" s="50">
        <v>0.63194444444444442</v>
      </c>
      <c r="F16" s="50">
        <v>0.63541666666666663</v>
      </c>
      <c r="G16" s="50"/>
      <c r="H16" s="50">
        <f t="shared" si="0"/>
        <v>3.4722222222222099E-3</v>
      </c>
    </row>
    <row r="17" spans="1:11" x14ac:dyDescent="0.35">
      <c r="A17" s="53" t="s">
        <v>180</v>
      </c>
      <c r="B17" s="54" t="s">
        <v>284</v>
      </c>
      <c r="C17" s="54" t="s">
        <v>286</v>
      </c>
      <c r="D17" s="50" t="s">
        <v>275</v>
      </c>
      <c r="E17" s="50" t="s">
        <v>276</v>
      </c>
      <c r="F17" s="50" t="s">
        <v>277</v>
      </c>
      <c r="G17" s="50"/>
      <c r="H17" s="50" t="e">
        <f t="shared" si="0"/>
        <v>#VALUE!</v>
      </c>
    </row>
    <row r="18" spans="1:11" x14ac:dyDescent="0.35">
      <c r="A18" s="53" t="s">
        <v>184</v>
      </c>
      <c r="B18" s="54" t="s">
        <v>164</v>
      </c>
      <c r="C18" s="54" t="s">
        <v>154</v>
      </c>
      <c r="D18" s="50">
        <v>0.47569444444444442</v>
      </c>
      <c r="E18" s="50">
        <v>0.52777777777777779</v>
      </c>
      <c r="F18" s="50">
        <v>0.61111111111111116</v>
      </c>
      <c r="G18" s="50"/>
      <c r="H18" s="50">
        <f t="shared" si="0"/>
        <v>8.333333333333337E-2</v>
      </c>
    </row>
    <row r="19" spans="1:11" x14ac:dyDescent="0.35">
      <c r="A19" s="53" t="s">
        <v>184</v>
      </c>
      <c r="B19" s="54" t="s">
        <v>144</v>
      </c>
      <c r="C19" s="54" t="s">
        <v>138</v>
      </c>
      <c r="D19" s="50">
        <v>0.51736111111111116</v>
      </c>
      <c r="E19" s="50">
        <v>0.54861111111111116</v>
      </c>
      <c r="F19" s="50">
        <v>0.60069444444444442</v>
      </c>
      <c r="G19" s="50"/>
      <c r="H19" s="50">
        <f t="shared" si="0"/>
        <v>5.2083333333333259E-2</v>
      </c>
    </row>
    <row r="20" spans="1:11" x14ac:dyDescent="0.35">
      <c r="A20" s="53" t="s">
        <v>184</v>
      </c>
      <c r="B20" s="54" t="s">
        <v>374</v>
      </c>
      <c r="C20" s="54" t="s">
        <v>373</v>
      </c>
      <c r="D20" s="50">
        <v>0.55208333333333337</v>
      </c>
      <c r="E20" s="50">
        <v>0.59722222222222221</v>
      </c>
      <c r="F20" s="50">
        <v>0.73263888888888884</v>
      </c>
      <c r="G20" s="50"/>
      <c r="H20" s="50">
        <f t="shared" si="0"/>
        <v>0.13541666666666663</v>
      </c>
      <c r="I20" s="6"/>
      <c r="J20" s="5"/>
      <c r="K20" s="5"/>
    </row>
    <row r="21" spans="1:11" x14ac:dyDescent="0.35">
      <c r="A21" s="53" t="s">
        <v>181</v>
      </c>
      <c r="B21" s="54" t="s">
        <v>230</v>
      </c>
      <c r="C21" s="54" t="s">
        <v>225</v>
      </c>
      <c r="D21" s="50" t="s">
        <v>247</v>
      </c>
      <c r="E21" s="50" t="s">
        <v>248</v>
      </c>
      <c r="F21" s="50"/>
      <c r="G21" s="50"/>
      <c r="H21" s="50" t="e">
        <f t="shared" si="0"/>
        <v>#VALUE!</v>
      </c>
      <c r="I21" s="6"/>
      <c r="J21" s="5"/>
      <c r="K21" s="5"/>
    </row>
    <row r="22" spans="1:11" x14ac:dyDescent="0.35">
      <c r="A22" s="53" t="s">
        <v>186</v>
      </c>
      <c r="B22" s="54" t="s">
        <v>156</v>
      </c>
      <c r="C22" s="54" t="s">
        <v>133</v>
      </c>
      <c r="D22" s="50">
        <v>0.65277777777777779</v>
      </c>
      <c r="E22" s="50">
        <v>0.68055555555555558</v>
      </c>
      <c r="F22" s="50">
        <v>0.69097222222222221</v>
      </c>
      <c r="G22" s="50"/>
      <c r="H22" s="50">
        <f t="shared" si="0"/>
        <v>1.041666666666663E-2</v>
      </c>
      <c r="I22" s="6"/>
      <c r="J22" s="5"/>
      <c r="K22" s="5"/>
    </row>
    <row r="23" spans="1:11" x14ac:dyDescent="0.35">
      <c r="A23" s="53" t="s">
        <v>212</v>
      </c>
      <c r="B23" s="54" t="s">
        <v>156</v>
      </c>
      <c r="C23" s="54" t="s">
        <v>133</v>
      </c>
      <c r="D23" s="50">
        <v>0.65277777777777779</v>
      </c>
      <c r="E23" s="50">
        <v>0.69444444444444442</v>
      </c>
      <c r="F23" s="50">
        <v>0.70486111111111116</v>
      </c>
      <c r="G23" s="50"/>
      <c r="H23" s="50">
        <f t="shared" si="0"/>
        <v>1.0416666666666741E-2</v>
      </c>
      <c r="I23" s="6"/>
      <c r="J23" s="5"/>
      <c r="K23" s="5"/>
    </row>
    <row r="24" spans="1:11" x14ac:dyDescent="0.35">
      <c r="A24" s="53" t="s">
        <v>182</v>
      </c>
      <c r="B24" s="54" t="s">
        <v>251</v>
      </c>
      <c r="C24" s="54" t="s">
        <v>249</v>
      </c>
      <c r="D24" s="50">
        <v>0.60069444444444442</v>
      </c>
      <c r="E24" s="50">
        <v>0.63888888888888884</v>
      </c>
      <c r="F24" s="50">
        <v>0.66666666666666663</v>
      </c>
      <c r="G24" s="50"/>
      <c r="H24" s="50">
        <f t="shared" si="0"/>
        <v>2.777777777777779E-2</v>
      </c>
    </row>
    <row r="25" spans="1:11" x14ac:dyDescent="0.35">
      <c r="A25" s="53" t="s">
        <v>176</v>
      </c>
      <c r="B25" s="54" t="s">
        <v>337</v>
      </c>
      <c r="C25" s="54" t="s">
        <v>331</v>
      </c>
      <c r="D25" s="50">
        <v>0.61805555555555558</v>
      </c>
      <c r="E25" s="50">
        <v>0.67361111111111116</v>
      </c>
      <c r="F25" s="50">
        <v>0.69097222222222221</v>
      </c>
      <c r="G25" s="50"/>
      <c r="H25" s="50">
        <f t="shared" si="0"/>
        <v>1.7361111111111049E-2</v>
      </c>
    </row>
    <row r="26" spans="1:11" x14ac:dyDescent="0.35">
      <c r="A26" s="53" t="s">
        <v>174</v>
      </c>
      <c r="B26" s="54" t="s">
        <v>124</v>
      </c>
      <c r="C26" s="54" t="s">
        <v>134</v>
      </c>
      <c r="D26" s="50">
        <v>0.60763888888888884</v>
      </c>
      <c r="E26" s="50">
        <v>0.65625</v>
      </c>
      <c r="F26" s="50">
        <v>0.68402777777777779</v>
      </c>
      <c r="G26" s="50"/>
      <c r="H26" s="50">
        <f t="shared" si="0"/>
        <v>2.777777777777779E-2</v>
      </c>
    </row>
    <row r="27" spans="1:11" x14ac:dyDescent="0.35">
      <c r="A27" s="53" t="s">
        <v>188</v>
      </c>
      <c r="B27" s="54" t="s">
        <v>252</v>
      </c>
      <c r="C27" s="54" t="s">
        <v>250</v>
      </c>
      <c r="D27" s="50">
        <v>0.54861111111111116</v>
      </c>
      <c r="E27" s="50">
        <v>0.60416666666666663</v>
      </c>
      <c r="F27" s="50">
        <v>0.63541666666666663</v>
      </c>
      <c r="G27" s="50"/>
      <c r="H27" s="50">
        <f t="shared" si="0"/>
        <v>3.125E-2</v>
      </c>
    </row>
    <row r="28" spans="1:11" x14ac:dyDescent="0.35">
      <c r="A28" s="53" t="s">
        <v>208</v>
      </c>
      <c r="B28" s="54" t="s">
        <v>165</v>
      </c>
      <c r="C28" s="54" t="s">
        <v>167</v>
      </c>
      <c r="D28" s="50" t="s">
        <v>247</v>
      </c>
      <c r="E28" s="50" t="s">
        <v>248</v>
      </c>
      <c r="F28" s="50"/>
      <c r="G28" s="50"/>
      <c r="H28" s="50" t="e">
        <f t="shared" si="0"/>
        <v>#VALUE!</v>
      </c>
    </row>
    <row r="29" spans="1:11" x14ac:dyDescent="0.35">
      <c r="A29" s="53" t="s">
        <v>209</v>
      </c>
      <c r="B29" s="54" t="s">
        <v>297</v>
      </c>
      <c r="C29" s="54" t="s">
        <v>322</v>
      </c>
      <c r="D29" s="50" t="s">
        <v>247</v>
      </c>
      <c r="E29" s="50" t="s">
        <v>248</v>
      </c>
      <c r="F29" s="50"/>
      <c r="G29" s="50"/>
      <c r="H29" s="50" t="e">
        <f t="shared" si="0"/>
        <v>#VALUE!</v>
      </c>
    </row>
    <row r="30" spans="1:11" x14ac:dyDescent="0.35">
      <c r="A30" s="53" t="s">
        <v>217</v>
      </c>
      <c r="B30" s="54" t="s">
        <v>297</v>
      </c>
      <c r="C30" s="54" t="s">
        <v>322</v>
      </c>
      <c r="D30" s="50" t="s">
        <v>247</v>
      </c>
      <c r="E30" s="50" t="s">
        <v>248</v>
      </c>
      <c r="F30" s="50"/>
      <c r="G30" s="50"/>
      <c r="H30" s="50" t="e">
        <f t="shared" si="0"/>
        <v>#VALUE!</v>
      </c>
    </row>
    <row r="31" spans="1:11" x14ac:dyDescent="0.35">
      <c r="A31" s="53" t="s">
        <v>219</v>
      </c>
      <c r="B31" s="54" t="s">
        <v>151</v>
      </c>
      <c r="C31" s="54" t="s">
        <v>132</v>
      </c>
      <c r="D31" s="50">
        <v>0.69444444444444442</v>
      </c>
      <c r="E31" s="50">
        <v>0.73611111111111116</v>
      </c>
      <c r="F31" s="50">
        <v>0.75694444444444442</v>
      </c>
      <c r="G31" s="50"/>
      <c r="H31" s="50">
        <f t="shared" si="0"/>
        <v>2.0833333333333259E-2</v>
      </c>
    </row>
    <row r="32" spans="1:11" x14ac:dyDescent="0.35">
      <c r="A32" s="53" t="s">
        <v>224</v>
      </c>
      <c r="B32" s="54" t="s">
        <v>151</v>
      </c>
      <c r="C32" s="54" t="s">
        <v>132</v>
      </c>
      <c r="D32" s="50">
        <v>0.69444444444444442</v>
      </c>
      <c r="E32" s="50">
        <v>0.76041666666666663</v>
      </c>
      <c r="F32" s="50">
        <v>0.77777777777777779</v>
      </c>
      <c r="G32" s="50"/>
      <c r="H32" s="50">
        <f t="shared" si="0"/>
        <v>1.736111111111116E-2</v>
      </c>
    </row>
    <row r="33" spans="1:8" x14ac:dyDescent="0.35">
      <c r="A33" s="53" t="s">
        <v>193</v>
      </c>
      <c r="B33" s="54" t="s">
        <v>117</v>
      </c>
      <c r="C33" s="54" t="s">
        <v>126</v>
      </c>
      <c r="D33" s="50">
        <v>0.80902777777777779</v>
      </c>
      <c r="E33" s="50">
        <v>0.84375</v>
      </c>
      <c r="F33" s="50">
        <v>0.875</v>
      </c>
      <c r="G33" s="50"/>
      <c r="H33" s="50">
        <f t="shared" si="0"/>
        <v>3.125E-2</v>
      </c>
    </row>
    <row r="34" spans="1:8" x14ac:dyDescent="0.35">
      <c r="A34" s="53" t="s">
        <v>178</v>
      </c>
      <c r="B34" s="54" t="s">
        <v>146</v>
      </c>
      <c r="C34" s="54" t="s">
        <v>140</v>
      </c>
      <c r="D34" s="50">
        <v>0.72916666666666663</v>
      </c>
      <c r="E34" s="50">
        <v>0.83333333333333337</v>
      </c>
      <c r="F34" s="50">
        <v>0.85416666666666663</v>
      </c>
      <c r="G34" s="50"/>
      <c r="H34" s="50">
        <f t="shared" si="0"/>
        <v>2.0833333333333259E-2</v>
      </c>
    </row>
    <row r="35" spans="1:8" x14ac:dyDescent="0.35">
      <c r="A35" s="53" t="s">
        <v>194</v>
      </c>
      <c r="B35" s="54" t="s">
        <v>146</v>
      </c>
      <c r="C35" s="54" t="s">
        <v>140</v>
      </c>
      <c r="D35" s="50">
        <v>0.72916666666666663</v>
      </c>
      <c r="E35" s="50">
        <v>0.77430555555555558</v>
      </c>
      <c r="F35" s="50">
        <v>0.81944444444444442</v>
      </c>
      <c r="G35" s="50"/>
      <c r="H35" s="50">
        <f t="shared" si="0"/>
        <v>4.513888888888884E-2</v>
      </c>
    </row>
    <row r="36" spans="1:8" x14ac:dyDescent="0.35">
      <c r="A36" s="53" t="s">
        <v>199</v>
      </c>
      <c r="B36" s="54" t="s">
        <v>125</v>
      </c>
      <c r="C36" s="54" t="s">
        <v>258</v>
      </c>
      <c r="D36" s="50" t="s">
        <v>247</v>
      </c>
      <c r="E36" s="50" t="s">
        <v>248</v>
      </c>
      <c r="F36" s="50"/>
      <c r="G36" s="50"/>
      <c r="H36" s="50" t="e">
        <f t="shared" si="0"/>
        <v>#VALUE!</v>
      </c>
    </row>
    <row r="37" spans="1:8" x14ac:dyDescent="0.35">
      <c r="A37" s="53" t="s">
        <v>196</v>
      </c>
      <c r="B37" s="54" t="s">
        <v>125</v>
      </c>
      <c r="C37" s="54" t="s">
        <v>258</v>
      </c>
      <c r="D37" s="50" t="s">
        <v>247</v>
      </c>
      <c r="E37" s="50" t="s">
        <v>248</v>
      </c>
      <c r="F37" s="50"/>
      <c r="G37" s="50"/>
      <c r="H37" s="50" t="e">
        <f t="shared" si="0"/>
        <v>#VALUE!</v>
      </c>
    </row>
    <row r="38" spans="1:8" x14ac:dyDescent="0.35">
      <c r="A38" s="53" t="s">
        <v>179</v>
      </c>
      <c r="B38" s="54" t="s">
        <v>157</v>
      </c>
      <c r="C38" s="54" t="s">
        <v>158</v>
      </c>
      <c r="D38" s="50">
        <v>0.71527777777777779</v>
      </c>
      <c r="E38" s="50">
        <v>0.8125</v>
      </c>
      <c r="F38" s="50">
        <v>0.82638888888888884</v>
      </c>
      <c r="G38" s="50"/>
      <c r="H38" s="50">
        <f t="shared" si="0"/>
        <v>1.388888888888884E-2</v>
      </c>
    </row>
    <row r="39" spans="1:8" x14ac:dyDescent="0.35">
      <c r="A39" s="53" t="s">
        <v>205</v>
      </c>
      <c r="B39" s="54" t="s">
        <v>157</v>
      </c>
      <c r="C39" s="54" t="s">
        <v>158</v>
      </c>
      <c r="D39" s="50">
        <v>0.71527777777777779</v>
      </c>
      <c r="E39" s="50">
        <v>0.78472222222222221</v>
      </c>
      <c r="F39" s="50">
        <v>0.80208333333333337</v>
      </c>
      <c r="G39" s="50"/>
      <c r="H39" s="50">
        <f t="shared" si="0"/>
        <v>1.736111111111116E-2</v>
      </c>
    </row>
    <row r="40" spans="1:8" x14ac:dyDescent="0.35">
      <c r="A40" s="53" t="s">
        <v>191</v>
      </c>
      <c r="B40" s="54" t="s">
        <v>169</v>
      </c>
      <c r="C40" s="54" t="s">
        <v>170</v>
      </c>
      <c r="D40" s="50">
        <v>0.51041666666666663</v>
      </c>
      <c r="E40" s="50">
        <v>0.56597222222222221</v>
      </c>
      <c r="F40" s="50">
        <v>0.58333333333333337</v>
      </c>
      <c r="G40" s="50"/>
      <c r="H40" s="50">
        <f t="shared" si="0"/>
        <v>1.736111111111116E-2</v>
      </c>
    </row>
    <row r="41" spans="1:8" x14ac:dyDescent="0.35">
      <c r="A41" s="53" t="s">
        <v>197</v>
      </c>
      <c r="B41" s="54" t="s">
        <v>150</v>
      </c>
      <c r="C41" s="54" t="s">
        <v>139</v>
      </c>
      <c r="D41" s="50">
        <v>0.74305555555555558</v>
      </c>
      <c r="E41" s="50">
        <v>0.79861111111111116</v>
      </c>
      <c r="F41" s="50">
        <v>0.82291666666666663</v>
      </c>
      <c r="G41" s="50"/>
      <c r="H41" s="50">
        <f t="shared" si="0"/>
        <v>2.4305555555555469E-2</v>
      </c>
    </row>
    <row r="42" spans="1:8" x14ac:dyDescent="0.35">
      <c r="A42" s="53" t="s">
        <v>218</v>
      </c>
      <c r="B42" s="54" t="s">
        <v>150</v>
      </c>
      <c r="C42" s="54" t="s">
        <v>139</v>
      </c>
      <c r="D42" s="50">
        <v>0.74305555555555558</v>
      </c>
      <c r="E42" s="50">
        <v>0.82638888888888884</v>
      </c>
      <c r="F42" s="50">
        <v>0.83680555555555558</v>
      </c>
      <c r="G42" s="50"/>
      <c r="H42" s="50">
        <f t="shared" si="0"/>
        <v>1.0416666666666741E-2</v>
      </c>
    </row>
    <row r="43" spans="1:8" x14ac:dyDescent="0.35">
      <c r="A43" s="53" t="s">
        <v>183</v>
      </c>
      <c r="B43" s="54" t="s">
        <v>254</v>
      </c>
      <c r="C43" s="54" t="s">
        <v>260</v>
      </c>
      <c r="D43" s="54" t="s">
        <v>375</v>
      </c>
      <c r="E43" s="54" t="s">
        <v>376</v>
      </c>
      <c r="F43" s="50">
        <v>0.8125</v>
      </c>
      <c r="G43" s="50"/>
      <c r="H43" s="50">
        <f t="shared" si="0"/>
        <v>3.125E-2</v>
      </c>
    </row>
    <row r="44" spans="1:8" x14ac:dyDescent="0.35">
      <c r="A44" s="53" t="s">
        <v>223</v>
      </c>
      <c r="B44" s="54" t="s">
        <v>267</v>
      </c>
      <c r="C44" s="54" t="s">
        <v>269</v>
      </c>
      <c r="D44" s="50">
        <v>0.72916666666666663</v>
      </c>
      <c r="E44" s="50">
        <v>0.78819444444444442</v>
      </c>
      <c r="F44" s="50">
        <v>0.8125</v>
      </c>
      <c r="G44" s="50"/>
      <c r="H44" s="50">
        <f t="shared" si="0"/>
        <v>2.430555555555558E-2</v>
      </c>
    </row>
    <row r="45" spans="1:8" x14ac:dyDescent="0.35">
      <c r="A45" s="53" t="s">
        <v>214</v>
      </c>
      <c r="B45" s="54" t="s">
        <v>148</v>
      </c>
      <c r="C45" s="54" t="s">
        <v>141</v>
      </c>
      <c r="D45" s="50">
        <v>0.62847222222222221</v>
      </c>
      <c r="E45" s="50">
        <v>0.67361111111111116</v>
      </c>
      <c r="F45" s="50">
        <v>0.70486111111111116</v>
      </c>
      <c r="G45" s="50"/>
      <c r="H45" s="50">
        <f t="shared" si="0"/>
        <v>3.125E-2</v>
      </c>
    </row>
    <row r="46" spans="1:8" x14ac:dyDescent="0.35">
      <c r="A46" s="53" t="s">
        <v>206</v>
      </c>
      <c r="B46" s="54" t="s">
        <v>160</v>
      </c>
      <c r="C46" s="54" t="s">
        <v>159</v>
      </c>
      <c r="D46" s="50">
        <v>0.72916666666666663</v>
      </c>
      <c r="E46" s="50">
        <v>0.82291666666666663</v>
      </c>
      <c r="F46" s="50">
        <v>0.84027777777777779</v>
      </c>
      <c r="G46" s="50"/>
      <c r="H46" s="50">
        <f t="shared" si="0"/>
        <v>1.736111111111116E-2</v>
      </c>
    </row>
    <row r="47" spans="1:8" x14ac:dyDescent="0.35">
      <c r="A47" s="53" t="s">
        <v>216</v>
      </c>
      <c r="B47" s="54" t="s">
        <v>160</v>
      </c>
      <c r="C47" s="54" t="s">
        <v>159</v>
      </c>
      <c r="D47" s="50">
        <v>0.72916666666666663</v>
      </c>
      <c r="E47" s="50">
        <v>0.78472222222222221</v>
      </c>
      <c r="F47" s="50">
        <v>0.80555555555555558</v>
      </c>
      <c r="G47" s="50"/>
      <c r="H47" s="50">
        <f t="shared" si="0"/>
        <v>2.083333333333337E-2</v>
      </c>
    </row>
    <row r="48" spans="1:8" x14ac:dyDescent="0.35">
      <c r="A48" s="53" t="s">
        <v>222</v>
      </c>
      <c r="B48" s="54" t="s">
        <v>162</v>
      </c>
      <c r="C48" s="54" t="s">
        <v>161</v>
      </c>
      <c r="D48" s="50">
        <v>0.73611111111111116</v>
      </c>
      <c r="E48" s="50">
        <v>0.74652777777777779</v>
      </c>
      <c r="F48" s="50">
        <v>0.77430555555555558</v>
      </c>
      <c r="G48" s="50"/>
      <c r="H48" s="50">
        <f t="shared" si="0"/>
        <v>2.777777777777779E-2</v>
      </c>
    </row>
    <row r="49" spans="1:8" x14ac:dyDescent="0.35">
      <c r="A49" s="53" t="s">
        <v>200</v>
      </c>
      <c r="B49" s="54" t="s">
        <v>162</v>
      </c>
      <c r="C49" s="54" t="s">
        <v>161</v>
      </c>
      <c r="D49" s="50">
        <v>0.73611111111111116</v>
      </c>
      <c r="E49" s="50">
        <v>0.8125</v>
      </c>
      <c r="F49" s="50">
        <v>0.82638888888888884</v>
      </c>
      <c r="G49" s="50"/>
      <c r="H49" s="50">
        <f t="shared" si="0"/>
        <v>1.388888888888884E-2</v>
      </c>
    </row>
    <row r="50" spans="1:8" x14ac:dyDescent="0.35">
      <c r="A50" s="53" t="s">
        <v>185</v>
      </c>
      <c r="B50" s="54" t="s">
        <v>257</v>
      </c>
      <c r="C50" s="54" t="s">
        <v>263</v>
      </c>
      <c r="D50" s="50" t="s">
        <v>247</v>
      </c>
      <c r="E50" s="50" t="s">
        <v>248</v>
      </c>
      <c r="F50" s="50"/>
      <c r="G50" s="50"/>
      <c r="H50" s="50" t="e">
        <f t="shared" si="0"/>
        <v>#VALUE!</v>
      </c>
    </row>
    <row r="51" spans="1:8" x14ac:dyDescent="0.35">
      <c r="A51" s="53" t="s">
        <v>220</v>
      </c>
      <c r="B51" s="54" t="s">
        <v>257</v>
      </c>
      <c r="C51" s="54" t="s">
        <v>263</v>
      </c>
      <c r="D51" s="50" t="s">
        <v>247</v>
      </c>
      <c r="E51" s="50" t="s">
        <v>248</v>
      </c>
      <c r="F51" s="50"/>
      <c r="G51" s="50"/>
      <c r="H51" s="50" t="e">
        <f t="shared" si="0"/>
        <v>#VALUE!</v>
      </c>
    </row>
    <row r="52" spans="1:8" x14ac:dyDescent="0.35">
      <c r="A52" s="53"/>
      <c r="B52" s="54"/>
      <c r="C52" s="54"/>
      <c r="D52" s="50"/>
      <c r="E52" s="50"/>
      <c r="F52" s="50"/>
      <c r="G52" s="50"/>
      <c r="H52" s="50">
        <f t="shared" si="0"/>
        <v>0</v>
      </c>
    </row>
    <row r="53" spans="1:8" x14ac:dyDescent="0.35">
      <c r="A53" s="53"/>
      <c r="B53" s="54"/>
      <c r="C53" s="54"/>
      <c r="D53" s="50"/>
      <c r="E53" s="50"/>
      <c r="F53" s="50"/>
      <c r="G53" s="50"/>
      <c r="H53" s="50">
        <f t="shared" si="0"/>
        <v>0</v>
      </c>
    </row>
    <row r="54" spans="1:8" x14ac:dyDescent="0.35">
      <c r="A54" s="53"/>
      <c r="B54" s="54"/>
      <c r="C54" s="54"/>
      <c r="D54" s="50"/>
      <c r="E54" s="50"/>
      <c r="F54" s="50"/>
      <c r="G54" s="50"/>
      <c r="H54" s="50">
        <f t="shared" si="0"/>
        <v>0</v>
      </c>
    </row>
    <row r="55" spans="1:8" x14ac:dyDescent="0.35">
      <c r="A55" s="53"/>
      <c r="B55" s="54"/>
      <c r="C55" s="54"/>
      <c r="D55" s="50"/>
      <c r="E55" s="50"/>
      <c r="F55" s="50"/>
      <c r="G55" s="50"/>
      <c r="H55" s="50">
        <f t="shared" si="0"/>
        <v>0</v>
      </c>
    </row>
    <row r="56" spans="1:8" x14ac:dyDescent="0.35">
      <c r="A56" s="53"/>
      <c r="B56" s="54"/>
      <c r="C56" s="54"/>
      <c r="D56" s="50"/>
      <c r="E56" s="50"/>
      <c r="F56" s="50"/>
      <c r="G56" s="50"/>
      <c r="H56" s="50">
        <f t="shared" si="0"/>
        <v>0</v>
      </c>
    </row>
    <row r="57" spans="1:8" x14ac:dyDescent="0.35">
      <c r="A57" s="53"/>
      <c r="B57" s="54"/>
      <c r="C57" s="54"/>
      <c r="D57" s="50"/>
      <c r="E57" s="50"/>
      <c r="F57" s="50"/>
      <c r="G57" s="50"/>
      <c r="H57" s="50">
        <f t="shared" si="0"/>
        <v>0</v>
      </c>
    </row>
    <row r="58" spans="1:8" x14ac:dyDescent="0.35">
      <c r="A58" s="53"/>
      <c r="B58" s="54"/>
      <c r="C58" s="54"/>
      <c r="D58" s="50"/>
      <c r="E58" s="50"/>
      <c r="F58" s="50"/>
      <c r="G58" s="50"/>
      <c r="H58" s="50">
        <f t="shared" si="0"/>
        <v>0</v>
      </c>
    </row>
    <row r="59" spans="1:8" x14ac:dyDescent="0.35">
      <c r="A59" s="53"/>
      <c r="B59" s="54"/>
      <c r="C59" s="54"/>
      <c r="D59" s="50"/>
      <c r="E59" s="50"/>
      <c r="F59" s="50"/>
      <c r="G59" s="50"/>
      <c r="H59" s="50">
        <f t="shared" si="0"/>
        <v>0</v>
      </c>
    </row>
    <row r="60" spans="1:8" x14ac:dyDescent="0.35">
      <c r="A60" s="53"/>
      <c r="B60" s="54"/>
      <c r="C60" s="54"/>
      <c r="D60" s="50"/>
      <c r="E60" s="50"/>
      <c r="F60" s="50"/>
      <c r="G60" s="50"/>
      <c r="H60" s="50">
        <f t="shared" si="0"/>
        <v>0</v>
      </c>
    </row>
    <row r="61" spans="1:8" x14ac:dyDescent="0.35">
      <c r="A61" s="53"/>
      <c r="B61" s="54"/>
      <c r="C61" s="54"/>
      <c r="D61" s="50"/>
      <c r="E61" s="50"/>
      <c r="F61" s="50"/>
      <c r="G61" s="50"/>
      <c r="H61" s="50">
        <f t="shared" si="0"/>
        <v>0</v>
      </c>
    </row>
    <row r="62" spans="1:8" x14ac:dyDescent="0.35">
      <c r="A62" s="53"/>
      <c r="B62" s="54"/>
      <c r="C62" s="54"/>
      <c r="D62" s="50"/>
      <c r="E62" s="50"/>
      <c r="F62" s="50"/>
      <c r="G62" s="50"/>
      <c r="H62" s="50">
        <f t="shared" si="0"/>
        <v>0</v>
      </c>
    </row>
    <row r="63" spans="1:8" x14ac:dyDescent="0.35">
      <c r="A63" s="53"/>
      <c r="B63" s="54"/>
      <c r="C63" s="54"/>
      <c r="D63" s="50"/>
      <c r="E63" s="50"/>
      <c r="F63" s="50"/>
      <c r="G63" s="50"/>
      <c r="H63" s="50">
        <f t="shared" si="0"/>
        <v>0</v>
      </c>
    </row>
    <row r="64" spans="1:8" x14ac:dyDescent="0.35">
      <c r="A64" s="53"/>
      <c r="B64" s="54"/>
      <c r="C64" s="54"/>
      <c r="D64" s="50"/>
      <c r="E64" s="50"/>
      <c r="F64" s="50"/>
      <c r="G64" s="50"/>
      <c r="H64" s="50">
        <f t="shared" si="0"/>
        <v>0</v>
      </c>
    </row>
    <row r="65" spans="1:8" x14ac:dyDescent="0.35">
      <c r="A65" s="53"/>
      <c r="B65" s="54"/>
      <c r="C65" s="54"/>
      <c r="D65" s="50"/>
      <c r="E65" s="50"/>
      <c r="F65" s="50"/>
      <c r="G65" s="50"/>
      <c r="H65" s="50">
        <f t="shared" si="0"/>
        <v>0</v>
      </c>
    </row>
    <row r="66" spans="1:8" x14ac:dyDescent="0.35">
      <c r="A66" s="53"/>
      <c r="B66" s="54"/>
      <c r="C66" s="54"/>
      <c r="D66" s="50"/>
      <c r="E66" s="50"/>
      <c r="F66" s="50"/>
      <c r="G66" s="50"/>
      <c r="H66" s="50">
        <f t="shared" ref="H66:H68" si="1">MOD(F66-E66, 1)</f>
        <v>0</v>
      </c>
    </row>
    <row r="67" spans="1:8" x14ac:dyDescent="0.35">
      <c r="A67" s="53"/>
      <c r="B67" s="54"/>
      <c r="C67" s="54"/>
      <c r="D67" s="50"/>
      <c r="E67" s="50"/>
      <c r="F67" s="50"/>
      <c r="G67" s="50"/>
      <c r="H67" s="50">
        <f t="shared" si="1"/>
        <v>0</v>
      </c>
    </row>
    <row r="68" spans="1:8" x14ac:dyDescent="0.35">
      <c r="A68" s="53"/>
      <c r="B68" s="54"/>
      <c r="C68" s="54"/>
      <c r="D68" s="50"/>
      <c r="E68" s="50"/>
      <c r="F68" s="50"/>
      <c r="G68" s="50"/>
      <c r="H68" s="50">
        <f t="shared" si="1"/>
        <v>0</v>
      </c>
    </row>
  </sheetData>
  <autoFilter ref="A2:F37" xr:uid="{00000000-0001-0000-0000-000000000000}">
    <sortState xmlns:xlrd2="http://schemas.microsoft.com/office/spreadsheetml/2017/richdata2" ref="A3:F17">
      <sortCondition ref="A2"/>
    </sortState>
  </autoFilter>
  <conditionalFormatting sqref="H3:H411">
    <cfRule type="cellIs" dxfId="9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E5290-B64F-49F3-BAD6-A55BD22F2DFB}">
  <sheetPr>
    <pageSetUpPr fitToPage="1"/>
  </sheetPr>
  <dimension ref="A1:K69"/>
  <sheetViews>
    <sheetView showGridLines="0" zoomScale="55" zoomScaleNormal="55" workbookViewId="0">
      <pane ySplit="2" topLeftCell="A3" activePane="bottomLeft" state="frozen"/>
      <selection pane="bottomLeft" activeCell="F9" sqref="F9"/>
    </sheetView>
  </sheetViews>
  <sheetFormatPr defaultColWidth="9" defaultRowHeight="23.25" x14ac:dyDescent="0.35"/>
  <cols>
    <col min="1" max="1" width="41.7109375" style="29" bestFit="1" customWidth="1"/>
    <col min="2" max="2" width="39.42578125" style="7" bestFit="1" customWidth="1"/>
    <col min="3" max="3" width="19.140625" style="6" bestFit="1" customWidth="1"/>
    <col min="4" max="4" width="22.7109375" style="5" bestFit="1" customWidth="1"/>
    <col min="5" max="5" width="25.28515625" style="5" bestFit="1" customWidth="1"/>
    <col min="6" max="6" width="27.42578125" style="3" bestFit="1" customWidth="1"/>
    <col min="7" max="7" width="0.28515625" style="1" customWidth="1"/>
    <col min="8" max="8" width="24.85546875" style="28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39" t="s">
        <v>4</v>
      </c>
      <c r="B1" s="40"/>
      <c r="C1" s="41"/>
      <c r="D1" s="42"/>
      <c r="E1" s="42"/>
      <c r="F1" s="43"/>
      <c r="G1" s="44"/>
      <c r="H1" s="51"/>
    </row>
    <row r="2" spans="1:10" s="2" customFormat="1" x14ac:dyDescent="0.35">
      <c r="A2" s="45" t="s">
        <v>0</v>
      </c>
      <c r="B2" s="45" t="s">
        <v>1</v>
      </c>
      <c r="C2" s="45" t="s">
        <v>2</v>
      </c>
      <c r="D2" s="46" t="s">
        <v>3</v>
      </c>
      <c r="E2" s="46" t="s">
        <v>236</v>
      </c>
      <c r="F2" s="45" t="s">
        <v>5</v>
      </c>
      <c r="G2" s="47"/>
      <c r="H2" s="48" t="s">
        <v>274</v>
      </c>
    </row>
    <row r="3" spans="1:10" x14ac:dyDescent="0.35">
      <c r="A3" s="53" t="s">
        <v>210</v>
      </c>
      <c r="B3" s="54" t="s">
        <v>123</v>
      </c>
      <c r="C3" s="54" t="s">
        <v>133</v>
      </c>
      <c r="D3" s="50">
        <v>0.21527777777777779</v>
      </c>
      <c r="E3" s="50">
        <v>0.24652777777777779</v>
      </c>
      <c r="F3" s="50">
        <v>0.2986111111111111</v>
      </c>
      <c r="G3" s="50"/>
      <c r="H3" s="50">
        <f t="shared" ref="H3:H66" si="0">MOD(F3-E3, 1)</f>
        <v>5.2083333333333315E-2</v>
      </c>
    </row>
    <row r="4" spans="1:10" s="4" customFormat="1" x14ac:dyDescent="0.35">
      <c r="A4" s="53" t="s">
        <v>207</v>
      </c>
      <c r="B4" s="54" t="s">
        <v>123</v>
      </c>
      <c r="C4" s="54" t="s">
        <v>133</v>
      </c>
      <c r="D4" s="50">
        <v>0.21527777777777779</v>
      </c>
      <c r="E4" s="50">
        <v>0.30902777777777779</v>
      </c>
      <c r="F4" s="50">
        <v>0.33333333333333331</v>
      </c>
      <c r="G4" s="50"/>
      <c r="H4" s="50">
        <f t="shared" si="0"/>
        <v>2.4305555555555525E-2</v>
      </c>
    </row>
    <row r="5" spans="1:10" s="4" customFormat="1" x14ac:dyDescent="0.35">
      <c r="A5" s="53" t="s">
        <v>204</v>
      </c>
      <c r="B5" s="54" t="s">
        <v>119</v>
      </c>
      <c r="C5" s="54" t="s">
        <v>128</v>
      </c>
      <c r="D5" s="50">
        <v>0.17708333333333334</v>
      </c>
      <c r="E5" s="50">
        <v>0.2048611111111111</v>
      </c>
      <c r="F5" s="50">
        <v>0.22569444444444445</v>
      </c>
      <c r="G5" s="50"/>
      <c r="H5" s="50">
        <f t="shared" si="0"/>
        <v>2.0833333333333343E-2</v>
      </c>
    </row>
    <row r="6" spans="1:10" x14ac:dyDescent="0.35">
      <c r="A6" s="53" t="s">
        <v>195</v>
      </c>
      <c r="B6" s="54" t="s">
        <v>117</v>
      </c>
      <c r="C6" s="54" t="s">
        <v>126</v>
      </c>
      <c r="D6" s="50">
        <v>0.19791666666666666</v>
      </c>
      <c r="E6" s="50">
        <v>0.22222222222222221</v>
      </c>
      <c r="F6" s="50">
        <v>0.30208333333333331</v>
      </c>
      <c r="G6" s="50"/>
      <c r="H6" s="50">
        <f t="shared" si="0"/>
        <v>7.9861111111111105E-2</v>
      </c>
    </row>
    <row r="7" spans="1:10" x14ac:dyDescent="0.35">
      <c r="A7" s="53" t="s">
        <v>177</v>
      </c>
      <c r="B7" s="54" t="s">
        <v>121</v>
      </c>
      <c r="C7" s="54" t="s">
        <v>130</v>
      </c>
      <c r="D7" s="50">
        <v>0.19097222222222221</v>
      </c>
      <c r="E7" s="50">
        <v>0.21875</v>
      </c>
      <c r="F7" s="50">
        <v>0.3888888888888889</v>
      </c>
      <c r="G7" s="50"/>
      <c r="H7" s="50">
        <f t="shared" si="0"/>
        <v>0.1701388888888889</v>
      </c>
    </row>
    <row r="8" spans="1:10" x14ac:dyDescent="0.35">
      <c r="A8" s="53" t="s">
        <v>192</v>
      </c>
      <c r="B8" s="54" t="s">
        <v>122</v>
      </c>
      <c r="C8" s="54" t="s">
        <v>131</v>
      </c>
      <c r="D8" s="50">
        <v>0.19791666666666666</v>
      </c>
      <c r="E8" s="50">
        <v>0.22916666666666666</v>
      </c>
      <c r="F8" s="50">
        <v>0.27430555555555558</v>
      </c>
      <c r="G8" s="50"/>
      <c r="H8" s="50">
        <f t="shared" si="0"/>
        <v>4.5138888888888923E-2</v>
      </c>
    </row>
    <row r="9" spans="1:10" s="4" customFormat="1" x14ac:dyDescent="0.35">
      <c r="A9" s="53" t="s">
        <v>201</v>
      </c>
      <c r="B9" s="54" t="s">
        <v>148</v>
      </c>
      <c r="C9" s="54" t="s">
        <v>141</v>
      </c>
      <c r="D9" s="50">
        <v>0.19791666666666666</v>
      </c>
      <c r="E9" s="50">
        <v>0.2361111111111111</v>
      </c>
      <c r="F9" s="50">
        <v>0.24652777777777779</v>
      </c>
      <c r="G9" s="50"/>
      <c r="H9" s="50">
        <f t="shared" si="0"/>
        <v>1.0416666666666685E-2</v>
      </c>
      <c r="I9" s="8"/>
      <c r="J9" s="8"/>
    </row>
    <row r="10" spans="1:10" s="4" customFormat="1" x14ac:dyDescent="0.35">
      <c r="A10" s="53" t="s">
        <v>189</v>
      </c>
      <c r="B10" s="54" t="s">
        <v>148</v>
      </c>
      <c r="C10" s="54" t="s">
        <v>141</v>
      </c>
      <c r="D10" s="50">
        <v>0.19791666666666666</v>
      </c>
      <c r="E10" s="50">
        <v>0.25</v>
      </c>
      <c r="F10" s="50">
        <v>0.27083333333333331</v>
      </c>
      <c r="G10" s="50"/>
      <c r="H10" s="50">
        <f t="shared" si="0"/>
        <v>2.0833333333333315E-2</v>
      </c>
      <c r="I10" s="8"/>
      <c r="J10" s="8"/>
    </row>
    <row r="11" spans="1:10" x14ac:dyDescent="0.35">
      <c r="A11" s="53" t="s">
        <v>180</v>
      </c>
      <c r="B11" s="54" t="s">
        <v>252</v>
      </c>
      <c r="C11" s="54" t="s">
        <v>250</v>
      </c>
      <c r="D11" s="50">
        <v>0.16319444444444445</v>
      </c>
      <c r="E11" s="50">
        <v>0.2048611111111111</v>
      </c>
      <c r="F11" s="50">
        <v>0.4375</v>
      </c>
      <c r="G11" s="50"/>
      <c r="H11" s="50">
        <f t="shared" si="0"/>
        <v>0.2326388888888889</v>
      </c>
      <c r="I11" s="8"/>
      <c r="J11" s="8"/>
    </row>
    <row r="12" spans="1:10" x14ac:dyDescent="0.35">
      <c r="A12" s="53" t="s">
        <v>221</v>
      </c>
      <c r="B12" s="54" t="s">
        <v>152</v>
      </c>
      <c r="C12" s="54" t="s">
        <v>134</v>
      </c>
      <c r="D12" s="50">
        <v>0.14930555555555555</v>
      </c>
      <c r="E12" s="50">
        <v>0.17708333333333334</v>
      </c>
      <c r="F12" s="50">
        <v>0.29166666666666669</v>
      </c>
      <c r="G12" s="50"/>
      <c r="H12" s="50">
        <f t="shared" si="0"/>
        <v>0.11458333333333334</v>
      </c>
    </row>
    <row r="13" spans="1:10" x14ac:dyDescent="0.35">
      <c r="A13" s="53" t="s">
        <v>187</v>
      </c>
      <c r="B13" s="54" t="s">
        <v>272</v>
      </c>
      <c r="C13" s="54" t="s">
        <v>163</v>
      </c>
      <c r="D13" s="50" t="s">
        <v>247</v>
      </c>
      <c r="E13" s="50" t="s">
        <v>248</v>
      </c>
      <c r="F13" s="50"/>
      <c r="G13" s="50"/>
      <c r="H13" s="50">
        <v>0</v>
      </c>
    </row>
    <row r="14" spans="1:10" x14ac:dyDescent="0.35">
      <c r="A14" s="53" t="s">
        <v>202</v>
      </c>
      <c r="B14" s="54" t="s">
        <v>122</v>
      </c>
      <c r="C14" s="54" t="s">
        <v>131</v>
      </c>
      <c r="D14" s="50">
        <v>0.57291666666666663</v>
      </c>
      <c r="E14" s="50">
        <v>0.61805555555555558</v>
      </c>
      <c r="F14" s="50">
        <v>0.62847222222222221</v>
      </c>
      <c r="G14" s="50"/>
      <c r="H14" s="50">
        <f t="shared" si="0"/>
        <v>1.041666666666663E-2</v>
      </c>
    </row>
    <row r="15" spans="1:10" x14ac:dyDescent="0.35">
      <c r="A15" s="53" t="s">
        <v>203</v>
      </c>
      <c r="B15" s="54" t="s">
        <v>122</v>
      </c>
      <c r="C15" s="54" t="s">
        <v>131</v>
      </c>
      <c r="D15" s="50">
        <v>0.57291666666666663</v>
      </c>
      <c r="E15" s="50">
        <v>0.63541666666666663</v>
      </c>
      <c r="F15" s="50">
        <v>0.64930555555555558</v>
      </c>
      <c r="G15" s="50"/>
      <c r="H15" s="50">
        <f t="shared" si="0"/>
        <v>1.3888888888888951E-2</v>
      </c>
    </row>
    <row r="16" spans="1:10" x14ac:dyDescent="0.35">
      <c r="A16" s="53" t="s">
        <v>222</v>
      </c>
      <c r="B16" s="54" t="s">
        <v>164</v>
      </c>
      <c r="C16" s="54" t="s">
        <v>154</v>
      </c>
      <c r="D16" s="50">
        <v>0.47916666666666669</v>
      </c>
      <c r="E16" s="50">
        <v>0.49652777777777779</v>
      </c>
      <c r="F16" s="50">
        <v>0.53472222222222221</v>
      </c>
      <c r="G16" s="50"/>
      <c r="H16" s="50">
        <f t="shared" si="0"/>
        <v>3.819444444444442E-2</v>
      </c>
    </row>
    <row r="17" spans="1:11" x14ac:dyDescent="0.35">
      <c r="A17" s="53" t="s">
        <v>223</v>
      </c>
      <c r="B17" s="54" t="s">
        <v>164</v>
      </c>
      <c r="C17" s="54" t="s">
        <v>154</v>
      </c>
      <c r="D17" s="50">
        <v>0.47916666666666669</v>
      </c>
      <c r="E17" s="50">
        <v>0.56944444444444442</v>
      </c>
      <c r="F17" s="50">
        <v>0.58333333333333337</v>
      </c>
      <c r="G17" s="50"/>
      <c r="H17" s="50">
        <f t="shared" si="0"/>
        <v>1.3888888888888951E-2</v>
      </c>
    </row>
    <row r="18" spans="1:11" x14ac:dyDescent="0.35">
      <c r="A18" s="53" t="s">
        <v>180</v>
      </c>
      <c r="B18" s="54" t="s">
        <v>284</v>
      </c>
      <c r="C18" s="54" t="s">
        <v>286</v>
      </c>
      <c r="D18" s="50">
        <v>0.5</v>
      </c>
      <c r="E18" s="50">
        <v>0.54861111111111116</v>
      </c>
      <c r="F18" s="50">
        <v>0.59027777777777779</v>
      </c>
      <c r="G18" s="50"/>
      <c r="H18" s="50">
        <f t="shared" si="0"/>
        <v>4.166666666666663E-2</v>
      </c>
    </row>
    <row r="19" spans="1:11" x14ac:dyDescent="0.35">
      <c r="A19" s="53" t="s">
        <v>184</v>
      </c>
      <c r="B19" s="54" t="s">
        <v>251</v>
      </c>
      <c r="C19" s="54" t="s">
        <v>249</v>
      </c>
      <c r="D19" s="50">
        <v>0.54513888888888884</v>
      </c>
      <c r="E19" s="50">
        <v>0.60416666666666663</v>
      </c>
      <c r="F19" s="50">
        <v>0.68402777777777779</v>
      </c>
      <c r="G19" s="50"/>
      <c r="H19" s="50">
        <f t="shared" si="0"/>
        <v>7.986111111111116E-2</v>
      </c>
    </row>
    <row r="20" spans="1:11" x14ac:dyDescent="0.35">
      <c r="A20" s="53" t="s">
        <v>184</v>
      </c>
      <c r="B20" s="54" t="s">
        <v>144</v>
      </c>
      <c r="C20" s="54" t="s">
        <v>138</v>
      </c>
      <c r="D20" s="50">
        <v>0.51041666666666663</v>
      </c>
      <c r="E20" s="50">
        <v>0.54861111111111116</v>
      </c>
      <c r="F20" s="50">
        <v>0.60416666666666663</v>
      </c>
      <c r="G20" s="50"/>
      <c r="H20" s="50">
        <f t="shared" si="0"/>
        <v>5.5555555555555469E-2</v>
      </c>
    </row>
    <row r="21" spans="1:11" x14ac:dyDescent="0.35">
      <c r="A21" s="53" t="s">
        <v>181</v>
      </c>
      <c r="B21" s="54" t="s">
        <v>151</v>
      </c>
      <c r="C21" s="54" t="s">
        <v>132</v>
      </c>
      <c r="D21" s="50">
        <v>0.61805555555555558</v>
      </c>
      <c r="E21" s="50">
        <v>0.66319444444444442</v>
      </c>
      <c r="F21" s="50">
        <v>0.68402777777777779</v>
      </c>
      <c r="G21" s="50"/>
      <c r="H21" s="50">
        <f t="shared" si="0"/>
        <v>2.083333333333337E-2</v>
      </c>
      <c r="I21" s="6"/>
      <c r="J21" s="5"/>
      <c r="K21" s="5"/>
    </row>
    <row r="22" spans="1:11" x14ac:dyDescent="0.35">
      <c r="A22" s="53" t="s">
        <v>188</v>
      </c>
      <c r="B22" s="54" t="s">
        <v>252</v>
      </c>
      <c r="C22" s="54" t="s">
        <v>250</v>
      </c>
      <c r="D22" s="50">
        <v>0.55902777777777779</v>
      </c>
      <c r="E22" s="50">
        <v>0.625</v>
      </c>
      <c r="F22" s="50">
        <v>0.66319444444444442</v>
      </c>
      <c r="G22" s="50"/>
      <c r="H22" s="50">
        <f t="shared" si="0"/>
        <v>3.819444444444442E-2</v>
      </c>
      <c r="I22" s="6"/>
      <c r="J22" s="5"/>
      <c r="K22" s="5"/>
    </row>
    <row r="23" spans="1:11" x14ac:dyDescent="0.35">
      <c r="A23" s="53" t="s">
        <v>186</v>
      </c>
      <c r="B23" s="54" t="s">
        <v>124</v>
      </c>
      <c r="C23" s="54" t="s">
        <v>134</v>
      </c>
      <c r="D23" s="50">
        <v>0.61458333333333337</v>
      </c>
      <c r="E23" s="50">
        <v>0.64930555555555558</v>
      </c>
      <c r="F23" s="50">
        <v>0.68055555555555558</v>
      </c>
      <c r="G23" s="50"/>
      <c r="H23" s="50">
        <f t="shared" si="0"/>
        <v>3.125E-2</v>
      </c>
      <c r="I23" s="6"/>
      <c r="J23" s="5"/>
      <c r="K23" s="5"/>
    </row>
    <row r="24" spans="1:11" x14ac:dyDescent="0.35">
      <c r="A24" s="53" t="s">
        <v>182</v>
      </c>
      <c r="B24" s="54" t="s">
        <v>148</v>
      </c>
      <c r="C24" s="54" t="s">
        <v>141</v>
      </c>
      <c r="D24" s="50">
        <v>0.60763888888888884</v>
      </c>
      <c r="E24" s="50">
        <v>0.65277777777777779</v>
      </c>
      <c r="F24" s="50">
        <v>0.67361111111111116</v>
      </c>
      <c r="G24" s="50"/>
      <c r="H24" s="50">
        <f t="shared" si="0"/>
        <v>2.083333333333337E-2</v>
      </c>
      <c r="I24" s="6"/>
      <c r="J24" s="5"/>
      <c r="K24" s="5"/>
    </row>
    <row r="25" spans="1:11" x14ac:dyDescent="0.35">
      <c r="A25" s="53" t="s">
        <v>174</v>
      </c>
      <c r="B25" s="54" t="s">
        <v>148</v>
      </c>
      <c r="C25" s="54" t="s">
        <v>141</v>
      </c>
      <c r="D25" s="50">
        <v>0.60763888888888884</v>
      </c>
      <c r="E25" s="50">
        <v>0.67708333333333337</v>
      </c>
      <c r="F25" s="50">
        <v>0.69791666666666663</v>
      </c>
      <c r="G25" s="50"/>
      <c r="H25" s="50">
        <f t="shared" si="0"/>
        <v>2.0833333333333259E-2</v>
      </c>
    </row>
    <row r="26" spans="1:11" x14ac:dyDescent="0.35">
      <c r="A26" s="53" t="s">
        <v>212</v>
      </c>
      <c r="B26" s="54" t="s">
        <v>149</v>
      </c>
      <c r="C26" s="54" t="s">
        <v>129</v>
      </c>
      <c r="D26" s="50">
        <v>0.60416666666666663</v>
      </c>
      <c r="E26" s="50">
        <v>0.64583333333333337</v>
      </c>
      <c r="F26" s="50">
        <v>0.67013888888888884</v>
      </c>
      <c r="G26" s="50"/>
      <c r="H26" s="50">
        <f t="shared" si="0"/>
        <v>2.4305555555555469E-2</v>
      </c>
    </row>
    <row r="27" spans="1:11" x14ac:dyDescent="0.35">
      <c r="A27" s="53" t="s">
        <v>208</v>
      </c>
      <c r="B27" s="54" t="s">
        <v>165</v>
      </c>
      <c r="C27" s="54" t="s">
        <v>167</v>
      </c>
      <c r="D27" s="50" t="s">
        <v>247</v>
      </c>
      <c r="E27" s="50" t="s">
        <v>248</v>
      </c>
      <c r="F27" s="50"/>
      <c r="G27" s="50"/>
      <c r="H27" s="50">
        <v>0</v>
      </c>
    </row>
    <row r="28" spans="1:11" x14ac:dyDescent="0.35">
      <c r="A28" s="53" t="s">
        <v>217</v>
      </c>
      <c r="B28" s="54" t="s">
        <v>125</v>
      </c>
      <c r="C28" s="54" t="s">
        <v>258</v>
      </c>
      <c r="D28" s="50" t="s">
        <v>247</v>
      </c>
      <c r="E28" s="50" t="s">
        <v>248</v>
      </c>
      <c r="F28" s="50"/>
      <c r="G28" s="50"/>
      <c r="H28" s="50">
        <v>0</v>
      </c>
    </row>
    <row r="29" spans="1:11" x14ac:dyDescent="0.35">
      <c r="A29" s="53" t="s">
        <v>209</v>
      </c>
      <c r="B29" s="54" t="s">
        <v>125</v>
      </c>
      <c r="C29" s="54" t="s">
        <v>258</v>
      </c>
      <c r="D29" s="50" t="s">
        <v>247</v>
      </c>
      <c r="E29" s="50" t="s">
        <v>248</v>
      </c>
      <c r="F29" s="50"/>
      <c r="G29" s="50"/>
      <c r="H29" s="50">
        <v>0</v>
      </c>
    </row>
    <row r="30" spans="1:11" x14ac:dyDescent="0.35">
      <c r="A30" s="53" t="s">
        <v>219</v>
      </c>
      <c r="B30" s="54" t="s">
        <v>166</v>
      </c>
      <c r="C30" s="54" t="s">
        <v>353</v>
      </c>
      <c r="D30" s="50">
        <v>0.54513888888888884</v>
      </c>
      <c r="E30" s="50">
        <v>0.59375</v>
      </c>
      <c r="F30" s="50">
        <v>0.63888888888888884</v>
      </c>
      <c r="G30" s="50"/>
      <c r="H30" s="50">
        <f t="shared" si="0"/>
        <v>4.513888888888884E-2</v>
      </c>
    </row>
    <row r="31" spans="1:11" x14ac:dyDescent="0.35">
      <c r="A31" s="53" t="s">
        <v>224</v>
      </c>
      <c r="B31" s="54" t="s">
        <v>253</v>
      </c>
      <c r="C31" s="54" t="s">
        <v>168</v>
      </c>
      <c r="D31" s="50" t="s">
        <v>275</v>
      </c>
      <c r="E31" s="50" t="s">
        <v>276</v>
      </c>
      <c r="F31" s="50" t="s">
        <v>277</v>
      </c>
      <c r="G31" s="50"/>
      <c r="H31" s="50">
        <v>0</v>
      </c>
    </row>
    <row r="32" spans="1:11" x14ac:dyDescent="0.35">
      <c r="A32" s="53" t="s">
        <v>214</v>
      </c>
      <c r="B32" s="54" t="s">
        <v>230</v>
      </c>
      <c r="C32" s="54" t="s">
        <v>225</v>
      </c>
      <c r="D32" s="50" t="s">
        <v>247</v>
      </c>
      <c r="E32" s="50" t="s">
        <v>248</v>
      </c>
      <c r="F32" s="50"/>
      <c r="G32" s="50"/>
      <c r="H32" s="50">
        <v>0</v>
      </c>
    </row>
    <row r="33" spans="1:8" x14ac:dyDescent="0.35">
      <c r="A33" s="53" t="s">
        <v>178</v>
      </c>
      <c r="B33" s="54" t="s">
        <v>257</v>
      </c>
      <c r="C33" s="54" t="s">
        <v>263</v>
      </c>
      <c r="D33" s="50" t="s">
        <v>247</v>
      </c>
      <c r="E33" s="50" t="s">
        <v>248</v>
      </c>
      <c r="F33" s="50"/>
      <c r="G33" s="50"/>
      <c r="H33" s="50">
        <v>0</v>
      </c>
    </row>
    <row r="34" spans="1:8" x14ac:dyDescent="0.35">
      <c r="A34" s="53" t="s">
        <v>194</v>
      </c>
      <c r="B34" s="54" t="s">
        <v>257</v>
      </c>
      <c r="C34" s="54" t="s">
        <v>263</v>
      </c>
      <c r="D34" s="50" t="s">
        <v>247</v>
      </c>
      <c r="E34" s="50" t="s">
        <v>248</v>
      </c>
      <c r="F34" s="50"/>
      <c r="G34" s="50"/>
      <c r="H34" s="50">
        <v>0</v>
      </c>
    </row>
    <row r="35" spans="1:8" x14ac:dyDescent="0.35">
      <c r="A35" s="53" t="s">
        <v>199</v>
      </c>
      <c r="B35" s="54" t="s">
        <v>147</v>
      </c>
      <c r="C35" s="54" t="s">
        <v>130</v>
      </c>
      <c r="D35" s="50">
        <v>0.73263888888888884</v>
      </c>
      <c r="E35" s="50">
        <v>0.80208333333333337</v>
      </c>
      <c r="F35" s="50">
        <v>0.84027777777777779</v>
      </c>
      <c r="G35" s="50"/>
      <c r="H35" s="50">
        <f t="shared" si="0"/>
        <v>3.819444444444442E-2</v>
      </c>
    </row>
    <row r="36" spans="1:8" x14ac:dyDescent="0.35">
      <c r="A36" s="53" t="s">
        <v>196</v>
      </c>
      <c r="B36" s="54" t="s">
        <v>169</v>
      </c>
      <c r="C36" s="54" t="s">
        <v>170</v>
      </c>
      <c r="D36" s="50">
        <v>0.77083333333333337</v>
      </c>
      <c r="E36" s="50">
        <v>0.82986111111111116</v>
      </c>
      <c r="F36" s="50">
        <v>0.85069444444444442</v>
      </c>
      <c r="G36" s="50"/>
      <c r="H36" s="50">
        <f t="shared" si="0"/>
        <v>2.0833333333333259E-2</v>
      </c>
    </row>
    <row r="37" spans="1:8" x14ac:dyDescent="0.35">
      <c r="A37" s="53" t="s">
        <v>179</v>
      </c>
      <c r="B37" s="54" t="s">
        <v>160</v>
      </c>
      <c r="C37" s="54" t="s">
        <v>159</v>
      </c>
      <c r="D37" s="50">
        <v>0.76041666666666663</v>
      </c>
      <c r="E37" s="50">
        <v>0.82638888888888884</v>
      </c>
      <c r="F37" s="50">
        <v>0.84027777777777779</v>
      </c>
      <c r="G37" s="50"/>
      <c r="H37" s="50">
        <f t="shared" si="0"/>
        <v>1.3888888888888951E-2</v>
      </c>
    </row>
    <row r="38" spans="1:8" x14ac:dyDescent="0.35">
      <c r="A38" s="53" t="s">
        <v>205</v>
      </c>
      <c r="B38" s="54" t="s">
        <v>160</v>
      </c>
      <c r="C38" s="54" t="s">
        <v>159</v>
      </c>
      <c r="D38" s="50">
        <v>0.76041666666666663</v>
      </c>
      <c r="E38" s="50">
        <v>0.85069444444444442</v>
      </c>
      <c r="F38" s="50">
        <v>0.86458333333333337</v>
      </c>
      <c r="G38" s="50"/>
      <c r="H38" s="50">
        <f t="shared" si="0"/>
        <v>1.3888888888888951E-2</v>
      </c>
    </row>
    <row r="39" spans="1:8" x14ac:dyDescent="0.35">
      <c r="A39" s="53" t="s">
        <v>191</v>
      </c>
      <c r="B39" s="54" t="s">
        <v>267</v>
      </c>
      <c r="C39" s="54" t="s">
        <v>269</v>
      </c>
      <c r="D39" s="50">
        <v>0.74305555555555558</v>
      </c>
      <c r="E39" s="50">
        <v>0.78125</v>
      </c>
      <c r="F39" s="50">
        <v>0.79861111111111116</v>
      </c>
      <c r="G39" s="50"/>
      <c r="H39" s="50">
        <f t="shared" si="0"/>
        <v>1.736111111111116E-2</v>
      </c>
    </row>
    <row r="40" spans="1:8" x14ac:dyDescent="0.35">
      <c r="A40" s="53" t="s">
        <v>197</v>
      </c>
      <c r="B40" s="54" t="s">
        <v>157</v>
      </c>
      <c r="C40" s="54" t="s">
        <v>158</v>
      </c>
      <c r="D40" s="50">
        <v>0.72916666666666663</v>
      </c>
      <c r="E40" s="50">
        <v>0.77777777777777779</v>
      </c>
      <c r="F40" s="50">
        <v>0.80555555555555558</v>
      </c>
      <c r="G40" s="50"/>
      <c r="H40" s="50">
        <f t="shared" si="0"/>
        <v>2.777777777777779E-2</v>
      </c>
    </row>
    <row r="41" spans="1:8" x14ac:dyDescent="0.35">
      <c r="A41" s="53" t="s">
        <v>218</v>
      </c>
      <c r="B41" s="54" t="s">
        <v>157</v>
      </c>
      <c r="C41" s="54" t="s">
        <v>158</v>
      </c>
      <c r="D41" s="50">
        <v>0.72916666666666663</v>
      </c>
      <c r="E41" s="50">
        <v>0.80902777777777779</v>
      </c>
      <c r="F41" s="50">
        <v>0.82291666666666663</v>
      </c>
      <c r="G41" s="50"/>
      <c r="H41" s="50">
        <f t="shared" si="0"/>
        <v>1.388888888888884E-2</v>
      </c>
    </row>
    <row r="42" spans="1:8" x14ac:dyDescent="0.35">
      <c r="A42" s="53" t="s">
        <v>183</v>
      </c>
      <c r="B42" s="54" t="s">
        <v>146</v>
      </c>
      <c r="C42" s="54" t="s">
        <v>140</v>
      </c>
      <c r="D42" s="50">
        <v>0.72916666666666663</v>
      </c>
      <c r="E42" s="50">
        <v>0.78472222222222221</v>
      </c>
      <c r="F42" s="50">
        <v>0.80555555555555558</v>
      </c>
      <c r="G42" s="50"/>
      <c r="H42" s="50">
        <f t="shared" si="0"/>
        <v>2.083333333333337E-2</v>
      </c>
    </row>
    <row r="43" spans="1:8" x14ac:dyDescent="0.35">
      <c r="A43" s="53" t="s">
        <v>223</v>
      </c>
      <c r="B43" s="54" t="s">
        <v>254</v>
      </c>
      <c r="C43" s="54" t="s">
        <v>260</v>
      </c>
      <c r="D43" s="50">
        <v>0.73611111111111116</v>
      </c>
      <c r="E43" s="50">
        <v>0.78125</v>
      </c>
      <c r="F43" s="50">
        <v>0.79861111111111116</v>
      </c>
      <c r="G43" s="50"/>
      <c r="H43" s="50">
        <f t="shared" si="0"/>
        <v>1.736111111111116E-2</v>
      </c>
    </row>
    <row r="44" spans="1:8" x14ac:dyDescent="0.35">
      <c r="A44" s="53" t="s">
        <v>193</v>
      </c>
      <c r="B44" s="54" t="s">
        <v>162</v>
      </c>
      <c r="C44" s="54" t="s">
        <v>161</v>
      </c>
      <c r="D44" s="50">
        <v>0.75694444444444442</v>
      </c>
      <c r="E44" s="50">
        <v>0.80902777777777779</v>
      </c>
      <c r="F44" s="50">
        <v>0.85069444444444442</v>
      </c>
      <c r="G44" s="50"/>
      <c r="H44" s="50">
        <f t="shared" si="0"/>
        <v>4.166666666666663E-2</v>
      </c>
    </row>
    <row r="45" spans="1:8" x14ac:dyDescent="0.35">
      <c r="A45" s="53" t="s">
        <v>176</v>
      </c>
      <c r="B45" s="54" t="s">
        <v>150</v>
      </c>
      <c r="C45" s="54" t="s">
        <v>139</v>
      </c>
      <c r="D45" s="50">
        <v>0.75</v>
      </c>
      <c r="E45" s="50">
        <v>0.80208333333333337</v>
      </c>
      <c r="F45" s="50">
        <v>0.81944444444444442</v>
      </c>
      <c r="G45" s="50"/>
      <c r="H45" s="50">
        <f t="shared" si="0"/>
        <v>1.7361111111111049E-2</v>
      </c>
    </row>
    <row r="46" spans="1:8" x14ac:dyDescent="0.35">
      <c r="A46" s="53" t="s">
        <v>200</v>
      </c>
      <c r="B46" s="54" t="s">
        <v>150</v>
      </c>
      <c r="C46" s="54" t="s">
        <v>139</v>
      </c>
      <c r="D46" s="50">
        <v>0.75</v>
      </c>
      <c r="E46" s="50">
        <v>0.83333333333333337</v>
      </c>
      <c r="F46" s="50">
        <v>0.84722222222222221</v>
      </c>
      <c r="G46" s="50"/>
      <c r="H46" s="50">
        <f t="shared" si="0"/>
        <v>1.388888888888884E-2</v>
      </c>
    </row>
    <row r="47" spans="1:8" x14ac:dyDescent="0.35">
      <c r="A47" s="53" t="s">
        <v>206</v>
      </c>
      <c r="B47" s="54" t="s">
        <v>156</v>
      </c>
      <c r="C47" s="54" t="s">
        <v>133</v>
      </c>
      <c r="D47" s="50">
        <v>0.73958333333333337</v>
      </c>
      <c r="E47" s="50">
        <v>0.78472222222222221</v>
      </c>
      <c r="F47" s="50">
        <v>0.81944444444444442</v>
      </c>
      <c r="G47" s="50"/>
      <c r="H47" s="50">
        <f t="shared" si="0"/>
        <v>3.472222222222221E-2</v>
      </c>
    </row>
    <row r="48" spans="1:8" x14ac:dyDescent="0.35">
      <c r="A48" s="53" t="s">
        <v>216</v>
      </c>
      <c r="B48" s="54" t="s">
        <v>156</v>
      </c>
      <c r="C48" s="54" t="s">
        <v>133</v>
      </c>
      <c r="D48" s="50">
        <v>0.73958333333333337</v>
      </c>
      <c r="E48" s="50">
        <v>0.82291666666666663</v>
      </c>
      <c r="F48" s="50">
        <v>0.84722222222222221</v>
      </c>
      <c r="G48" s="50"/>
      <c r="H48" s="50">
        <f t="shared" si="0"/>
        <v>2.430555555555558E-2</v>
      </c>
    </row>
    <row r="49" spans="1:8" x14ac:dyDescent="0.35">
      <c r="A49" s="53" t="s">
        <v>185</v>
      </c>
      <c r="B49" s="54" t="s">
        <v>229</v>
      </c>
      <c r="C49" s="54" t="s">
        <v>291</v>
      </c>
      <c r="D49" s="50" t="s">
        <v>247</v>
      </c>
      <c r="E49" s="50" t="s">
        <v>248</v>
      </c>
      <c r="F49" s="50"/>
      <c r="G49" s="50"/>
      <c r="H49" s="50">
        <v>0</v>
      </c>
    </row>
    <row r="50" spans="1:8" x14ac:dyDescent="0.35">
      <c r="A50" s="53" t="s">
        <v>220</v>
      </c>
      <c r="B50" s="54" t="s">
        <v>229</v>
      </c>
      <c r="C50" s="54" t="s">
        <v>291</v>
      </c>
      <c r="D50" s="50" t="s">
        <v>247</v>
      </c>
      <c r="E50" s="50" t="s">
        <v>248</v>
      </c>
      <c r="F50" s="50"/>
      <c r="G50" s="50"/>
      <c r="H50" s="50">
        <v>0</v>
      </c>
    </row>
    <row r="51" spans="1:8" x14ac:dyDescent="0.35">
      <c r="A51" s="53" t="s">
        <v>222</v>
      </c>
      <c r="B51" s="54" t="s">
        <v>326</v>
      </c>
      <c r="C51" s="54" t="s">
        <v>327</v>
      </c>
      <c r="D51" s="50">
        <v>0.73263888888888884</v>
      </c>
      <c r="E51" s="50">
        <v>0.74305555555555558</v>
      </c>
      <c r="F51" s="50">
        <v>0.75347222222222221</v>
      </c>
      <c r="G51" s="50"/>
      <c r="H51" s="50">
        <f t="shared" si="0"/>
        <v>1.041666666666663E-2</v>
      </c>
    </row>
    <row r="52" spans="1:8" x14ac:dyDescent="0.35">
      <c r="A52" s="53"/>
      <c r="B52" s="54"/>
      <c r="C52" s="54"/>
      <c r="D52" s="50"/>
      <c r="E52" s="50"/>
      <c r="F52" s="50"/>
      <c r="G52" s="50"/>
      <c r="H52" s="50">
        <f t="shared" si="0"/>
        <v>0</v>
      </c>
    </row>
    <row r="53" spans="1:8" x14ac:dyDescent="0.35">
      <c r="A53" s="53"/>
      <c r="B53" s="54"/>
      <c r="C53" s="54"/>
      <c r="D53" s="50"/>
      <c r="E53" s="50"/>
      <c r="F53" s="50"/>
      <c r="G53" s="50"/>
      <c r="H53" s="50">
        <f t="shared" si="0"/>
        <v>0</v>
      </c>
    </row>
    <row r="54" spans="1:8" x14ac:dyDescent="0.35">
      <c r="A54" s="53"/>
      <c r="B54" s="54"/>
      <c r="C54" s="54"/>
      <c r="D54" s="50"/>
      <c r="E54" s="50"/>
      <c r="F54" s="50"/>
      <c r="G54" s="50"/>
      <c r="H54" s="50">
        <f t="shared" si="0"/>
        <v>0</v>
      </c>
    </row>
    <row r="55" spans="1:8" x14ac:dyDescent="0.35">
      <c r="A55" s="53"/>
      <c r="B55" s="54"/>
      <c r="C55" s="54"/>
      <c r="D55" s="50"/>
      <c r="E55" s="50"/>
      <c r="F55" s="50"/>
      <c r="G55" s="50"/>
      <c r="H55" s="50">
        <f t="shared" si="0"/>
        <v>0</v>
      </c>
    </row>
    <row r="56" spans="1:8" x14ac:dyDescent="0.35">
      <c r="A56" s="53"/>
      <c r="B56" s="54"/>
      <c r="C56" s="54"/>
      <c r="D56" s="50"/>
      <c r="E56" s="50"/>
      <c r="F56" s="50"/>
      <c r="G56" s="50"/>
      <c r="H56" s="50">
        <f t="shared" si="0"/>
        <v>0</v>
      </c>
    </row>
    <row r="57" spans="1:8" x14ac:dyDescent="0.35">
      <c r="A57" s="53"/>
      <c r="B57" s="54"/>
      <c r="C57" s="54"/>
      <c r="D57" s="50"/>
      <c r="E57" s="50"/>
      <c r="F57" s="50"/>
      <c r="G57" s="50"/>
      <c r="H57" s="50">
        <f t="shared" si="0"/>
        <v>0</v>
      </c>
    </row>
    <row r="58" spans="1:8" x14ac:dyDescent="0.35">
      <c r="A58" s="53"/>
      <c r="B58" s="54"/>
      <c r="C58" s="54"/>
      <c r="D58" s="50"/>
      <c r="E58" s="50"/>
      <c r="F58" s="50"/>
      <c r="G58" s="50"/>
      <c r="H58" s="50">
        <f t="shared" si="0"/>
        <v>0</v>
      </c>
    </row>
    <row r="59" spans="1:8" x14ac:dyDescent="0.35">
      <c r="A59" s="53"/>
      <c r="B59" s="54"/>
      <c r="C59" s="54"/>
      <c r="D59" s="50"/>
      <c r="E59" s="50"/>
      <c r="F59" s="50"/>
      <c r="G59" s="50"/>
      <c r="H59" s="50">
        <f t="shared" si="0"/>
        <v>0</v>
      </c>
    </row>
    <row r="60" spans="1:8" x14ac:dyDescent="0.35">
      <c r="A60" s="53"/>
      <c r="B60" s="54"/>
      <c r="C60" s="54"/>
      <c r="D60" s="50"/>
      <c r="E60" s="50"/>
      <c r="F60" s="50"/>
      <c r="G60" s="50"/>
      <c r="H60" s="50">
        <f t="shared" si="0"/>
        <v>0</v>
      </c>
    </row>
    <row r="61" spans="1:8" x14ac:dyDescent="0.35">
      <c r="A61" s="53"/>
      <c r="B61" s="54"/>
      <c r="C61" s="54"/>
      <c r="D61" s="50"/>
      <c r="E61" s="50"/>
      <c r="F61" s="50"/>
      <c r="G61" s="50"/>
      <c r="H61" s="50">
        <f t="shared" si="0"/>
        <v>0</v>
      </c>
    </row>
    <row r="62" spans="1:8" x14ac:dyDescent="0.35">
      <c r="A62" s="53"/>
      <c r="B62" s="54"/>
      <c r="C62" s="54"/>
      <c r="D62" s="50"/>
      <c r="E62" s="50"/>
      <c r="F62" s="50"/>
      <c r="G62" s="50"/>
      <c r="H62" s="50">
        <f t="shared" si="0"/>
        <v>0</v>
      </c>
    </row>
    <row r="63" spans="1:8" x14ac:dyDescent="0.35">
      <c r="A63" s="53"/>
      <c r="B63" s="54"/>
      <c r="C63" s="54"/>
      <c r="D63" s="50"/>
      <c r="E63" s="50"/>
      <c r="F63" s="50"/>
      <c r="G63" s="50"/>
      <c r="H63" s="50">
        <f t="shared" si="0"/>
        <v>0</v>
      </c>
    </row>
    <row r="64" spans="1:8" x14ac:dyDescent="0.35">
      <c r="A64" s="53"/>
      <c r="B64" s="54"/>
      <c r="C64" s="54"/>
      <c r="D64" s="50"/>
      <c r="E64" s="50"/>
      <c r="F64" s="50"/>
      <c r="G64" s="50"/>
      <c r="H64" s="50">
        <f t="shared" si="0"/>
        <v>0</v>
      </c>
    </row>
    <row r="65" spans="1:8" x14ac:dyDescent="0.35">
      <c r="A65" s="53"/>
      <c r="B65" s="54"/>
      <c r="C65" s="54"/>
      <c r="D65" s="50"/>
      <c r="E65" s="50"/>
      <c r="F65" s="50"/>
      <c r="G65" s="50"/>
      <c r="H65" s="50">
        <f t="shared" si="0"/>
        <v>0</v>
      </c>
    </row>
    <row r="66" spans="1:8" x14ac:dyDescent="0.35">
      <c r="A66" s="53"/>
      <c r="B66" s="54"/>
      <c r="C66" s="54"/>
      <c r="D66" s="50"/>
      <c r="E66" s="50"/>
      <c r="F66" s="50"/>
      <c r="G66" s="50"/>
      <c r="H66" s="50">
        <f t="shared" si="0"/>
        <v>0</v>
      </c>
    </row>
    <row r="67" spans="1:8" x14ac:dyDescent="0.35">
      <c r="A67" s="53"/>
      <c r="B67" s="54"/>
      <c r="C67" s="54"/>
      <c r="D67" s="50"/>
      <c r="E67" s="50"/>
      <c r="F67" s="50"/>
      <c r="G67" s="50"/>
      <c r="H67" s="50">
        <f t="shared" ref="H67:H69" si="1">MOD(F67-E67, 1)</f>
        <v>0</v>
      </c>
    </row>
    <row r="68" spans="1:8" x14ac:dyDescent="0.35">
      <c r="A68" s="53"/>
      <c r="B68" s="54"/>
      <c r="C68" s="54"/>
      <c r="D68" s="50"/>
      <c r="E68" s="50"/>
      <c r="F68" s="50"/>
      <c r="G68" s="50"/>
      <c r="H68" s="50">
        <f t="shared" si="1"/>
        <v>0</v>
      </c>
    </row>
    <row r="69" spans="1:8" x14ac:dyDescent="0.35">
      <c r="A69" s="53"/>
      <c r="B69" s="54"/>
      <c r="C69" s="54"/>
      <c r="D69" s="50"/>
      <c r="E69" s="50"/>
      <c r="F69" s="50"/>
      <c r="G69" s="50"/>
      <c r="H69" s="50">
        <f t="shared" si="1"/>
        <v>0</v>
      </c>
    </row>
  </sheetData>
  <autoFilter ref="A2:F38" xr:uid="{00000000-0001-0000-0000-000000000000}">
    <sortState xmlns:xlrd2="http://schemas.microsoft.com/office/spreadsheetml/2017/richdata2" ref="A3:F18">
      <sortCondition ref="A2"/>
    </sortState>
  </autoFilter>
  <conditionalFormatting sqref="H3:H412">
    <cfRule type="cellIs" dxfId="8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A083D-1906-45BF-9D49-64A6CE4EDCD8}">
  <sheetPr>
    <pageSetUpPr fitToPage="1"/>
  </sheetPr>
  <dimension ref="A1:K69"/>
  <sheetViews>
    <sheetView showGridLines="0" zoomScale="55" zoomScaleNormal="55" workbookViewId="0">
      <pane ySplit="2" topLeftCell="A18" activePane="bottomLeft" state="frozen"/>
      <selection pane="bottomLeft" activeCell="D53" sqref="D53"/>
    </sheetView>
  </sheetViews>
  <sheetFormatPr defaultColWidth="9" defaultRowHeight="23.25" x14ac:dyDescent="0.35"/>
  <cols>
    <col min="1" max="1" width="37.85546875" style="29" bestFit="1" customWidth="1"/>
    <col min="2" max="2" width="23.140625" style="7" bestFit="1" customWidth="1"/>
    <col min="3" max="3" width="16.28515625" style="6" bestFit="1" customWidth="1"/>
    <col min="4" max="4" width="20.28515625" style="5" bestFit="1" customWidth="1"/>
    <col min="5" max="5" width="23" style="5" bestFit="1" customWidth="1"/>
    <col min="6" max="6" width="24.5703125" style="3" bestFit="1" customWidth="1"/>
    <col min="7" max="7" width="0.28515625" style="1" customWidth="1"/>
    <col min="8" max="8" width="24.85546875" style="28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39" t="s">
        <v>4</v>
      </c>
      <c r="B1" s="40"/>
      <c r="C1" s="41"/>
      <c r="D1" s="42"/>
      <c r="E1" s="42"/>
      <c r="F1" s="43"/>
      <c r="G1" s="44"/>
      <c r="H1" s="51"/>
    </row>
    <row r="2" spans="1:10" s="2" customFormat="1" x14ac:dyDescent="0.35">
      <c r="A2" s="45" t="s">
        <v>0</v>
      </c>
      <c r="B2" s="45" t="s">
        <v>1</v>
      </c>
      <c r="C2" s="45" t="s">
        <v>2</v>
      </c>
      <c r="D2" s="46" t="s">
        <v>3</v>
      </c>
      <c r="E2" s="46" t="s">
        <v>236</v>
      </c>
      <c r="F2" s="45" t="s">
        <v>5</v>
      </c>
      <c r="G2" s="47"/>
      <c r="H2" s="48" t="s">
        <v>274</v>
      </c>
    </row>
    <row r="3" spans="1:10" x14ac:dyDescent="0.35">
      <c r="A3" s="53" t="s">
        <v>210</v>
      </c>
      <c r="B3" s="54" t="s">
        <v>123</v>
      </c>
      <c r="C3" s="54" t="s">
        <v>133</v>
      </c>
      <c r="D3" s="50">
        <v>0.20833333333333334</v>
      </c>
      <c r="E3" s="50">
        <v>0.2361111111111111</v>
      </c>
      <c r="F3" s="50">
        <v>0.30555555555555558</v>
      </c>
      <c r="G3" s="50"/>
      <c r="H3" s="50">
        <f t="shared" ref="H3:H66" si="0">MOD(F3-E3, 1)</f>
        <v>6.9444444444444475E-2</v>
      </c>
    </row>
    <row r="4" spans="1:10" s="4" customFormat="1" x14ac:dyDescent="0.35">
      <c r="A4" s="53" t="s">
        <v>207</v>
      </c>
      <c r="B4" s="54" t="s">
        <v>123</v>
      </c>
      <c r="C4" s="54" t="s">
        <v>133</v>
      </c>
      <c r="D4" s="50">
        <v>0.20833333333333334</v>
      </c>
      <c r="E4" s="50">
        <v>0.3125</v>
      </c>
      <c r="F4" s="50">
        <v>0.34722222222222221</v>
      </c>
      <c r="G4" s="50"/>
      <c r="H4" s="50">
        <f t="shared" si="0"/>
        <v>3.472222222222221E-2</v>
      </c>
    </row>
    <row r="5" spans="1:10" s="4" customFormat="1" x14ac:dyDescent="0.35">
      <c r="A5" s="53" t="s">
        <v>204</v>
      </c>
      <c r="B5" s="54" t="s">
        <v>119</v>
      </c>
      <c r="C5" s="54" t="s">
        <v>128</v>
      </c>
      <c r="D5" s="50">
        <v>0.1701388888888889</v>
      </c>
      <c r="E5" s="50">
        <v>0.1875</v>
      </c>
      <c r="F5" s="50">
        <v>0.22222222222222221</v>
      </c>
      <c r="G5" s="50"/>
      <c r="H5" s="50">
        <f t="shared" si="0"/>
        <v>3.472222222222221E-2</v>
      </c>
    </row>
    <row r="6" spans="1:10" x14ac:dyDescent="0.35">
      <c r="A6" s="53" t="s">
        <v>195</v>
      </c>
      <c r="B6" s="54" t="s">
        <v>148</v>
      </c>
      <c r="C6" s="54" t="s">
        <v>141</v>
      </c>
      <c r="D6" s="50">
        <v>0.19444444444444445</v>
      </c>
      <c r="E6" s="50">
        <v>0.21527777777777779</v>
      </c>
      <c r="F6" s="50">
        <v>0.30902777777777779</v>
      </c>
      <c r="G6" s="50"/>
      <c r="H6" s="50">
        <f t="shared" si="0"/>
        <v>9.375E-2</v>
      </c>
    </row>
    <row r="7" spans="1:10" x14ac:dyDescent="0.35">
      <c r="A7" s="53" t="s">
        <v>201</v>
      </c>
      <c r="B7" s="54" t="s">
        <v>117</v>
      </c>
      <c r="C7" s="54" t="s">
        <v>126</v>
      </c>
      <c r="D7" s="50">
        <v>0.17708333333333334</v>
      </c>
      <c r="E7" s="50">
        <v>0.20833333333333334</v>
      </c>
      <c r="F7" s="50">
        <v>0.22222222222222221</v>
      </c>
      <c r="G7" s="50"/>
      <c r="H7" s="50">
        <f t="shared" si="0"/>
        <v>1.3888888888888867E-2</v>
      </c>
    </row>
    <row r="8" spans="1:10" x14ac:dyDescent="0.35">
      <c r="A8" s="53" t="s">
        <v>189</v>
      </c>
      <c r="B8" s="54" t="s">
        <v>117</v>
      </c>
      <c r="C8" s="54" t="s">
        <v>126</v>
      </c>
      <c r="D8" s="50">
        <v>0.19444444444444445</v>
      </c>
      <c r="E8" s="50">
        <v>0.22916666666666666</v>
      </c>
      <c r="F8" s="50">
        <v>0.27777777777777779</v>
      </c>
      <c r="G8" s="50"/>
      <c r="H8" s="50">
        <f t="shared" si="0"/>
        <v>4.8611111111111133E-2</v>
      </c>
    </row>
    <row r="9" spans="1:10" s="4" customFormat="1" x14ac:dyDescent="0.35">
      <c r="A9" s="53" t="s">
        <v>177</v>
      </c>
      <c r="B9" s="54" t="s">
        <v>121</v>
      </c>
      <c r="C9" s="54" t="s">
        <v>130</v>
      </c>
      <c r="D9" s="50">
        <v>0.19444444444444445</v>
      </c>
      <c r="E9" s="50">
        <v>0.22916666666666666</v>
      </c>
      <c r="F9" s="50">
        <v>0.375</v>
      </c>
      <c r="G9" s="50"/>
      <c r="H9" s="50">
        <f t="shared" si="0"/>
        <v>0.14583333333333334</v>
      </c>
      <c r="I9" s="8"/>
      <c r="J9" s="8"/>
    </row>
    <row r="10" spans="1:10" s="4" customFormat="1" x14ac:dyDescent="0.35">
      <c r="A10" s="53" t="s">
        <v>192</v>
      </c>
      <c r="B10" s="54" t="s">
        <v>122</v>
      </c>
      <c r="C10" s="54" t="s">
        <v>131</v>
      </c>
      <c r="D10" s="50">
        <v>0.1875</v>
      </c>
      <c r="E10" s="50">
        <v>0.21527777777777779</v>
      </c>
      <c r="F10" s="50">
        <v>0.29166666666666669</v>
      </c>
      <c r="G10" s="50"/>
      <c r="H10" s="50">
        <f t="shared" si="0"/>
        <v>7.6388888888888895E-2</v>
      </c>
      <c r="I10" s="8"/>
      <c r="J10" s="8"/>
    </row>
    <row r="11" spans="1:10" x14ac:dyDescent="0.35">
      <c r="A11" s="53" t="s">
        <v>180</v>
      </c>
      <c r="B11" s="54" t="s">
        <v>120</v>
      </c>
      <c r="C11" s="54" t="s">
        <v>129</v>
      </c>
      <c r="D11" s="50">
        <v>0.15277777777777779</v>
      </c>
      <c r="E11" s="50">
        <v>0.18402777777777779</v>
      </c>
      <c r="F11" s="50">
        <v>0.4513888888888889</v>
      </c>
      <c r="G11" s="50"/>
      <c r="H11" s="50">
        <f t="shared" si="0"/>
        <v>0.2673611111111111</v>
      </c>
      <c r="I11" s="8"/>
      <c r="J11" s="8"/>
    </row>
    <row r="12" spans="1:10" x14ac:dyDescent="0.35">
      <c r="A12" s="53" t="s">
        <v>221</v>
      </c>
      <c r="B12" s="54" t="s">
        <v>152</v>
      </c>
      <c r="C12" s="54" t="s">
        <v>134</v>
      </c>
      <c r="D12" s="50">
        <v>0.14583333333333334</v>
      </c>
      <c r="E12" s="50">
        <v>0.17708333333333334</v>
      </c>
      <c r="F12" s="50">
        <v>0.29166666666666669</v>
      </c>
      <c r="G12" s="50"/>
      <c r="H12" s="50">
        <f t="shared" si="0"/>
        <v>0.11458333333333334</v>
      </c>
    </row>
    <row r="13" spans="1:10" x14ac:dyDescent="0.35">
      <c r="A13" s="53" t="s">
        <v>187</v>
      </c>
      <c r="B13" s="54" t="s">
        <v>125</v>
      </c>
      <c r="C13" s="54" t="s">
        <v>163</v>
      </c>
      <c r="D13" s="50" t="s">
        <v>247</v>
      </c>
      <c r="E13" s="50" t="s">
        <v>248</v>
      </c>
      <c r="F13" s="50"/>
      <c r="G13" s="50"/>
      <c r="H13" s="50" t="e">
        <f t="shared" si="0"/>
        <v>#VALUE!</v>
      </c>
    </row>
    <row r="14" spans="1:10" x14ac:dyDescent="0.35">
      <c r="A14" s="53" t="s">
        <v>202</v>
      </c>
      <c r="B14" s="54" t="s">
        <v>251</v>
      </c>
      <c r="C14" s="54" t="s">
        <v>249</v>
      </c>
      <c r="D14" s="50">
        <v>0.59722222222222221</v>
      </c>
      <c r="E14" s="50">
        <v>0.63888888888888884</v>
      </c>
      <c r="F14" s="50">
        <v>0.64930555555555558</v>
      </c>
      <c r="G14" s="50"/>
      <c r="H14" s="50">
        <f t="shared" si="0"/>
        <v>1.0416666666666741E-2</v>
      </c>
    </row>
    <row r="15" spans="1:10" x14ac:dyDescent="0.35">
      <c r="A15" s="53" t="s">
        <v>203</v>
      </c>
      <c r="B15" s="54" t="s">
        <v>251</v>
      </c>
      <c r="C15" s="54" t="s">
        <v>249</v>
      </c>
      <c r="D15" s="50">
        <v>0.59722222222222221</v>
      </c>
      <c r="E15" s="50">
        <v>0.67013888888888884</v>
      </c>
      <c r="F15" s="50">
        <v>0.68402777777777779</v>
      </c>
      <c r="G15" s="50"/>
      <c r="H15" s="50">
        <f t="shared" si="0"/>
        <v>1.3888888888888951E-2</v>
      </c>
    </row>
    <row r="16" spans="1:10" x14ac:dyDescent="0.35">
      <c r="A16" s="53" t="s">
        <v>222</v>
      </c>
      <c r="B16" s="54" t="s">
        <v>148</v>
      </c>
      <c r="C16" s="54" t="s">
        <v>141</v>
      </c>
      <c r="D16" s="50">
        <v>0.60069444444444442</v>
      </c>
      <c r="E16" s="50">
        <v>0.60763888888888884</v>
      </c>
      <c r="F16" s="50">
        <v>0.625</v>
      </c>
      <c r="G16" s="50"/>
      <c r="H16" s="50">
        <f t="shared" si="0"/>
        <v>1.736111111111116E-2</v>
      </c>
    </row>
    <row r="17" spans="1:11" x14ac:dyDescent="0.35">
      <c r="A17" s="53" t="s">
        <v>223</v>
      </c>
      <c r="B17" s="54" t="s">
        <v>148</v>
      </c>
      <c r="C17" s="54" t="s">
        <v>141</v>
      </c>
      <c r="D17" s="50">
        <v>0.60069444444444442</v>
      </c>
      <c r="E17" s="50">
        <v>0.67013888888888884</v>
      </c>
      <c r="F17" s="50">
        <v>0.68402777777777779</v>
      </c>
      <c r="G17" s="50"/>
      <c r="H17" s="50">
        <f t="shared" si="0"/>
        <v>1.3888888888888951E-2</v>
      </c>
    </row>
    <row r="18" spans="1:11" x14ac:dyDescent="0.35">
      <c r="A18" s="53" t="s">
        <v>180</v>
      </c>
      <c r="B18" s="54" t="s">
        <v>284</v>
      </c>
      <c r="C18" s="54" t="s">
        <v>286</v>
      </c>
      <c r="D18" s="50">
        <v>0.58333333333333337</v>
      </c>
      <c r="E18" s="50">
        <v>0.62152777777777779</v>
      </c>
      <c r="F18" s="50">
        <v>0.63888888888888884</v>
      </c>
      <c r="G18" s="50"/>
      <c r="H18" s="50">
        <f t="shared" si="0"/>
        <v>1.7361111111111049E-2</v>
      </c>
    </row>
    <row r="19" spans="1:11" x14ac:dyDescent="0.35">
      <c r="A19" s="53" t="s">
        <v>184</v>
      </c>
      <c r="B19" s="54" t="s">
        <v>164</v>
      </c>
      <c r="C19" s="54" t="s">
        <v>154</v>
      </c>
      <c r="D19" s="50">
        <v>0.48958333333333331</v>
      </c>
      <c r="E19" s="50">
        <v>0.56944444444444442</v>
      </c>
      <c r="F19" s="50">
        <v>0.625</v>
      </c>
      <c r="G19" s="50"/>
      <c r="H19" s="50">
        <f t="shared" si="0"/>
        <v>5.555555555555558E-2</v>
      </c>
    </row>
    <row r="20" spans="1:11" x14ac:dyDescent="0.35">
      <c r="A20" s="53" t="s">
        <v>184</v>
      </c>
      <c r="B20" s="54" t="s">
        <v>144</v>
      </c>
      <c r="C20" s="54" t="s">
        <v>138</v>
      </c>
      <c r="D20" s="50">
        <v>0.60416666666666663</v>
      </c>
      <c r="E20" s="50">
        <v>0.64236111111111116</v>
      </c>
      <c r="F20" s="50">
        <v>0.65972222222222221</v>
      </c>
      <c r="G20" s="50"/>
      <c r="H20" s="50">
        <f t="shared" si="0"/>
        <v>1.7361111111111049E-2</v>
      </c>
    </row>
    <row r="21" spans="1:11" x14ac:dyDescent="0.35">
      <c r="A21" s="53" t="s">
        <v>181</v>
      </c>
      <c r="B21" s="54" t="s">
        <v>252</v>
      </c>
      <c r="C21" s="54" t="s">
        <v>250</v>
      </c>
      <c r="D21" s="50">
        <v>0.62152777777777779</v>
      </c>
      <c r="E21" s="50">
        <v>0.67708333333333337</v>
      </c>
      <c r="F21" s="50">
        <v>0.71180555555555558</v>
      </c>
      <c r="G21" s="50"/>
      <c r="H21" s="50">
        <f t="shared" si="0"/>
        <v>3.472222222222221E-2</v>
      </c>
      <c r="I21" s="6"/>
      <c r="J21" s="5"/>
      <c r="K21" s="5"/>
    </row>
    <row r="22" spans="1:11" x14ac:dyDescent="0.35">
      <c r="A22" s="53" t="s">
        <v>188</v>
      </c>
      <c r="B22" s="54" t="s">
        <v>165</v>
      </c>
      <c r="C22" s="54" t="s">
        <v>167</v>
      </c>
      <c r="D22" s="50" t="s">
        <v>247</v>
      </c>
      <c r="E22" s="50" t="s">
        <v>248</v>
      </c>
      <c r="F22" s="50"/>
      <c r="G22" s="50"/>
      <c r="H22" s="50" t="e">
        <f t="shared" si="0"/>
        <v>#VALUE!</v>
      </c>
      <c r="I22" s="6"/>
      <c r="J22" s="5"/>
      <c r="K22" s="5"/>
    </row>
    <row r="23" spans="1:11" x14ac:dyDescent="0.35">
      <c r="A23" s="53" t="s">
        <v>186</v>
      </c>
      <c r="B23" s="54" t="s">
        <v>156</v>
      </c>
      <c r="C23" s="54" t="s">
        <v>133</v>
      </c>
      <c r="D23" s="50">
        <v>0.625</v>
      </c>
      <c r="E23" s="50">
        <v>0.65972222222222221</v>
      </c>
      <c r="F23" s="50">
        <v>0.68402777777777779</v>
      </c>
      <c r="G23" s="50"/>
      <c r="H23" s="50">
        <f t="shared" si="0"/>
        <v>2.430555555555558E-2</v>
      </c>
      <c r="I23" s="6"/>
      <c r="J23" s="5"/>
      <c r="K23" s="5"/>
    </row>
    <row r="24" spans="1:11" x14ac:dyDescent="0.35">
      <c r="A24" s="53" t="s">
        <v>212</v>
      </c>
      <c r="B24" s="54" t="s">
        <v>156</v>
      </c>
      <c r="C24" s="54" t="s">
        <v>133</v>
      </c>
      <c r="D24" s="50">
        <v>0.625</v>
      </c>
      <c r="E24" s="50">
        <v>0.69097222222222221</v>
      </c>
      <c r="F24" s="50">
        <v>0.72916666666666663</v>
      </c>
      <c r="G24" s="50"/>
      <c r="H24" s="50">
        <f t="shared" si="0"/>
        <v>3.819444444444442E-2</v>
      </c>
      <c r="I24" s="6"/>
      <c r="J24" s="5"/>
      <c r="K24" s="5"/>
    </row>
    <row r="25" spans="1:11" x14ac:dyDescent="0.35">
      <c r="A25" s="53" t="s">
        <v>182</v>
      </c>
      <c r="B25" s="54" t="s">
        <v>124</v>
      </c>
      <c r="C25" s="54" t="s">
        <v>134</v>
      </c>
      <c r="D25" s="50">
        <v>0.63888888888888884</v>
      </c>
      <c r="E25" s="50">
        <v>0.68055555555555558</v>
      </c>
      <c r="F25" s="50">
        <v>0.69791666666666663</v>
      </c>
      <c r="G25" s="50"/>
      <c r="H25" s="50">
        <f t="shared" si="0"/>
        <v>1.7361111111111049E-2</v>
      </c>
    </row>
    <row r="26" spans="1:11" x14ac:dyDescent="0.35">
      <c r="A26" s="53" t="s">
        <v>174</v>
      </c>
      <c r="B26" s="54" t="s">
        <v>124</v>
      </c>
      <c r="C26" s="54" t="s">
        <v>134</v>
      </c>
      <c r="D26" s="50">
        <v>0.63888888888888884</v>
      </c>
      <c r="E26" s="50">
        <v>0.70486111111111116</v>
      </c>
      <c r="F26" s="50">
        <v>0.71875</v>
      </c>
      <c r="G26" s="50"/>
      <c r="H26" s="50">
        <f t="shared" si="0"/>
        <v>1.388888888888884E-2</v>
      </c>
    </row>
    <row r="27" spans="1:11" x14ac:dyDescent="0.35">
      <c r="A27" s="53" t="s">
        <v>208</v>
      </c>
      <c r="B27" s="54" t="s">
        <v>230</v>
      </c>
      <c r="C27" s="54" t="s">
        <v>225</v>
      </c>
      <c r="D27" s="50" t="s">
        <v>247</v>
      </c>
      <c r="E27" s="50" t="s">
        <v>248</v>
      </c>
      <c r="F27" s="50"/>
      <c r="G27" s="50"/>
      <c r="H27" s="50" t="e">
        <f t="shared" si="0"/>
        <v>#VALUE!</v>
      </c>
    </row>
    <row r="28" spans="1:11" x14ac:dyDescent="0.35">
      <c r="A28" s="53" t="s">
        <v>217</v>
      </c>
      <c r="B28" s="54" t="s">
        <v>377</v>
      </c>
      <c r="C28" s="54" t="s">
        <v>378</v>
      </c>
      <c r="D28" s="50" t="s">
        <v>247</v>
      </c>
      <c r="E28" s="50" t="s">
        <v>248</v>
      </c>
      <c r="F28" s="50"/>
      <c r="G28" s="50"/>
      <c r="H28" s="50" t="e">
        <f t="shared" si="0"/>
        <v>#VALUE!</v>
      </c>
    </row>
    <row r="29" spans="1:11" x14ac:dyDescent="0.35">
      <c r="A29" s="53" t="s">
        <v>208</v>
      </c>
      <c r="B29" s="54" t="s">
        <v>377</v>
      </c>
      <c r="C29" s="54" t="s">
        <v>378</v>
      </c>
      <c r="D29" s="50" t="s">
        <v>247</v>
      </c>
      <c r="E29" s="50" t="s">
        <v>248</v>
      </c>
      <c r="F29" s="50"/>
      <c r="G29" s="50"/>
      <c r="H29" s="50" t="e">
        <f t="shared" si="0"/>
        <v>#VALUE!</v>
      </c>
    </row>
    <row r="30" spans="1:11" x14ac:dyDescent="0.35">
      <c r="A30" s="53" t="s">
        <v>209</v>
      </c>
      <c r="B30" s="54" t="s">
        <v>122</v>
      </c>
      <c r="C30" s="54" t="s">
        <v>131</v>
      </c>
      <c r="D30" s="50">
        <v>0.59375</v>
      </c>
      <c r="E30" s="50">
        <v>0.63888888888888884</v>
      </c>
      <c r="F30" s="50">
        <v>0.67708333333333337</v>
      </c>
      <c r="G30" s="50"/>
      <c r="H30" s="50">
        <f t="shared" si="0"/>
        <v>3.8194444444444531E-2</v>
      </c>
    </row>
    <row r="31" spans="1:11" x14ac:dyDescent="0.35">
      <c r="A31" s="53" t="s">
        <v>219</v>
      </c>
      <c r="B31" s="54" t="s">
        <v>255</v>
      </c>
      <c r="C31" s="54" t="s">
        <v>242</v>
      </c>
      <c r="D31" s="50">
        <v>0.63888888888888884</v>
      </c>
      <c r="E31" s="50">
        <v>0.68402777777777779</v>
      </c>
      <c r="F31" s="50">
        <v>0.71180555555555558</v>
      </c>
      <c r="G31" s="50"/>
      <c r="H31" s="50">
        <f t="shared" si="0"/>
        <v>2.777777777777779E-2</v>
      </c>
    </row>
    <row r="32" spans="1:11" x14ac:dyDescent="0.35">
      <c r="A32" s="53" t="s">
        <v>214</v>
      </c>
      <c r="B32" s="54" t="s">
        <v>149</v>
      </c>
      <c r="C32" s="54" t="s">
        <v>129</v>
      </c>
      <c r="D32" s="50">
        <v>0.61805555555555558</v>
      </c>
      <c r="E32" s="50">
        <v>0.66319444444444442</v>
      </c>
      <c r="F32" s="50">
        <v>0.69444444444444442</v>
      </c>
      <c r="G32" s="50"/>
      <c r="H32" s="50">
        <f t="shared" si="0"/>
        <v>3.125E-2</v>
      </c>
    </row>
    <row r="33" spans="1:8" x14ac:dyDescent="0.35">
      <c r="A33" s="53" t="s">
        <v>224</v>
      </c>
      <c r="B33" s="54" t="s">
        <v>253</v>
      </c>
      <c r="C33" s="54" t="s">
        <v>302</v>
      </c>
      <c r="D33" s="50">
        <v>0.73263888888888884</v>
      </c>
      <c r="E33" s="50">
        <v>0.78819444444444442</v>
      </c>
      <c r="F33" s="50">
        <v>0.8125</v>
      </c>
      <c r="G33" s="50"/>
      <c r="H33" s="50">
        <f t="shared" si="0"/>
        <v>2.430555555555558E-2</v>
      </c>
    </row>
    <row r="34" spans="1:8" x14ac:dyDescent="0.35">
      <c r="A34" s="53" t="s">
        <v>178</v>
      </c>
      <c r="B34" s="54" t="s">
        <v>151</v>
      </c>
      <c r="C34" s="54" t="s">
        <v>132</v>
      </c>
      <c r="D34" s="50">
        <v>0.77430555555555558</v>
      </c>
      <c r="E34" s="50">
        <v>0.82291666666666663</v>
      </c>
      <c r="F34" s="50">
        <v>0.83333333333333337</v>
      </c>
      <c r="G34" s="50"/>
      <c r="H34" s="50">
        <f t="shared" si="0"/>
        <v>1.0416666666666741E-2</v>
      </c>
    </row>
    <row r="35" spans="1:8" x14ac:dyDescent="0.35">
      <c r="A35" s="53" t="s">
        <v>194</v>
      </c>
      <c r="B35" s="54" t="s">
        <v>151</v>
      </c>
      <c r="C35" s="54" t="s">
        <v>132</v>
      </c>
      <c r="D35" s="50">
        <v>0.77430555555555558</v>
      </c>
      <c r="E35" s="50">
        <v>0.85069444444444442</v>
      </c>
      <c r="F35" s="50">
        <v>0.86458333333333337</v>
      </c>
      <c r="G35" s="50"/>
      <c r="H35" s="50">
        <f t="shared" si="0"/>
        <v>1.3888888888888951E-2</v>
      </c>
    </row>
    <row r="36" spans="1:8" x14ac:dyDescent="0.35">
      <c r="A36" s="53" t="s">
        <v>199</v>
      </c>
      <c r="B36" s="54" t="s">
        <v>150</v>
      </c>
      <c r="C36" s="54" t="s">
        <v>139</v>
      </c>
      <c r="D36" s="50">
        <v>0.75347222222222221</v>
      </c>
      <c r="E36" s="50">
        <v>0.8125</v>
      </c>
      <c r="F36" s="50">
        <v>0.83333333333333337</v>
      </c>
      <c r="G36" s="50"/>
      <c r="H36" s="50">
        <f t="shared" si="0"/>
        <v>2.083333333333337E-2</v>
      </c>
    </row>
    <row r="37" spans="1:8" x14ac:dyDescent="0.35">
      <c r="A37" s="53" t="s">
        <v>196</v>
      </c>
      <c r="B37" s="54" t="s">
        <v>150</v>
      </c>
      <c r="C37" s="54" t="s">
        <v>139</v>
      </c>
      <c r="D37" s="50">
        <v>0.75347222222222221</v>
      </c>
      <c r="E37" s="50">
        <v>0.84027777777777779</v>
      </c>
      <c r="F37" s="50">
        <v>0.85763888888888884</v>
      </c>
      <c r="G37" s="50"/>
      <c r="H37" s="50">
        <f t="shared" si="0"/>
        <v>1.7361111111111049E-2</v>
      </c>
    </row>
    <row r="38" spans="1:8" x14ac:dyDescent="0.35">
      <c r="A38" s="53" t="s">
        <v>179</v>
      </c>
      <c r="B38" s="54" t="s">
        <v>267</v>
      </c>
      <c r="C38" s="54" t="s">
        <v>269</v>
      </c>
      <c r="D38" s="50">
        <v>0.77083333333333337</v>
      </c>
      <c r="E38" s="50">
        <v>0.83333333333333337</v>
      </c>
      <c r="F38" s="50">
        <v>0.85416666666666663</v>
      </c>
      <c r="G38" s="50"/>
      <c r="H38" s="50">
        <f t="shared" si="0"/>
        <v>2.0833333333333259E-2</v>
      </c>
    </row>
    <row r="39" spans="1:8" x14ac:dyDescent="0.35">
      <c r="A39" s="53" t="s">
        <v>205</v>
      </c>
      <c r="B39" s="54" t="s">
        <v>267</v>
      </c>
      <c r="C39" s="54" t="s">
        <v>269</v>
      </c>
      <c r="D39" s="50">
        <v>0.77083333333333337</v>
      </c>
      <c r="E39" s="50">
        <v>0.86458333333333337</v>
      </c>
      <c r="F39" s="50">
        <v>0.875</v>
      </c>
      <c r="G39" s="50"/>
      <c r="H39" s="50">
        <f t="shared" si="0"/>
        <v>1.041666666666663E-2</v>
      </c>
    </row>
    <row r="40" spans="1:8" x14ac:dyDescent="0.35">
      <c r="A40" s="53" t="s">
        <v>197</v>
      </c>
      <c r="B40" s="54" t="s">
        <v>160</v>
      </c>
      <c r="C40" s="54" t="s">
        <v>159</v>
      </c>
      <c r="D40" s="50">
        <v>0.73263888888888884</v>
      </c>
      <c r="E40" s="50">
        <v>0.77777777777777779</v>
      </c>
      <c r="F40" s="50">
        <v>0.80555555555555558</v>
      </c>
      <c r="G40" s="50"/>
      <c r="H40" s="50">
        <f t="shared" si="0"/>
        <v>2.777777777777779E-2</v>
      </c>
    </row>
    <row r="41" spans="1:8" x14ac:dyDescent="0.35">
      <c r="A41" s="53" t="s">
        <v>218</v>
      </c>
      <c r="B41" s="54" t="s">
        <v>160</v>
      </c>
      <c r="C41" s="54" t="s">
        <v>159</v>
      </c>
      <c r="D41" s="50">
        <v>0.73263888888888884</v>
      </c>
      <c r="E41" s="50">
        <v>0.8125</v>
      </c>
      <c r="F41" s="50">
        <v>0.82638888888888884</v>
      </c>
      <c r="G41" s="50"/>
      <c r="H41" s="50">
        <f t="shared" si="0"/>
        <v>1.388888888888884E-2</v>
      </c>
    </row>
    <row r="42" spans="1:8" x14ac:dyDescent="0.35">
      <c r="A42" s="53" t="s">
        <v>191</v>
      </c>
      <c r="B42" s="54" t="s">
        <v>266</v>
      </c>
      <c r="C42" s="54" t="s">
        <v>268</v>
      </c>
      <c r="D42" s="50">
        <v>0.73611111111111116</v>
      </c>
      <c r="E42" s="50">
        <v>0.78819444444444442</v>
      </c>
      <c r="F42" s="50">
        <v>0.80902777777777779</v>
      </c>
      <c r="G42" s="50"/>
      <c r="H42" s="50">
        <f t="shared" si="0"/>
        <v>2.083333333333337E-2</v>
      </c>
    </row>
    <row r="43" spans="1:8" x14ac:dyDescent="0.35">
      <c r="A43" s="53" t="s">
        <v>183</v>
      </c>
      <c r="B43" s="54" t="s">
        <v>231</v>
      </c>
      <c r="C43" s="54" t="s">
        <v>232</v>
      </c>
      <c r="D43" s="50">
        <v>0.74652777777777779</v>
      </c>
      <c r="E43" s="50">
        <v>0.79513888888888884</v>
      </c>
      <c r="F43" s="50">
        <v>0.82291666666666663</v>
      </c>
      <c r="G43" s="50"/>
      <c r="H43" s="50">
        <f t="shared" si="0"/>
        <v>2.777777777777779E-2</v>
      </c>
    </row>
    <row r="44" spans="1:8" x14ac:dyDescent="0.35">
      <c r="A44" s="53" t="s">
        <v>223</v>
      </c>
      <c r="B44" s="54" t="s">
        <v>145</v>
      </c>
      <c r="C44" s="54" t="s">
        <v>137</v>
      </c>
      <c r="D44" s="50">
        <v>0.74305555555555558</v>
      </c>
      <c r="E44" s="50">
        <v>0.79166666666666663</v>
      </c>
      <c r="F44" s="50">
        <v>0.80555555555555558</v>
      </c>
      <c r="G44" s="50"/>
      <c r="H44" s="50">
        <f t="shared" si="0"/>
        <v>1.3888888888888951E-2</v>
      </c>
    </row>
    <row r="45" spans="1:8" x14ac:dyDescent="0.35">
      <c r="A45" s="53" t="s">
        <v>176</v>
      </c>
      <c r="B45" s="54" t="s">
        <v>125</v>
      </c>
      <c r="C45" s="54" t="s">
        <v>258</v>
      </c>
      <c r="D45" s="50" t="s">
        <v>247</v>
      </c>
      <c r="E45" s="50" t="s">
        <v>248</v>
      </c>
      <c r="F45" s="50"/>
      <c r="G45" s="50"/>
      <c r="H45" s="50" t="e">
        <f t="shared" si="0"/>
        <v>#VALUE!</v>
      </c>
    </row>
    <row r="46" spans="1:8" x14ac:dyDescent="0.35">
      <c r="A46" s="53" t="s">
        <v>193</v>
      </c>
      <c r="B46" s="54" t="s">
        <v>125</v>
      </c>
      <c r="C46" s="54" t="s">
        <v>258</v>
      </c>
      <c r="D46" s="50" t="s">
        <v>247</v>
      </c>
      <c r="E46" s="50" t="s">
        <v>248</v>
      </c>
      <c r="F46" s="50"/>
      <c r="G46" s="50"/>
      <c r="H46" s="50" t="e">
        <f t="shared" si="0"/>
        <v>#VALUE!</v>
      </c>
    </row>
    <row r="47" spans="1:8" x14ac:dyDescent="0.35">
      <c r="A47" s="53" t="s">
        <v>200</v>
      </c>
      <c r="B47" s="54" t="s">
        <v>228</v>
      </c>
      <c r="C47" s="54" t="s">
        <v>127</v>
      </c>
      <c r="D47" s="50" t="s">
        <v>247</v>
      </c>
      <c r="E47" s="50" t="s">
        <v>248</v>
      </c>
      <c r="F47" s="50"/>
      <c r="G47" s="50"/>
      <c r="H47" s="50" t="e">
        <f t="shared" si="0"/>
        <v>#VALUE!</v>
      </c>
    </row>
    <row r="48" spans="1:8" x14ac:dyDescent="0.35">
      <c r="A48" s="53" t="s">
        <v>206</v>
      </c>
      <c r="B48" s="54" t="s">
        <v>257</v>
      </c>
      <c r="C48" s="54" t="s">
        <v>263</v>
      </c>
      <c r="D48" s="50" t="s">
        <v>247</v>
      </c>
      <c r="E48" s="50" t="s">
        <v>248</v>
      </c>
      <c r="F48" s="50"/>
      <c r="G48" s="50"/>
      <c r="H48" s="50" t="e">
        <f t="shared" si="0"/>
        <v>#VALUE!</v>
      </c>
    </row>
    <row r="49" spans="1:8" x14ac:dyDescent="0.35">
      <c r="A49" s="53" t="s">
        <v>216</v>
      </c>
      <c r="B49" s="54" t="s">
        <v>257</v>
      </c>
      <c r="C49" s="54" t="s">
        <v>263</v>
      </c>
      <c r="D49" s="50" t="s">
        <v>247</v>
      </c>
      <c r="E49" s="50" t="s">
        <v>248</v>
      </c>
      <c r="F49" s="50"/>
      <c r="G49" s="50"/>
      <c r="H49" s="50" t="e">
        <f t="shared" si="0"/>
        <v>#VALUE!</v>
      </c>
    </row>
    <row r="50" spans="1:8" x14ac:dyDescent="0.35">
      <c r="A50" s="53" t="s">
        <v>220</v>
      </c>
      <c r="B50" s="54" t="s">
        <v>169</v>
      </c>
      <c r="C50" s="54" t="s">
        <v>170</v>
      </c>
      <c r="D50" s="50">
        <v>0.55555555555555558</v>
      </c>
      <c r="E50" s="50">
        <v>0.59722222222222221</v>
      </c>
      <c r="F50" s="50">
        <v>0.61111111111111116</v>
      </c>
      <c r="G50" s="50"/>
      <c r="H50" s="50">
        <f t="shared" si="0"/>
        <v>1.3888888888888951E-2</v>
      </c>
    </row>
    <row r="51" spans="1:8" x14ac:dyDescent="0.35">
      <c r="A51" s="53" t="s">
        <v>222</v>
      </c>
      <c r="B51" s="54" t="s">
        <v>157</v>
      </c>
      <c r="C51" s="54" t="s">
        <v>158</v>
      </c>
      <c r="D51" s="50">
        <v>0.75</v>
      </c>
      <c r="E51" s="50">
        <v>0.77430555555555558</v>
      </c>
      <c r="F51" s="50">
        <v>0.83333333333333337</v>
      </c>
      <c r="G51" s="50"/>
      <c r="H51" s="50">
        <f t="shared" si="0"/>
        <v>5.902777777777779E-2</v>
      </c>
    </row>
    <row r="52" spans="1:8" x14ac:dyDescent="0.35">
      <c r="A52" s="53" t="s">
        <v>185</v>
      </c>
      <c r="B52" s="54" t="s">
        <v>157</v>
      </c>
      <c r="C52" s="54" t="s">
        <v>158</v>
      </c>
      <c r="D52" s="50">
        <v>0.75</v>
      </c>
      <c r="E52" s="50">
        <v>0.76041666666666663</v>
      </c>
      <c r="F52" s="50">
        <v>0.77083333333333337</v>
      </c>
      <c r="G52" s="50"/>
      <c r="H52" s="50">
        <f t="shared" si="0"/>
        <v>1.0416666666666741E-2</v>
      </c>
    </row>
    <row r="53" spans="1:8" x14ac:dyDescent="0.35">
      <c r="A53" s="53"/>
      <c r="B53" s="54"/>
      <c r="C53" s="54"/>
      <c r="D53" s="50"/>
      <c r="E53" s="50"/>
      <c r="F53" s="50"/>
      <c r="G53" s="50"/>
      <c r="H53" s="50">
        <f t="shared" si="0"/>
        <v>0</v>
      </c>
    </row>
    <row r="54" spans="1:8" x14ac:dyDescent="0.35">
      <c r="A54" s="53"/>
      <c r="B54" s="54"/>
      <c r="C54" s="54"/>
      <c r="D54" s="50"/>
      <c r="E54" s="50"/>
      <c r="F54" s="50"/>
      <c r="G54" s="50"/>
      <c r="H54" s="50">
        <f t="shared" si="0"/>
        <v>0</v>
      </c>
    </row>
    <row r="55" spans="1:8" x14ac:dyDescent="0.35">
      <c r="A55" s="53"/>
      <c r="B55" s="54"/>
      <c r="C55" s="54"/>
      <c r="D55" s="50"/>
      <c r="E55" s="50"/>
      <c r="F55" s="50"/>
      <c r="G55" s="50"/>
      <c r="H55" s="50">
        <f t="shared" si="0"/>
        <v>0</v>
      </c>
    </row>
    <row r="56" spans="1:8" x14ac:dyDescent="0.35">
      <c r="A56" s="53"/>
      <c r="B56" s="54"/>
      <c r="C56" s="54"/>
      <c r="D56" s="50"/>
      <c r="E56" s="50"/>
      <c r="F56" s="50"/>
      <c r="G56" s="50"/>
      <c r="H56" s="50">
        <f t="shared" si="0"/>
        <v>0</v>
      </c>
    </row>
    <row r="57" spans="1:8" x14ac:dyDescent="0.35">
      <c r="A57" s="53"/>
      <c r="B57" s="54"/>
      <c r="C57" s="54"/>
      <c r="D57" s="50"/>
      <c r="E57" s="50"/>
      <c r="F57" s="50"/>
      <c r="G57" s="50"/>
      <c r="H57" s="50">
        <f t="shared" si="0"/>
        <v>0</v>
      </c>
    </row>
    <row r="58" spans="1:8" x14ac:dyDescent="0.35">
      <c r="A58" s="53"/>
      <c r="B58" s="54"/>
      <c r="C58" s="54"/>
      <c r="D58" s="50"/>
      <c r="E58" s="50"/>
      <c r="F58" s="50"/>
      <c r="G58" s="50"/>
      <c r="H58" s="50">
        <f t="shared" si="0"/>
        <v>0</v>
      </c>
    </row>
    <row r="59" spans="1:8" x14ac:dyDescent="0.35">
      <c r="A59" s="53"/>
      <c r="B59" s="54"/>
      <c r="C59" s="54"/>
      <c r="D59" s="50"/>
      <c r="E59" s="50"/>
      <c r="F59" s="50"/>
      <c r="G59" s="50"/>
      <c r="H59" s="50">
        <f t="shared" si="0"/>
        <v>0</v>
      </c>
    </row>
    <row r="60" spans="1:8" x14ac:dyDescent="0.35">
      <c r="A60" s="53"/>
      <c r="B60" s="54"/>
      <c r="C60" s="54"/>
      <c r="D60" s="50"/>
      <c r="E60" s="50"/>
      <c r="F60" s="50"/>
      <c r="G60" s="50"/>
      <c r="H60" s="50">
        <f t="shared" si="0"/>
        <v>0</v>
      </c>
    </row>
    <row r="61" spans="1:8" x14ac:dyDescent="0.35">
      <c r="A61" s="53"/>
      <c r="B61" s="54"/>
      <c r="C61" s="54"/>
      <c r="D61" s="50"/>
      <c r="E61" s="50"/>
      <c r="F61" s="50"/>
      <c r="G61" s="50"/>
      <c r="H61" s="50">
        <f t="shared" si="0"/>
        <v>0</v>
      </c>
    </row>
    <row r="62" spans="1:8" x14ac:dyDescent="0.35">
      <c r="A62" s="53"/>
      <c r="B62" s="54"/>
      <c r="C62" s="54"/>
      <c r="D62" s="50"/>
      <c r="E62" s="50"/>
      <c r="F62" s="50"/>
      <c r="G62" s="50"/>
      <c r="H62" s="50">
        <f t="shared" si="0"/>
        <v>0</v>
      </c>
    </row>
    <row r="63" spans="1:8" x14ac:dyDescent="0.35">
      <c r="A63" s="53"/>
      <c r="B63" s="54"/>
      <c r="C63" s="54"/>
      <c r="D63" s="50"/>
      <c r="E63" s="50"/>
      <c r="F63" s="50"/>
      <c r="G63" s="50"/>
      <c r="H63" s="50">
        <f t="shared" si="0"/>
        <v>0</v>
      </c>
    </row>
    <row r="64" spans="1:8" x14ac:dyDescent="0.35">
      <c r="A64" s="53"/>
      <c r="B64" s="54"/>
      <c r="C64" s="54"/>
      <c r="D64" s="50"/>
      <c r="E64" s="50"/>
      <c r="F64" s="50"/>
      <c r="G64" s="50"/>
      <c r="H64" s="50">
        <f t="shared" si="0"/>
        <v>0</v>
      </c>
    </row>
    <row r="65" spans="1:8" x14ac:dyDescent="0.35">
      <c r="A65" s="53"/>
      <c r="B65" s="54"/>
      <c r="C65" s="54"/>
      <c r="D65" s="50"/>
      <c r="E65" s="50"/>
      <c r="F65" s="50"/>
      <c r="G65" s="50"/>
      <c r="H65" s="50">
        <f t="shared" si="0"/>
        <v>0</v>
      </c>
    </row>
    <row r="66" spans="1:8" x14ac:dyDescent="0.35">
      <c r="A66" s="53"/>
      <c r="B66" s="54"/>
      <c r="C66" s="54"/>
      <c r="D66" s="50"/>
      <c r="E66" s="50"/>
      <c r="F66" s="50"/>
      <c r="G66" s="50"/>
      <c r="H66" s="50">
        <f t="shared" si="0"/>
        <v>0</v>
      </c>
    </row>
    <row r="67" spans="1:8" x14ac:dyDescent="0.35">
      <c r="A67" s="53"/>
      <c r="B67" s="54"/>
      <c r="C67" s="54"/>
      <c r="D67" s="50"/>
      <c r="E67" s="50"/>
      <c r="F67" s="50"/>
      <c r="G67" s="50"/>
      <c r="H67" s="50">
        <f t="shared" ref="H67:H69" si="1">MOD(F67-E67, 1)</f>
        <v>0</v>
      </c>
    </row>
    <row r="68" spans="1:8" x14ac:dyDescent="0.35">
      <c r="A68" s="53"/>
      <c r="B68" s="54"/>
      <c r="C68" s="54"/>
      <c r="D68" s="50"/>
      <c r="E68" s="50"/>
      <c r="F68" s="50"/>
      <c r="G68" s="50"/>
      <c r="H68" s="50">
        <f t="shared" si="1"/>
        <v>0</v>
      </c>
    </row>
    <row r="69" spans="1:8" x14ac:dyDescent="0.35">
      <c r="A69" s="53"/>
      <c r="B69" s="54"/>
      <c r="C69" s="54"/>
      <c r="D69" s="50"/>
      <c r="E69" s="50"/>
      <c r="F69" s="50"/>
      <c r="G69" s="50"/>
      <c r="H69" s="50">
        <f t="shared" si="1"/>
        <v>0</v>
      </c>
    </row>
  </sheetData>
  <autoFilter ref="A2:F38" xr:uid="{00000000-0001-0000-0000-000000000000}">
    <sortState xmlns:xlrd2="http://schemas.microsoft.com/office/spreadsheetml/2017/richdata2" ref="A3:F18">
      <sortCondition ref="A2"/>
    </sortState>
  </autoFilter>
  <conditionalFormatting sqref="H3:H412">
    <cfRule type="cellIs" dxfId="7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C1AE1-0B53-48DE-BAEA-E48BB9D3C5A1}">
  <sheetPr>
    <pageSetUpPr fitToPage="1"/>
  </sheetPr>
  <dimension ref="A1:K69"/>
  <sheetViews>
    <sheetView showGridLines="0" zoomScale="55" zoomScaleNormal="55" workbookViewId="0">
      <pane ySplit="2" topLeftCell="A3" activePane="bottomLeft" state="frozen"/>
      <selection pane="bottomLeft" activeCell="B43" sqref="B43"/>
    </sheetView>
  </sheetViews>
  <sheetFormatPr defaultColWidth="9" defaultRowHeight="23.25" x14ac:dyDescent="0.35"/>
  <cols>
    <col min="1" max="1" width="41.7109375" style="29" bestFit="1" customWidth="1"/>
    <col min="2" max="2" width="23.140625" style="7" bestFit="1" customWidth="1"/>
    <col min="3" max="3" width="16.28515625" style="6" bestFit="1" customWidth="1"/>
    <col min="4" max="4" width="20.28515625" style="5" bestFit="1" customWidth="1"/>
    <col min="5" max="5" width="23" style="5" bestFit="1" customWidth="1"/>
    <col min="6" max="6" width="24.5703125" style="3" bestFit="1" customWidth="1"/>
    <col min="7" max="7" width="0.28515625" style="1" customWidth="1"/>
    <col min="8" max="8" width="24.85546875" style="28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39" t="s">
        <v>4</v>
      </c>
      <c r="B1" s="40"/>
      <c r="C1" s="41"/>
      <c r="D1" s="42"/>
      <c r="E1" s="42"/>
      <c r="F1" s="43"/>
      <c r="G1" s="44"/>
      <c r="H1" s="51"/>
    </row>
    <row r="2" spans="1:10" s="2" customFormat="1" x14ac:dyDescent="0.35">
      <c r="A2" s="45" t="s">
        <v>0</v>
      </c>
      <c r="B2" s="45" t="s">
        <v>1</v>
      </c>
      <c r="C2" s="45" t="s">
        <v>2</v>
      </c>
      <c r="D2" s="46" t="s">
        <v>3</v>
      </c>
      <c r="E2" s="46" t="s">
        <v>236</v>
      </c>
      <c r="F2" s="45" t="s">
        <v>5</v>
      </c>
      <c r="G2" s="47"/>
      <c r="H2" s="48" t="s">
        <v>274</v>
      </c>
    </row>
    <row r="3" spans="1:10" x14ac:dyDescent="0.35">
      <c r="A3" s="53" t="s">
        <v>210</v>
      </c>
      <c r="B3" s="54" t="s">
        <v>123</v>
      </c>
      <c r="C3" s="54" t="s">
        <v>133</v>
      </c>
      <c r="D3" s="50">
        <v>0.21875</v>
      </c>
      <c r="E3" s="50">
        <v>0.24652777777777779</v>
      </c>
      <c r="F3" s="50">
        <v>0.30902777777777779</v>
      </c>
      <c r="G3" s="50"/>
      <c r="H3" s="50">
        <f t="shared" ref="H3:H66" si="0">MOD(F3-E3, 1)</f>
        <v>6.25E-2</v>
      </c>
    </row>
    <row r="4" spans="1:10" s="4" customFormat="1" x14ac:dyDescent="0.35">
      <c r="A4" s="53" t="s">
        <v>207</v>
      </c>
      <c r="B4" s="54" t="s">
        <v>123</v>
      </c>
      <c r="C4" s="54" t="s">
        <v>133</v>
      </c>
      <c r="D4" s="50">
        <v>0.21875</v>
      </c>
      <c r="E4" s="50">
        <v>0.3263888888888889</v>
      </c>
      <c r="F4" s="50">
        <v>0.34027777777777779</v>
      </c>
      <c r="G4" s="50"/>
      <c r="H4" s="50">
        <f t="shared" si="0"/>
        <v>1.3888888888888895E-2</v>
      </c>
    </row>
    <row r="5" spans="1:10" s="4" customFormat="1" x14ac:dyDescent="0.35">
      <c r="A5" s="53" t="s">
        <v>204</v>
      </c>
      <c r="B5" s="54" t="s">
        <v>119</v>
      </c>
      <c r="C5" s="54" t="s">
        <v>128</v>
      </c>
      <c r="D5" s="50">
        <v>0.18055555555555555</v>
      </c>
      <c r="E5" s="50">
        <v>0.21527777777777779</v>
      </c>
      <c r="F5" s="50">
        <v>0.2361111111111111</v>
      </c>
      <c r="G5" s="50"/>
      <c r="H5" s="50">
        <f t="shared" si="0"/>
        <v>2.0833333333333315E-2</v>
      </c>
    </row>
    <row r="6" spans="1:10" x14ac:dyDescent="0.35">
      <c r="A6" s="53" t="s">
        <v>195</v>
      </c>
      <c r="B6" s="54" t="s">
        <v>122</v>
      </c>
      <c r="C6" s="54" t="s">
        <v>131</v>
      </c>
      <c r="D6" s="50">
        <v>0.19097222222222221</v>
      </c>
      <c r="E6" s="50">
        <v>0.21180555555555555</v>
      </c>
      <c r="F6" s="50">
        <v>0.31597222222222221</v>
      </c>
      <c r="G6" s="50"/>
      <c r="H6" s="50">
        <f t="shared" si="0"/>
        <v>0.10416666666666666</v>
      </c>
    </row>
    <row r="7" spans="1:10" x14ac:dyDescent="0.35">
      <c r="A7" s="53" t="s">
        <v>177</v>
      </c>
      <c r="B7" s="54" t="s">
        <v>121</v>
      </c>
      <c r="C7" s="54" t="s">
        <v>130</v>
      </c>
      <c r="D7" s="50">
        <v>0.21180555555555555</v>
      </c>
      <c r="E7" s="50">
        <v>0.24652777777777779</v>
      </c>
      <c r="F7" s="50">
        <v>0.38194444444444442</v>
      </c>
      <c r="G7" s="50"/>
      <c r="H7" s="50">
        <f t="shared" si="0"/>
        <v>0.13541666666666663</v>
      </c>
    </row>
    <row r="8" spans="1:10" x14ac:dyDescent="0.35">
      <c r="A8" s="53" t="s">
        <v>192</v>
      </c>
      <c r="B8" s="54" t="s">
        <v>117</v>
      </c>
      <c r="C8" s="54" t="s">
        <v>126</v>
      </c>
      <c r="D8" s="50">
        <v>0.21527777777777779</v>
      </c>
      <c r="E8" s="50">
        <v>0.24652777777777779</v>
      </c>
      <c r="F8" s="50">
        <v>0.28819444444444442</v>
      </c>
      <c r="G8" s="50"/>
      <c r="H8" s="50">
        <f t="shared" si="0"/>
        <v>4.166666666666663E-2</v>
      </c>
    </row>
    <row r="9" spans="1:10" s="4" customFormat="1" x14ac:dyDescent="0.35">
      <c r="A9" s="53" t="s">
        <v>180</v>
      </c>
      <c r="B9" s="54" t="s">
        <v>148</v>
      </c>
      <c r="C9" s="54" t="s">
        <v>141</v>
      </c>
      <c r="D9" s="50">
        <v>0.22569444444444445</v>
      </c>
      <c r="E9" s="50">
        <v>0.25694444444444442</v>
      </c>
      <c r="F9" s="50">
        <v>0.3576388888888889</v>
      </c>
      <c r="G9" s="50"/>
      <c r="H9" s="50">
        <f t="shared" si="0"/>
        <v>0.10069444444444448</v>
      </c>
      <c r="I9" s="8"/>
      <c r="J9" s="8"/>
    </row>
    <row r="10" spans="1:10" s="4" customFormat="1" x14ac:dyDescent="0.35">
      <c r="A10" s="53" t="s">
        <v>221</v>
      </c>
      <c r="B10" s="54" t="s">
        <v>124</v>
      </c>
      <c r="C10" s="54" t="s">
        <v>134</v>
      </c>
      <c r="D10" s="50">
        <v>0.14930555555555555</v>
      </c>
      <c r="E10" s="50">
        <v>0.18055555555555555</v>
      </c>
      <c r="F10" s="50">
        <v>0.29166666666666669</v>
      </c>
      <c r="G10" s="50"/>
      <c r="H10" s="50">
        <f t="shared" si="0"/>
        <v>0.11111111111111113</v>
      </c>
      <c r="I10" s="8"/>
      <c r="J10" s="8"/>
    </row>
    <row r="11" spans="1:10" x14ac:dyDescent="0.35">
      <c r="A11" s="53" t="s">
        <v>187</v>
      </c>
      <c r="B11" s="54" t="s">
        <v>272</v>
      </c>
      <c r="C11" s="54" t="s">
        <v>163</v>
      </c>
      <c r="D11" s="50" t="s">
        <v>247</v>
      </c>
      <c r="E11" s="50" t="s">
        <v>248</v>
      </c>
      <c r="F11" s="50"/>
      <c r="G11" s="50"/>
      <c r="H11" s="50" t="e">
        <f t="shared" si="0"/>
        <v>#VALUE!</v>
      </c>
      <c r="I11" s="8"/>
      <c r="J11" s="8"/>
    </row>
    <row r="12" spans="1:10" x14ac:dyDescent="0.35">
      <c r="A12" s="53" t="s">
        <v>202</v>
      </c>
      <c r="B12" s="54" t="s">
        <v>122</v>
      </c>
      <c r="C12" s="54" t="s">
        <v>131</v>
      </c>
      <c r="D12" s="50">
        <v>0.48958333333333331</v>
      </c>
      <c r="E12" s="50">
        <v>0.53819444444444442</v>
      </c>
      <c r="F12" s="50">
        <v>0.54513888888888884</v>
      </c>
      <c r="G12" s="50"/>
      <c r="H12" s="50">
        <f t="shared" si="0"/>
        <v>6.9444444444444198E-3</v>
      </c>
    </row>
    <row r="13" spans="1:10" x14ac:dyDescent="0.35">
      <c r="A13" s="53" t="s">
        <v>203</v>
      </c>
      <c r="B13" s="54" t="s">
        <v>347</v>
      </c>
      <c r="C13" s="54" t="s">
        <v>353</v>
      </c>
      <c r="D13" s="50">
        <v>0.625</v>
      </c>
      <c r="E13" s="50">
        <v>0.66666666666666663</v>
      </c>
      <c r="F13" s="50">
        <v>0.69444444444444442</v>
      </c>
      <c r="G13" s="50"/>
      <c r="H13" s="50">
        <f t="shared" si="0"/>
        <v>2.777777777777779E-2</v>
      </c>
    </row>
    <row r="14" spans="1:10" x14ac:dyDescent="0.35">
      <c r="A14" s="53" t="s">
        <v>222</v>
      </c>
      <c r="B14" s="54" t="s">
        <v>380</v>
      </c>
      <c r="C14" s="54" t="s">
        <v>379</v>
      </c>
      <c r="D14" s="50">
        <v>0.60763888888888884</v>
      </c>
      <c r="E14" s="50">
        <v>0.61805555555555558</v>
      </c>
      <c r="F14" s="50">
        <v>0.63194444444444442</v>
      </c>
      <c r="G14" s="50"/>
      <c r="H14" s="50">
        <f t="shared" si="0"/>
        <v>1.388888888888884E-2</v>
      </c>
    </row>
    <row r="15" spans="1:10" x14ac:dyDescent="0.35">
      <c r="A15" s="53" t="s">
        <v>223</v>
      </c>
      <c r="B15" s="54" t="s">
        <v>380</v>
      </c>
      <c r="C15" s="54" t="s">
        <v>379</v>
      </c>
      <c r="D15" s="50">
        <v>0.60763888888888884</v>
      </c>
      <c r="E15" s="50">
        <v>0.68055555555555558</v>
      </c>
      <c r="F15" s="50">
        <v>0.70138888888888884</v>
      </c>
      <c r="G15" s="50"/>
      <c r="H15" s="50">
        <f t="shared" si="0"/>
        <v>2.0833333333333259E-2</v>
      </c>
    </row>
    <row r="16" spans="1:10" x14ac:dyDescent="0.35">
      <c r="A16" s="53" t="s">
        <v>184</v>
      </c>
      <c r="B16" s="54" t="s">
        <v>314</v>
      </c>
      <c r="C16" s="54" t="s">
        <v>154</v>
      </c>
      <c r="D16" s="50">
        <v>0.47569444444444442</v>
      </c>
      <c r="E16" s="50">
        <v>0.51736111111111116</v>
      </c>
      <c r="F16" s="50">
        <v>0.57986111111111116</v>
      </c>
      <c r="G16" s="50"/>
      <c r="H16" s="50">
        <f t="shared" si="0"/>
        <v>6.25E-2</v>
      </c>
    </row>
    <row r="17" spans="1:11" x14ac:dyDescent="0.35">
      <c r="A17" s="53" t="s">
        <v>184</v>
      </c>
      <c r="B17" s="54" t="s">
        <v>315</v>
      </c>
      <c r="C17" s="54" t="s">
        <v>138</v>
      </c>
      <c r="D17" s="50">
        <v>0.5</v>
      </c>
      <c r="E17" s="50">
        <v>0.54513888888888884</v>
      </c>
      <c r="F17" s="50">
        <v>0.59722222222222221</v>
      </c>
      <c r="G17" s="50"/>
      <c r="H17" s="50">
        <f t="shared" si="0"/>
        <v>5.208333333333337E-2</v>
      </c>
    </row>
    <row r="18" spans="1:11" x14ac:dyDescent="0.35">
      <c r="A18" s="53" t="s">
        <v>184</v>
      </c>
      <c r="B18" s="54" t="s">
        <v>381</v>
      </c>
      <c r="C18" s="54" t="s">
        <v>373</v>
      </c>
      <c r="D18" s="50">
        <v>0.51041666666666663</v>
      </c>
      <c r="E18" s="50">
        <v>0.54513888888888884</v>
      </c>
      <c r="F18" s="50">
        <v>0.61458333333333337</v>
      </c>
      <c r="G18" s="50"/>
      <c r="H18" s="50">
        <f t="shared" si="0"/>
        <v>6.9444444444444531E-2</v>
      </c>
    </row>
    <row r="19" spans="1:11" x14ac:dyDescent="0.35">
      <c r="A19" s="53" t="s">
        <v>181</v>
      </c>
      <c r="B19" s="54" t="s">
        <v>382</v>
      </c>
      <c r="C19" s="54" t="s">
        <v>141</v>
      </c>
      <c r="D19" s="50">
        <v>0.5625</v>
      </c>
      <c r="E19" s="50">
        <v>0.61111111111111116</v>
      </c>
      <c r="F19" s="50">
        <v>0.625</v>
      </c>
      <c r="G19" s="50"/>
      <c r="H19" s="50">
        <f t="shared" si="0"/>
        <v>1.388888888888884E-2</v>
      </c>
    </row>
    <row r="20" spans="1:11" x14ac:dyDescent="0.35">
      <c r="A20" s="53" t="s">
        <v>181</v>
      </c>
      <c r="B20" s="54" t="s">
        <v>383</v>
      </c>
      <c r="C20" s="54" t="s">
        <v>167</v>
      </c>
      <c r="D20" s="50" t="s">
        <v>247</v>
      </c>
      <c r="E20" s="50" t="s">
        <v>248</v>
      </c>
      <c r="F20" s="50"/>
      <c r="G20" s="50"/>
      <c r="H20" s="50" t="e">
        <f t="shared" si="0"/>
        <v>#VALUE!</v>
      </c>
    </row>
    <row r="21" spans="1:11" x14ac:dyDescent="0.35">
      <c r="A21" s="53" t="s">
        <v>174</v>
      </c>
      <c r="B21" s="54" t="s">
        <v>384</v>
      </c>
      <c r="C21" s="54" t="s">
        <v>389</v>
      </c>
      <c r="D21" s="50">
        <v>0.59027777777777779</v>
      </c>
      <c r="E21" s="50">
        <v>0.63194444444444442</v>
      </c>
      <c r="F21" s="50">
        <v>0.66319444444444442</v>
      </c>
      <c r="G21" s="50"/>
      <c r="H21" s="50">
        <f t="shared" si="0"/>
        <v>3.125E-2</v>
      </c>
      <c r="I21" s="6"/>
      <c r="J21" s="5"/>
      <c r="K21" s="5"/>
    </row>
    <row r="22" spans="1:11" x14ac:dyDescent="0.35">
      <c r="A22" s="53" t="s">
        <v>214</v>
      </c>
      <c r="B22" s="54" t="s">
        <v>324</v>
      </c>
      <c r="C22" s="54" t="s">
        <v>161</v>
      </c>
      <c r="D22" s="50">
        <v>0.63888888888888884</v>
      </c>
      <c r="E22" s="50">
        <v>0.68055555555555558</v>
      </c>
      <c r="F22" s="50">
        <v>0.73958333333333337</v>
      </c>
      <c r="G22" s="50"/>
      <c r="H22" s="50">
        <f t="shared" si="0"/>
        <v>5.902777777777779E-2</v>
      </c>
      <c r="I22" s="6"/>
      <c r="J22" s="5"/>
      <c r="K22" s="5"/>
    </row>
    <row r="23" spans="1:11" x14ac:dyDescent="0.35">
      <c r="A23" s="53" t="s">
        <v>214</v>
      </c>
      <c r="B23" s="54" t="s">
        <v>385</v>
      </c>
      <c r="C23" s="54" t="s">
        <v>249</v>
      </c>
      <c r="D23" s="50">
        <v>0.67013888888888884</v>
      </c>
      <c r="E23" s="50">
        <v>0.71527777777777779</v>
      </c>
      <c r="F23" s="50">
        <v>0.75347222222222221</v>
      </c>
      <c r="G23" s="50"/>
      <c r="H23" s="50">
        <f t="shared" si="0"/>
        <v>3.819444444444442E-2</v>
      </c>
      <c r="I23" s="6"/>
      <c r="J23" s="5"/>
      <c r="K23" s="5"/>
    </row>
    <row r="24" spans="1:11" x14ac:dyDescent="0.35">
      <c r="A24" s="53" t="s">
        <v>188</v>
      </c>
      <c r="B24" s="54" t="s">
        <v>124</v>
      </c>
      <c r="C24" s="54" t="s">
        <v>134</v>
      </c>
      <c r="D24" s="50">
        <v>0.46875</v>
      </c>
      <c r="E24" s="50">
        <v>0.51736111111111116</v>
      </c>
      <c r="F24" s="50">
        <v>0.52777777777777779</v>
      </c>
      <c r="G24" s="50"/>
      <c r="H24" s="50">
        <f t="shared" si="0"/>
        <v>1.041666666666663E-2</v>
      </c>
      <c r="I24" s="6"/>
      <c r="J24" s="5"/>
      <c r="K24" s="5"/>
    </row>
    <row r="25" spans="1:11" x14ac:dyDescent="0.35">
      <c r="A25" s="53" t="s">
        <v>182</v>
      </c>
      <c r="B25" s="54" t="s">
        <v>149</v>
      </c>
      <c r="C25" s="54" t="s">
        <v>129</v>
      </c>
      <c r="D25" s="50">
        <v>0.64236111111111116</v>
      </c>
      <c r="E25" s="50">
        <v>0.68055555555555558</v>
      </c>
      <c r="F25" s="50">
        <v>0.69791666666666663</v>
      </c>
      <c r="G25" s="50"/>
      <c r="H25" s="50">
        <f t="shared" si="0"/>
        <v>1.7361111111111049E-2</v>
      </c>
    </row>
    <row r="26" spans="1:11" x14ac:dyDescent="0.35">
      <c r="A26" s="53" t="s">
        <v>212</v>
      </c>
      <c r="B26" s="54" t="s">
        <v>151</v>
      </c>
      <c r="C26" s="54" t="s">
        <v>132</v>
      </c>
      <c r="D26" s="50">
        <v>0.63541666666666663</v>
      </c>
      <c r="E26" s="50">
        <v>0.67013888888888884</v>
      </c>
      <c r="F26" s="50">
        <v>0.69097222222222221</v>
      </c>
      <c r="G26" s="50"/>
      <c r="H26" s="50">
        <f t="shared" si="0"/>
        <v>2.083333333333337E-2</v>
      </c>
    </row>
    <row r="27" spans="1:11" x14ac:dyDescent="0.35">
      <c r="A27" s="53" t="s">
        <v>186</v>
      </c>
      <c r="B27" s="54" t="s">
        <v>326</v>
      </c>
      <c r="C27" s="54" t="s">
        <v>327</v>
      </c>
      <c r="D27" s="50">
        <v>0.62152777777777779</v>
      </c>
      <c r="E27" s="50">
        <v>0.65625</v>
      </c>
      <c r="F27" s="50">
        <v>0.69791666666666663</v>
      </c>
      <c r="G27" s="50"/>
      <c r="H27" s="50">
        <f t="shared" si="0"/>
        <v>4.166666666666663E-2</v>
      </c>
    </row>
    <row r="28" spans="1:11" x14ac:dyDescent="0.35">
      <c r="A28" s="53" t="s">
        <v>208</v>
      </c>
      <c r="B28" s="54" t="s">
        <v>307</v>
      </c>
      <c r="C28" s="54" t="s">
        <v>133</v>
      </c>
      <c r="D28" s="50">
        <v>0.54861111111111116</v>
      </c>
      <c r="E28" s="50">
        <v>0.60416666666666663</v>
      </c>
      <c r="F28" s="50">
        <v>0.63541666666666663</v>
      </c>
      <c r="G28" s="50"/>
      <c r="H28" s="50">
        <f t="shared" si="0"/>
        <v>3.125E-2</v>
      </c>
    </row>
    <row r="29" spans="1:11" x14ac:dyDescent="0.35">
      <c r="A29" s="53" t="s">
        <v>208</v>
      </c>
      <c r="B29" s="54" t="s">
        <v>386</v>
      </c>
      <c r="C29" s="54" t="s">
        <v>390</v>
      </c>
      <c r="D29" s="50" t="s">
        <v>247</v>
      </c>
      <c r="E29" s="50" t="s">
        <v>248</v>
      </c>
      <c r="F29" s="50"/>
      <c r="G29" s="50"/>
      <c r="H29" s="50" t="e">
        <f t="shared" si="0"/>
        <v>#VALUE!</v>
      </c>
    </row>
    <row r="30" spans="1:11" x14ac:dyDescent="0.35">
      <c r="A30" s="53" t="s">
        <v>217</v>
      </c>
      <c r="B30" s="54" t="s">
        <v>125</v>
      </c>
      <c r="C30" s="54" t="s">
        <v>258</v>
      </c>
      <c r="D30" s="50" t="s">
        <v>247</v>
      </c>
      <c r="E30" s="50" t="s">
        <v>248</v>
      </c>
      <c r="F30" s="50"/>
      <c r="G30" s="50"/>
      <c r="H30" s="50" t="e">
        <f t="shared" si="0"/>
        <v>#VALUE!</v>
      </c>
    </row>
    <row r="31" spans="1:11" x14ac:dyDescent="0.35">
      <c r="A31" s="53" t="s">
        <v>209</v>
      </c>
      <c r="B31" s="54" t="s">
        <v>387</v>
      </c>
      <c r="C31" s="54" t="s">
        <v>370</v>
      </c>
      <c r="D31" s="50" t="s">
        <v>247</v>
      </c>
      <c r="E31" s="50" t="s">
        <v>248</v>
      </c>
      <c r="F31" s="50"/>
      <c r="G31" s="50"/>
      <c r="H31" s="50" t="e">
        <f t="shared" si="0"/>
        <v>#VALUE!</v>
      </c>
    </row>
    <row r="32" spans="1:11" x14ac:dyDescent="0.35">
      <c r="A32" s="53" t="s">
        <v>219</v>
      </c>
      <c r="B32" s="54" t="s">
        <v>382</v>
      </c>
      <c r="C32" s="54" t="s">
        <v>391</v>
      </c>
      <c r="D32" s="50" t="s">
        <v>247</v>
      </c>
      <c r="E32" s="50" t="s">
        <v>248</v>
      </c>
      <c r="F32" s="50"/>
      <c r="G32" s="50"/>
      <c r="H32" s="50" t="e">
        <f t="shared" si="0"/>
        <v>#VALUE!</v>
      </c>
    </row>
    <row r="33" spans="1:8" x14ac:dyDescent="0.35">
      <c r="A33" s="53" t="s">
        <v>219</v>
      </c>
      <c r="B33" s="54" t="s">
        <v>388</v>
      </c>
      <c r="C33" s="54" t="s">
        <v>250</v>
      </c>
      <c r="D33" s="50">
        <v>0.72569444444444442</v>
      </c>
      <c r="E33" s="50">
        <v>0.76041666666666663</v>
      </c>
      <c r="F33" s="50">
        <v>0.77777777777777779</v>
      </c>
      <c r="G33" s="50"/>
      <c r="H33" s="50">
        <f t="shared" si="0"/>
        <v>1.736111111111116E-2</v>
      </c>
    </row>
    <row r="34" spans="1:8" x14ac:dyDescent="0.35">
      <c r="A34" s="53" t="s">
        <v>176</v>
      </c>
      <c r="B34" s="54" t="s">
        <v>288</v>
      </c>
      <c r="C34" s="54" t="s">
        <v>402</v>
      </c>
      <c r="D34" s="50">
        <v>0.77430555555555558</v>
      </c>
      <c r="E34" s="50">
        <v>0.83333333333333337</v>
      </c>
      <c r="F34" s="50">
        <v>0.85763888888888884</v>
      </c>
      <c r="G34" s="50"/>
      <c r="H34" s="50">
        <f t="shared" si="0"/>
        <v>2.4305555555555469E-2</v>
      </c>
    </row>
    <row r="35" spans="1:8" x14ac:dyDescent="0.35">
      <c r="A35" s="53" t="s">
        <v>200</v>
      </c>
      <c r="B35" s="54" t="s">
        <v>288</v>
      </c>
      <c r="C35" s="54" t="s">
        <v>402</v>
      </c>
      <c r="D35" s="50">
        <v>0.77430555555555558</v>
      </c>
      <c r="E35" s="50">
        <v>0.86111111111111116</v>
      </c>
      <c r="F35" s="50">
        <v>0.86805555555555558</v>
      </c>
      <c r="G35" s="50"/>
      <c r="H35" s="50">
        <f t="shared" si="0"/>
        <v>6.9444444444444198E-3</v>
      </c>
    </row>
    <row r="36" spans="1:8" x14ac:dyDescent="0.35">
      <c r="A36" s="53" t="s">
        <v>193</v>
      </c>
      <c r="B36" s="54" t="s">
        <v>329</v>
      </c>
      <c r="C36" s="54" t="s">
        <v>322</v>
      </c>
      <c r="D36" s="50" t="s">
        <v>247</v>
      </c>
      <c r="E36" s="50" t="s">
        <v>248</v>
      </c>
      <c r="F36" s="50"/>
      <c r="G36" s="50"/>
      <c r="H36" s="50" t="e">
        <f t="shared" si="0"/>
        <v>#VALUE!</v>
      </c>
    </row>
    <row r="37" spans="1:8" x14ac:dyDescent="0.35">
      <c r="A37" s="53" t="s">
        <v>178</v>
      </c>
      <c r="B37" s="54" t="s">
        <v>392</v>
      </c>
      <c r="C37" s="54" t="s">
        <v>158</v>
      </c>
      <c r="D37" s="50">
        <v>0.71527777777777779</v>
      </c>
      <c r="E37" s="50">
        <v>0.75347222222222221</v>
      </c>
      <c r="F37" s="50">
        <v>0.77083333333333337</v>
      </c>
      <c r="G37" s="50"/>
      <c r="H37" s="50">
        <f t="shared" si="0"/>
        <v>1.736111111111116E-2</v>
      </c>
    </row>
    <row r="38" spans="1:8" x14ac:dyDescent="0.35">
      <c r="A38" s="53" t="s">
        <v>193</v>
      </c>
      <c r="B38" s="54" t="s">
        <v>392</v>
      </c>
      <c r="C38" s="54" t="s">
        <v>158</v>
      </c>
      <c r="D38" s="50">
        <v>0.71527777777777779</v>
      </c>
      <c r="E38" s="50">
        <v>0.78125</v>
      </c>
      <c r="F38" s="50">
        <v>0.8125</v>
      </c>
      <c r="G38" s="50"/>
      <c r="H38" s="50">
        <f t="shared" si="0"/>
        <v>3.125E-2</v>
      </c>
    </row>
    <row r="39" spans="1:8" x14ac:dyDescent="0.35">
      <c r="A39" s="53" t="s">
        <v>199</v>
      </c>
      <c r="B39" s="54" t="s">
        <v>231</v>
      </c>
      <c r="C39" s="54" t="s">
        <v>232</v>
      </c>
      <c r="D39" s="50">
        <v>0.78472222222222221</v>
      </c>
      <c r="E39" s="50">
        <v>0.85763888888888884</v>
      </c>
      <c r="F39" s="50">
        <v>0.88194444444444442</v>
      </c>
      <c r="G39" s="50"/>
      <c r="H39" s="50">
        <f t="shared" si="0"/>
        <v>2.430555555555558E-2</v>
      </c>
    </row>
    <row r="40" spans="1:8" x14ac:dyDescent="0.35">
      <c r="A40" s="53" t="s">
        <v>196</v>
      </c>
      <c r="B40" s="54" t="s">
        <v>231</v>
      </c>
      <c r="C40" s="54" t="s">
        <v>232</v>
      </c>
      <c r="D40" s="50">
        <v>0.78472222222222221</v>
      </c>
      <c r="E40" s="50">
        <v>0.89236111111111116</v>
      </c>
      <c r="F40" s="50">
        <v>0.90972222222222221</v>
      </c>
      <c r="G40" s="50"/>
      <c r="H40" s="50">
        <f t="shared" si="0"/>
        <v>1.7361111111111049E-2</v>
      </c>
    </row>
    <row r="41" spans="1:8" x14ac:dyDescent="0.35">
      <c r="A41" s="53" t="s">
        <v>205</v>
      </c>
      <c r="B41" s="54" t="s">
        <v>393</v>
      </c>
      <c r="C41" s="54" t="s">
        <v>137</v>
      </c>
      <c r="D41" s="50">
        <v>0.80902777777777779</v>
      </c>
      <c r="E41" s="50">
        <v>0.84722222222222221</v>
      </c>
      <c r="F41" s="50">
        <v>0.86458333333333337</v>
      </c>
      <c r="G41" s="50"/>
      <c r="H41" s="50">
        <f t="shared" si="0"/>
        <v>1.736111111111116E-2</v>
      </c>
    </row>
    <row r="42" spans="1:8" x14ac:dyDescent="0.35">
      <c r="A42" s="53" t="s">
        <v>197</v>
      </c>
      <c r="B42" s="54" t="s">
        <v>229</v>
      </c>
      <c r="C42" s="54" t="s">
        <v>291</v>
      </c>
      <c r="D42" s="50" t="s">
        <v>247</v>
      </c>
      <c r="E42" s="50" t="s">
        <v>248</v>
      </c>
      <c r="F42" s="50"/>
      <c r="G42" s="50"/>
      <c r="H42" s="50" t="e">
        <f t="shared" si="0"/>
        <v>#VALUE!</v>
      </c>
    </row>
    <row r="43" spans="1:8" x14ac:dyDescent="0.35">
      <c r="A43" s="53" t="s">
        <v>191</v>
      </c>
      <c r="B43" s="54" t="s">
        <v>394</v>
      </c>
      <c r="C43" s="54" t="s">
        <v>263</v>
      </c>
      <c r="D43" s="50" t="s">
        <v>247</v>
      </c>
      <c r="E43" s="50" t="s">
        <v>248</v>
      </c>
      <c r="F43" s="50"/>
      <c r="G43" s="50"/>
      <c r="H43" s="50" t="e">
        <f t="shared" si="0"/>
        <v>#VALUE!</v>
      </c>
    </row>
    <row r="44" spans="1:8" x14ac:dyDescent="0.35">
      <c r="A44" s="53" t="s">
        <v>218</v>
      </c>
      <c r="B44" s="54" t="s">
        <v>395</v>
      </c>
      <c r="C44" s="54" t="s">
        <v>355</v>
      </c>
      <c r="D44" s="50">
        <v>0.74652777777777779</v>
      </c>
      <c r="E44" s="50">
        <v>0.81597222222222221</v>
      </c>
      <c r="F44" s="50">
        <v>0.82986111111111116</v>
      </c>
      <c r="G44" s="50"/>
      <c r="H44" s="50">
        <f t="shared" si="0"/>
        <v>1.3888888888888951E-2</v>
      </c>
    </row>
    <row r="45" spans="1:8" x14ac:dyDescent="0.35">
      <c r="A45" s="53" t="s">
        <v>191</v>
      </c>
      <c r="B45" s="54" t="s">
        <v>395</v>
      </c>
      <c r="C45" s="54" t="s">
        <v>355</v>
      </c>
      <c r="D45" s="50">
        <v>0.74652777777777779</v>
      </c>
      <c r="E45" s="50">
        <v>0.79166666666666663</v>
      </c>
      <c r="F45" s="50">
        <v>0.80555555555555558</v>
      </c>
      <c r="G45" s="50"/>
      <c r="H45" s="50">
        <f t="shared" si="0"/>
        <v>1.3888888888888951E-2</v>
      </c>
    </row>
    <row r="46" spans="1:8" x14ac:dyDescent="0.35">
      <c r="A46" s="53" t="s">
        <v>224</v>
      </c>
      <c r="B46" s="54" t="s">
        <v>267</v>
      </c>
      <c r="C46" s="54" t="s">
        <v>269</v>
      </c>
      <c r="D46" s="50">
        <v>0.80555555555555558</v>
      </c>
      <c r="E46" s="50">
        <v>0.83680555555555558</v>
      </c>
      <c r="F46" s="50">
        <v>0.86805555555555558</v>
      </c>
      <c r="G46" s="50"/>
      <c r="H46" s="50">
        <f t="shared" si="0"/>
        <v>3.125E-2</v>
      </c>
    </row>
    <row r="47" spans="1:8" x14ac:dyDescent="0.35">
      <c r="A47" s="53" t="s">
        <v>183</v>
      </c>
      <c r="B47" s="54" t="s">
        <v>396</v>
      </c>
      <c r="C47" s="54" t="s">
        <v>265</v>
      </c>
      <c r="D47" s="50">
        <v>0.74652777777777779</v>
      </c>
      <c r="E47" s="50">
        <v>0.79513888888888884</v>
      </c>
      <c r="F47" s="50">
        <v>0.82986111111111116</v>
      </c>
      <c r="G47" s="50"/>
      <c r="H47" s="50">
        <f t="shared" si="0"/>
        <v>3.4722222222222321E-2</v>
      </c>
    </row>
    <row r="48" spans="1:8" x14ac:dyDescent="0.35">
      <c r="A48" s="53" t="s">
        <v>223</v>
      </c>
      <c r="B48" s="54" t="s">
        <v>397</v>
      </c>
      <c r="C48" s="54" t="s">
        <v>292</v>
      </c>
      <c r="D48" s="50">
        <v>0.80902777777777779</v>
      </c>
      <c r="E48" s="50">
        <v>0.84375</v>
      </c>
      <c r="F48" s="50">
        <v>0.87152777777777779</v>
      </c>
      <c r="G48" s="50"/>
      <c r="H48" s="50">
        <f t="shared" si="0"/>
        <v>2.777777777777779E-2</v>
      </c>
    </row>
    <row r="49" spans="1:8" x14ac:dyDescent="0.35">
      <c r="A49" s="53" t="s">
        <v>183</v>
      </c>
      <c r="B49" s="54" t="s">
        <v>398</v>
      </c>
      <c r="C49" s="54" t="s">
        <v>268</v>
      </c>
      <c r="D49" s="50" t="s">
        <v>247</v>
      </c>
      <c r="E49" s="50" t="s">
        <v>248</v>
      </c>
      <c r="F49" s="50"/>
      <c r="G49" s="50"/>
      <c r="H49" s="50" t="e">
        <f t="shared" si="0"/>
        <v>#VALUE!</v>
      </c>
    </row>
    <row r="50" spans="1:8" x14ac:dyDescent="0.35">
      <c r="A50" s="53" t="s">
        <v>223</v>
      </c>
      <c r="B50" s="54" t="s">
        <v>398</v>
      </c>
      <c r="C50" s="54" t="s">
        <v>268</v>
      </c>
      <c r="D50" s="50" t="s">
        <v>247</v>
      </c>
      <c r="E50" s="50" t="s">
        <v>248</v>
      </c>
      <c r="F50" s="50"/>
      <c r="G50" s="50"/>
      <c r="H50" s="50" t="e">
        <f t="shared" si="0"/>
        <v>#VALUE!</v>
      </c>
    </row>
    <row r="51" spans="1:8" x14ac:dyDescent="0.35">
      <c r="A51" s="53" t="s">
        <v>194</v>
      </c>
      <c r="B51" s="54" t="s">
        <v>366</v>
      </c>
      <c r="C51" s="54" t="s">
        <v>260</v>
      </c>
      <c r="D51" s="50">
        <v>0.70486111111111116</v>
      </c>
      <c r="E51" s="50">
        <v>0.73263888888888884</v>
      </c>
      <c r="F51" s="50">
        <v>0.80555555555555558</v>
      </c>
      <c r="G51" s="50"/>
      <c r="H51" s="50">
        <f t="shared" si="0"/>
        <v>7.2916666666666741E-2</v>
      </c>
    </row>
    <row r="52" spans="1:8" x14ac:dyDescent="0.35">
      <c r="A52" s="53" t="s">
        <v>216</v>
      </c>
      <c r="B52" s="54" t="s">
        <v>399</v>
      </c>
      <c r="C52" s="54" t="s">
        <v>139</v>
      </c>
      <c r="D52" s="50">
        <v>0.75</v>
      </c>
      <c r="E52" s="50">
        <v>0.77430555555555558</v>
      </c>
      <c r="F52" s="50">
        <v>0.80208333333333337</v>
      </c>
      <c r="G52" s="50"/>
      <c r="H52" s="50">
        <f t="shared" si="0"/>
        <v>2.777777777777779E-2</v>
      </c>
    </row>
    <row r="53" spans="1:8" x14ac:dyDescent="0.35">
      <c r="A53" s="53" t="s">
        <v>194</v>
      </c>
      <c r="B53" s="54" t="s">
        <v>399</v>
      </c>
      <c r="C53" s="54" t="s">
        <v>139</v>
      </c>
      <c r="D53" s="50" t="s">
        <v>275</v>
      </c>
      <c r="E53" s="50" t="s">
        <v>403</v>
      </c>
      <c r="F53" s="50" t="s">
        <v>277</v>
      </c>
      <c r="G53" s="50"/>
      <c r="H53" s="50" t="e">
        <f t="shared" si="0"/>
        <v>#VALUE!</v>
      </c>
    </row>
    <row r="54" spans="1:8" x14ac:dyDescent="0.35">
      <c r="A54" s="53" t="s">
        <v>206</v>
      </c>
      <c r="B54" s="54" t="s">
        <v>160</v>
      </c>
      <c r="C54" s="54" t="s">
        <v>159</v>
      </c>
      <c r="D54" s="50">
        <v>0.79513888888888884</v>
      </c>
      <c r="E54" s="50">
        <v>0.82291666666666663</v>
      </c>
      <c r="F54" s="50">
        <v>0.85069444444444442</v>
      </c>
      <c r="G54" s="50"/>
      <c r="H54" s="50">
        <f t="shared" si="0"/>
        <v>2.777777777777779E-2</v>
      </c>
    </row>
    <row r="55" spans="1:8" x14ac:dyDescent="0.35">
      <c r="A55" s="53" t="s">
        <v>179</v>
      </c>
      <c r="B55" s="54" t="s">
        <v>169</v>
      </c>
      <c r="C55" s="54" t="s">
        <v>170</v>
      </c>
      <c r="D55" s="50" t="s">
        <v>275</v>
      </c>
      <c r="E55" s="50" t="s">
        <v>276</v>
      </c>
      <c r="F55" s="50" t="s">
        <v>277</v>
      </c>
      <c r="G55" s="50"/>
      <c r="H55" s="50" t="e">
        <f t="shared" si="0"/>
        <v>#VALUE!</v>
      </c>
    </row>
    <row r="56" spans="1:8" x14ac:dyDescent="0.35">
      <c r="A56" s="53" t="s">
        <v>220</v>
      </c>
      <c r="B56" s="54" t="s">
        <v>146</v>
      </c>
      <c r="C56" s="54" t="s">
        <v>140</v>
      </c>
      <c r="D56" s="50">
        <v>0.80902777777777779</v>
      </c>
      <c r="E56" s="50">
        <v>0.84027777777777779</v>
      </c>
      <c r="F56" s="50">
        <v>0.85763888888888884</v>
      </c>
      <c r="G56" s="50"/>
      <c r="H56" s="50">
        <f t="shared" si="0"/>
        <v>1.7361111111111049E-2</v>
      </c>
    </row>
    <row r="57" spans="1:8" x14ac:dyDescent="0.35">
      <c r="A57" s="53" t="s">
        <v>222</v>
      </c>
      <c r="B57" s="54" t="s">
        <v>400</v>
      </c>
      <c r="C57" s="54" t="s">
        <v>353</v>
      </c>
      <c r="D57" s="50" t="s">
        <v>275</v>
      </c>
      <c r="E57" s="50" t="s">
        <v>403</v>
      </c>
      <c r="F57" s="50" t="s">
        <v>277</v>
      </c>
      <c r="G57" s="50"/>
      <c r="H57" s="50" t="e">
        <f t="shared" si="0"/>
        <v>#VALUE!</v>
      </c>
    </row>
    <row r="58" spans="1:8" x14ac:dyDescent="0.35">
      <c r="A58" s="53" t="s">
        <v>185</v>
      </c>
      <c r="B58" s="54" t="s">
        <v>401</v>
      </c>
      <c r="C58" s="54" t="s">
        <v>225</v>
      </c>
      <c r="D58" s="50" t="s">
        <v>247</v>
      </c>
      <c r="E58" s="50" t="s">
        <v>248</v>
      </c>
      <c r="F58" s="50"/>
      <c r="G58" s="50"/>
      <c r="H58" s="50" t="e">
        <f t="shared" si="0"/>
        <v>#VALUE!</v>
      </c>
    </row>
    <row r="59" spans="1:8" x14ac:dyDescent="0.35">
      <c r="A59" s="53" t="s">
        <v>222</v>
      </c>
      <c r="B59" s="54" t="s">
        <v>401</v>
      </c>
      <c r="C59" s="54" t="s">
        <v>225</v>
      </c>
      <c r="D59" s="50" t="s">
        <v>247</v>
      </c>
      <c r="E59" s="50" t="s">
        <v>248</v>
      </c>
      <c r="F59" s="50"/>
      <c r="G59" s="50"/>
      <c r="H59" s="50" t="e">
        <f t="shared" si="0"/>
        <v>#VALUE!</v>
      </c>
    </row>
    <row r="60" spans="1:8" x14ac:dyDescent="0.35">
      <c r="A60" s="53"/>
      <c r="B60" s="54"/>
      <c r="C60" s="54"/>
      <c r="D60" s="50"/>
      <c r="E60" s="50"/>
      <c r="F60" s="50"/>
      <c r="G60" s="50"/>
      <c r="H60" s="50">
        <f t="shared" si="0"/>
        <v>0</v>
      </c>
    </row>
    <row r="61" spans="1:8" x14ac:dyDescent="0.35">
      <c r="A61" s="53"/>
      <c r="B61" s="54"/>
      <c r="C61" s="54"/>
      <c r="D61" s="50"/>
      <c r="E61" s="50"/>
      <c r="F61" s="50"/>
      <c r="G61" s="50"/>
      <c r="H61" s="50">
        <f t="shared" si="0"/>
        <v>0</v>
      </c>
    </row>
    <row r="62" spans="1:8" x14ac:dyDescent="0.35">
      <c r="A62" s="53"/>
      <c r="B62" s="54"/>
      <c r="C62" s="54"/>
      <c r="D62" s="50"/>
      <c r="E62" s="50"/>
      <c r="F62" s="50"/>
      <c r="G62" s="50"/>
      <c r="H62" s="50">
        <f t="shared" si="0"/>
        <v>0</v>
      </c>
    </row>
    <row r="63" spans="1:8" x14ac:dyDescent="0.35">
      <c r="A63" s="53"/>
      <c r="B63" s="54"/>
      <c r="C63" s="54"/>
      <c r="D63" s="50"/>
      <c r="E63" s="50"/>
      <c r="F63" s="50"/>
      <c r="G63" s="50"/>
      <c r="H63" s="50">
        <f t="shared" si="0"/>
        <v>0</v>
      </c>
    </row>
    <row r="64" spans="1:8" x14ac:dyDescent="0.35">
      <c r="A64" s="53"/>
      <c r="B64" s="54"/>
      <c r="C64" s="54"/>
      <c r="D64" s="50"/>
      <c r="E64" s="50"/>
      <c r="F64" s="50"/>
      <c r="G64" s="50"/>
      <c r="H64" s="50">
        <f t="shared" si="0"/>
        <v>0</v>
      </c>
    </row>
    <row r="65" spans="1:8" x14ac:dyDescent="0.35">
      <c r="A65" s="53"/>
      <c r="B65" s="54"/>
      <c r="C65" s="54"/>
      <c r="D65" s="50"/>
      <c r="E65" s="50"/>
      <c r="F65" s="50"/>
      <c r="G65" s="50"/>
      <c r="H65" s="50">
        <f t="shared" si="0"/>
        <v>0</v>
      </c>
    </row>
    <row r="66" spans="1:8" x14ac:dyDescent="0.35">
      <c r="A66" s="53"/>
      <c r="B66" s="54"/>
      <c r="C66" s="54"/>
      <c r="D66" s="50"/>
      <c r="E66" s="50"/>
      <c r="F66" s="50"/>
      <c r="G66" s="50"/>
      <c r="H66" s="50">
        <f t="shared" si="0"/>
        <v>0</v>
      </c>
    </row>
    <row r="67" spans="1:8" x14ac:dyDescent="0.35">
      <c r="A67" s="53"/>
      <c r="B67" s="54"/>
      <c r="C67" s="54"/>
      <c r="D67" s="50"/>
      <c r="E67" s="50"/>
      <c r="F67" s="50"/>
      <c r="G67" s="50"/>
      <c r="H67" s="50">
        <f t="shared" ref="H67:H69" si="1">MOD(F67-E67, 1)</f>
        <v>0</v>
      </c>
    </row>
    <row r="68" spans="1:8" x14ac:dyDescent="0.35">
      <c r="A68" s="53"/>
      <c r="B68" s="54"/>
      <c r="C68" s="54"/>
      <c r="D68" s="50"/>
      <c r="E68" s="50"/>
      <c r="F68" s="50"/>
      <c r="G68" s="50"/>
      <c r="H68" s="50">
        <f t="shared" si="1"/>
        <v>0</v>
      </c>
    </row>
    <row r="69" spans="1:8" x14ac:dyDescent="0.35">
      <c r="A69" s="53"/>
      <c r="B69" s="54"/>
      <c r="C69" s="54"/>
      <c r="D69" s="50"/>
      <c r="E69" s="50"/>
      <c r="F69" s="50"/>
      <c r="G69" s="50"/>
      <c r="H69" s="50">
        <f t="shared" si="1"/>
        <v>0</v>
      </c>
    </row>
  </sheetData>
  <autoFilter ref="A2:F38" xr:uid="{00000000-0001-0000-0000-000000000000}">
    <sortState xmlns:xlrd2="http://schemas.microsoft.com/office/spreadsheetml/2017/richdata2" ref="A3:F18">
      <sortCondition ref="A2"/>
    </sortState>
  </autoFilter>
  <conditionalFormatting sqref="H3:H412">
    <cfRule type="cellIs" dxfId="6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86A61-7810-437C-B8F4-8A4C341366FB}">
  <sheetPr>
    <pageSetUpPr fitToPage="1"/>
  </sheetPr>
  <dimension ref="A1:K69"/>
  <sheetViews>
    <sheetView showGridLines="0" zoomScale="55" zoomScaleNormal="55" workbookViewId="0">
      <pane ySplit="2" topLeftCell="A3" activePane="bottomLeft" state="frozen"/>
      <selection pane="bottomLeft" activeCell="A3" sqref="A3:A10"/>
    </sheetView>
  </sheetViews>
  <sheetFormatPr defaultColWidth="9" defaultRowHeight="23.25" x14ac:dyDescent="0.35"/>
  <cols>
    <col min="1" max="1" width="27.85546875" style="29" bestFit="1" customWidth="1"/>
    <col min="2" max="2" width="23.140625" style="7" bestFit="1" customWidth="1"/>
    <col min="3" max="3" width="16.28515625" style="6" bestFit="1" customWidth="1"/>
    <col min="4" max="4" width="20.28515625" style="5" bestFit="1" customWidth="1"/>
    <col min="5" max="5" width="23" style="5" bestFit="1" customWidth="1"/>
    <col min="6" max="6" width="24.5703125" style="3" bestFit="1" customWidth="1"/>
    <col min="7" max="7" width="0.28515625" style="1" customWidth="1"/>
    <col min="8" max="8" width="24.85546875" style="28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39" t="s">
        <v>4</v>
      </c>
      <c r="B1" s="40"/>
      <c r="C1" s="41"/>
      <c r="D1" s="42"/>
      <c r="E1" s="42"/>
      <c r="F1" s="43"/>
      <c r="G1" s="44"/>
      <c r="H1" s="51"/>
    </row>
    <row r="2" spans="1:10" s="2" customFormat="1" x14ac:dyDescent="0.35">
      <c r="A2" s="45" t="s">
        <v>0</v>
      </c>
      <c r="B2" s="45" t="s">
        <v>1</v>
      </c>
      <c r="C2" s="45" t="s">
        <v>2</v>
      </c>
      <c r="D2" s="46" t="s">
        <v>3</v>
      </c>
      <c r="E2" s="46" t="s">
        <v>236</v>
      </c>
      <c r="F2" s="45" t="s">
        <v>5</v>
      </c>
      <c r="G2" s="47"/>
      <c r="H2" s="48" t="s">
        <v>274</v>
      </c>
    </row>
    <row r="3" spans="1:10" x14ac:dyDescent="0.35">
      <c r="A3" s="53" t="s">
        <v>192</v>
      </c>
      <c r="B3" s="54" t="s">
        <v>117</v>
      </c>
      <c r="C3" s="54" t="s">
        <v>126</v>
      </c>
      <c r="D3" s="50">
        <v>0.24305555555555555</v>
      </c>
      <c r="E3" s="50">
        <v>0.27083333333333331</v>
      </c>
      <c r="F3" s="50">
        <v>0.30555555555555558</v>
      </c>
      <c r="G3" s="50"/>
      <c r="H3" s="50">
        <f t="shared" ref="H3:H66" si="0">MOD(F3-E3, 1)</f>
        <v>3.4722222222222265E-2</v>
      </c>
    </row>
    <row r="4" spans="1:10" s="4" customFormat="1" x14ac:dyDescent="0.35">
      <c r="A4" s="53" t="s">
        <v>177</v>
      </c>
      <c r="B4" s="54" t="s">
        <v>121</v>
      </c>
      <c r="C4" s="54" t="s">
        <v>130</v>
      </c>
      <c r="D4" s="50">
        <v>0.27777777777777779</v>
      </c>
      <c r="E4" s="50">
        <v>0.31597222222222221</v>
      </c>
      <c r="F4" s="50">
        <v>0.3576388888888889</v>
      </c>
      <c r="G4" s="50"/>
      <c r="H4" s="50">
        <f t="shared" si="0"/>
        <v>4.1666666666666685E-2</v>
      </c>
    </row>
    <row r="5" spans="1:10" s="4" customFormat="1" x14ac:dyDescent="0.35">
      <c r="A5" s="53" t="s">
        <v>204</v>
      </c>
      <c r="B5" s="54" t="s">
        <v>119</v>
      </c>
      <c r="C5" s="54" t="s">
        <v>128</v>
      </c>
      <c r="D5" s="50">
        <v>0.17708333333333334</v>
      </c>
      <c r="E5" s="50">
        <v>0.2013888888888889</v>
      </c>
      <c r="F5" s="50">
        <v>0.25694444444444442</v>
      </c>
      <c r="G5" s="50"/>
      <c r="H5" s="50">
        <f t="shared" si="0"/>
        <v>5.5555555555555525E-2</v>
      </c>
    </row>
    <row r="6" spans="1:10" x14ac:dyDescent="0.35">
      <c r="A6" s="53" t="s">
        <v>195</v>
      </c>
      <c r="B6" s="54" t="s">
        <v>270</v>
      </c>
      <c r="C6" s="54" t="s">
        <v>141</v>
      </c>
      <c r="D6" s="50">
        <v>0.24652777777777779</v>
      </c>
      <c r="E6" s="50">
        <v>0.27083333333333331</v>
      </c>
      <c r="F6" s="50">
        <v>0.33333333333333331</v>
      </c>
      <c r="G6" s="50"/>
      <c r="H6" s="50">
        <f t="shared" si="0"/>
        <v>6.25E-2</v>
      </c>
    </row>
    <row r="7" spans="1:10" x14ac:dyDescent="0.35">
      <c r="A7" s="53" t="s">
        <v>207</v>
      </c>
      <c r="B7" s="54" t="s">
        <v>122</v>
      </c>
      <c r="C7" s="54" t="s">
        <v>131</v>
      </c>
      <c r="D7" s="50">
        <v>0.22569444444444445</v>
      </c>
      <c r="E7" s="50">
        <v>0.25</v>
      </c>
      <c r="F7" s="50">
        <v>0.28819444444444442</v>
      </c>
      <c r="G7" s="50"/>
      <c r="H7" s="50">
        <f t="shared" si="0"/>
        <v>3.819444444444442E-2</v>
      </c>
    </row>
    <row r="8" spans="1:10" x14ac:dyDescent="0.35">
      <c r="A8" s="53" t="s">
        <v>210</v>
      </c>
      <c r="B8" s="54" t="s">
        <v>156</v>
      </c>
      <c r="C8" s="54" t="s">
        <v>133</v>
      </c>
      <c r="D8" s="50">
        <v>0.27777777777777779</v>
      </c>
      <c r="E8" s="50">
        <v>0.30555555555555558</v>
      </c>
      <c r="F8" s="50">
        <v>0.33333333333333331</v>
      </c>
      <c r="G8" s="50"/>
      <c r="H8" s="50">
        <f t="shared" si="0"/>
        <v>2.7777777777777735E-2</v>
      </c>
    </row>
    <row r="9" spans="1:10" s="4" customFormat="1" x14ac:dyDescent="0.35">
      <c r="A9" s="53" t="s">
        <v>221</v>
      </c>
      <c r="B9" s="54" t="s">
        <v>124</v>
      </c>
      <c r="C9" s="54" t="s">
        <v>134</v>
      </c>
      <c r="D9" s="50">
        <v>0.18402777777777779</v>
      </c>
      <c r="E9" s="50">
        <v>0.21180555555555555</v>
      </c>
      <c r="F9" s="50">
        <v>0.28819444444444442</v>
      </c>
      <c r="G9" s="50"/>
      <c r="H9" s="50">
        <f t="shared" si="0"/>
        <v>7.6388888888888867E-2</v>
      </c>
      <c r="I9" s="8"/>
      <c r="J9" s="8"/>
    </row>
    <row r="10" spans="1:10" s="4" customFormat="1" x14ac:dyDescent="0.35">
      <c r="A10" s="53" t="s">
        <v>187</v>
      </c>
      <c r="B10" s="54" t="s">
        <v>272</v>
      </c>
      <c r="C10" s="54" t="s">
        <v>163</v>
      </c>
      <c r="D10" s="50" t="s">
        <v>247</v>
      </c>
      <c r="E10" s="50" t="s">
        <v>248</v>
      </c>
      <c r="F10" s="50"/>
      <c r="G10" s="50"/>
      <c r="H10" s="50" t="e">
        <f t="shared" si="0"/>
        <v>#VALUE!</v>
      </c>
      <c r="I10" s="8"/>
      <c r="J10" s="8"/>
    </row>
    <row r="11" spans="1:10" x14ac:dyDescent="0.35">
      <c r="A11" s="53"/>
      <c r="B11" s="54"/>
      <c r="C11" s="54"/>
      <c r="D11" s="50"/>
      <c r="E11" s="50"/>
      <c r="F11" s="50"/>
      <c r="G11" s="50"/>
      <c r="H11" s="50">
        <f t="shared" si="0"/>
        <v>0</v>
      </c>
      <c r="I11" s="8"/>
      <c r="J11" s="8"/>
    </row>
    <row r="12" spans="1:10" x14ac:dyDescent="0.35">
      <c r="A12" s="53"/>
      <c r="B12" s="54"/>
      <c r="C12" s="54"/>
      <c r="D12" s="50"/>
      <c r="E12" s="50"/>
      <c r="F12" s="50"/>
      <c r="G12" s="50"/>
      <c r="H12" s="50">
        <f t="shared" si="0"/>
        <v>0</v>
      </c>
    </row>
    <row r="13" spans="1:10" x14ac:dyDescent="0.35">
      <c r="A13" s="53"/>
      <c r="B13" s="54"/>
      <c r="C13" s="54"/>
      <c r="D13" s="50"/>
      <c r="E13" s="50"/>
      <c r="F13" s="50"/>
      <c r="G13" s="50"/>
      <c r="H13" s="50">
        <f t="shared" si="0"/>
        <v>0</v>
      </c>
    </row>
    <row r="14" spans="1:10" x14ac:dyDescent="0.35">
      <c r="A14" s="53"/>
      <c r="B14" s="54"/>
      <c r="C14" s="54"/>
      <c r="D14" s="50"/>
      <c r="E14" s="50"/>
      <c r="F14" s="50"/>
      <c r="G14" s="50"/>
      <c r="H14" s="50">
        <f t="shared" si="0"/>
        <v>0</v>
      </c>
    </row>
    <row r="15" spans="1:10" x14ac:dyDescent="0.35">
      <c r="A15" s="53"/>
      <c r="B15" s="54"/>
      <c r="C15" s="54"/>
      <c r="D15" s="50"/>
      <c r="E15" s="50"/>
      <c r="F15" s="50"/>
      <c r="G15" s="50"/>
      <c r="H15" s="50">
        <f t="shared" si="0"/>
        <v>0</v>
      </c>
    </row>
    <row r="16" spans="1:10" x14ac:dyDescent="0.35">
      <c r="A16" s="53"/>
      <c r="B16" s="54"/>
      <c r="C16" s="54"/>
      <c r="D16" s="50"/>
      <c r="E16" s="50"/>
      <c r="F16" s="50"/>
      <c r="G16" s="50"/>
      <c r="H16" s="50">
        <f t="shared" si="0"/>
        <v>0</v>
      </c>
    </row>
    <row r="17" spans="1:11" x14ac:dyDescent="0.35">
      <c r="A17" s="53"/>
      <c r="B17" s="54"/>
      <c r="C17" s="54"/>
      <c r="D17" s="50"/>
      <c r="E17" s="50"/>
      <c r="F17" s="50"/>
      <c r="G17" s="50"/>
      <c r="H17" s="50">
        <f t="shared" si="0"/>
        <v>0</v>
      </c>
    </row>
    <row r="18" spans="1:11" x14ac:dyDescent="0.35">
      <c r="A18" s="53"/>
      <c r="B18" s="54"/>
      <c r="C18" s="54"/>
      <c r="D18" s="50"/>
      <c r="E18" s="50"/>
      <c r="F18" s="50"/>
      <c r="G18" s="50"/>
      <c r="H18" s="50">
        <f t="shared" si="0"/>
        <v>0</v>
      </c>
    </row>
    <row r="19" spans="1:11" x14ac:dyDescent="0.35">
      <c r="A19" s="53"/>
      <c r="B19" s="54"/>
      <c r="C19" s="54"/>
      <c r="D19" s="50"/>
      <c r="E19" s="50"/>
      <c r="F19" s="50"/>
      <c r="G19" s="50"/>
      <c r="H19" s="50">
        <f t="shared" si="0"/>
        <v>0</v>
      </c>
    </row>
    <row r="20" spans="1:11" x14ac:dyDescent="0.35">
      <c r="A20" s="53"/>
      <c r="B20" s="54"/>
      <c r="C20" s="54"/>
      <c r="D20" s="50"/>
      <c r="E20" s="50"/>
      <c r="F20" s="50"/>
      <c r="G20" s="50"/>
      <c r="H20" s="50">
        <f t="shared" si="0"/>
        <v>0</v>
      </c>
    </row>
    <row r="21" spans="1:11" x14ac:dyDescent="0.35">
      <c r="A21" s="53"/>
      <c r="B21" s="54"/>
      <c r="C21" s="54"/>
      <c r="D21" s="50"/>
      <c r="E21" s="50"/>
      <c r="F21" s="50"/>
      <c r="G21" s="50"/>
      <c r="H21" s="50">
        <f t="shared" si="0"/>
        <v>0</v>
      </c>
      <c r="I21" s="6"/>
      <c r="J21" s="5"/>
      <c r="K21" s="5"/>
    </row>
    <row r="22" spans="1:11" x14ac:dyDescent="0.35">
      <c r="A22" s="53"/>
      <c r="B22" s="54"/>
      <c r="C22" s="54"/>
      <c r="D22" s="50"/>
      <c r="E22" s="50"/>
      <c r="F22" s="50"/>
      <c r="G22" s="50"/>
      <c r="H22" s="50">
        <f t="shared" si="0"/>
        <v>0</v>
      </c>
      <c r="I22" s="6"/>
      <c r="J22" s="5"/>
      <c r="K22" s="5"/>
    </row>
    <row r="23" spans="1:11" x14ac:dyDescent="0.35">
      <c r="A23" s="53"/>
      <c r="B23" s="54"/>
      <c r="C23" s="54"/>
      <c r="D23" s="50"/>
      <c r="E23" s="50"/>
      <c r="F23" s="50"/>
      <c r="G23" s="50"/>
      <c r="H23" s="50">
        <f t="shared" si="0"/>
        <v>0</v>
      </c>
      <c r="I23" s="6"/>
      <c r="J23" s="5"/>
      <c r="K23" s="5"/>
    </row>
    <row r="24" spans="1:11" x14ac:dyDescent="0.35">
      <c r="A24" s="53"/>
      <c r="B24" s="54"/>
      <c r="C24" s="54"/>
      <c r="D24" s="50"/>
      <c r="E24" s="50"/>
      <c r="F24" s="50"/>
      <c r="G24" s="50"/>
      <c r="H24" s="50">
        <f t="shared" si="0"/>
        <v>0</v>
      </c>
      <c r="I24" s="6"/>
      <c r="J24" s="5"/>
      <c r="K24" s="5"/>
    </row>
    <row r="25" spans="1:11" x14ac:dyDescent="0.35">
      <c r="A25" s="53"/>
      <c r="B25" s="54"/>
      <c r="C25" s="54"/>
      <c r="D25" s="50"/>
      <c r="E25" s="50"/>
      <c r="F25" s="50"/>
      <c r="G25" s="50"/>
      <c r="H25" s="50">
        <f t="shared" si="0"/>
        <v>0</v>
      </c>
    </row>
    <row r="26" spans="1:11" x14ac:dyDescent="0.35">
      <c r="A26" s="53"/>
      <c r="B26" s="54"/>
      <c r="C26" s="54"/>
      <c r="D26" s="50"/>
      <c r="E26" s="50"/>
      <c r="F26" s="50"/>
      <c r="G26" s="50"/>
      <c r="H26" s="50">
        <f t="shared" si="0"/>
        <v>0</v>
      </c>
    </row>
    <row r="27" spans="1:11" x14ac:dyDescent="0.35">
      <c r="A27" s="53"/>
      <c r="B27" s="54"/>
      <c r="C27" s="54"/>
      <c r="D27" s="50"/>
      <c r="E27" s="50"/>
      <c r="F27" s="50"/>
      <c r="G27" s="50"/>
      <c r="H27" s="50">
        <f t="shared" si="0"/>
        <v>0</v>
      </c>
    </row>
    <row r="28" spans="1:11" x14ac:dyDescent="0.35">
      <c r="A28" s="53"/>
      <c r="B28" s="54"/>
      <c r="C28" s="54"/>
      <c r="D28" s="50"/>
      <c r="E28" s="50"/>
      <c r="F28" s="50"/>
      <c r="G28" s="50"/>
      <c r="H28" s="50">
        <f t="shared" si="0"/>
        <v>0</v>
      </c>
    </row>
    <row r="29" spans="1:11" x14ac:dyDescent="0.35">
      <c r="A29" s="53"/>
      <c r="B29" s="54"/>
      <c r="C29" s="54"/>
      <c r="D29" s="50"/>
      <c r="E29" s="50"/>
      <c r="F29" s="50"/>
      <c r="G29" s="50"/>
      <c r="H29" s="50">
        <f t="shared" si="0"/>
        <v>0</v>
      </c>
    </row>
    <row r="30" spans="1:11" x14ac:dyDescent="0.35">
      <c r="A30" s="53"/>
      <c r="B30" s="54"/>
      <c r="C30" s="54"/>
      <c r="D30" s="50"/>
      <c r="E30" s="50"/>
      <c r="F30" s="50"/>
      <c r="G30" s="50"/>
      <c r="H30" s="50">
        <f t="shared" si="0"/>
        <v>0</v>
      </c>
    </row>
    <row r="31" spans="1:11" x14ac:dyDescent="0.35">
      <c r="A31" s="53"/>
      <c r="B31" s="54"/>
      <c r="C31" s="54"/>
      <c r="D31" s="50"/>
      <c r="E31" s="50"/>
      <c r="F31" s="50"/>
      <c r="G31" s="50"/>
      <c r="H31" s="50">
        <f t="shared" si="0"/>
        <v>0</v>
      </c>
    </row>
    <row r="32" spans="1:11" x14ac:dyDescent="0.35">
      <c r="A32" s="53"/>
      <c r="B32" s="54"/>
      <c r="C32" s="54"/>
      <c r="D32" s="50"/>
      <c r="E32" s="50"/>
      <c r="F32" s="50"/>
      <c r="G32" s="50"/>
      <c r="H32" s="50">
        <f t="shared" si="0"/>
        <v>0</v>
      </c>
    </row>
    <row r="33" spans="1:8" x14ac:dyDescent="0.35">
      <c r="A33" s="53"/>
      <c r="B33" s="54"/>
      <c r="C33" s="54"/>
      <c r="D33" s="50"/>
      <c r="E33" s="50"/>
      <c r="F33" s="50"/>
      <c r="G33" s="50"/>
      <c r="H33" s="50">
        <f t="shared" si="0"/>
        <v>0</v>
      </c>
    </row>
    <row r="34" spans="1:8" x14ac:dyDescent="0.35">
      <c r="A34" s="53"/>
      <c r="B34" s="54"/>
      <c r="C34" s="54"/>
      <c r="D34" s="50"/>
      <c r="E34" s="50"/>
      <c r="F34" s="50"/>
      <c r="G34" s="50"/>
      <c r="H34" s="50">
        <f t="shared" si="0"/>
        <v>0</v>
      </c>
    </row>
    <row r="35" spans="1:8" x14ac:dyDescent="0.35">
      <c r="A35" s="53"/>
      <c r="B35" s="54"/>
      <c r="C35" s="54"/>
      <c r="D35" s="50"/>
      <c r="E35" s="50"/>
      <c r="F35" s="50"/>
      <c r="G35" s="50"/>
      <c r="H35" s="50">
        <f t="shared" si="0"/>
        <v>0</v>
      </c>
    </row>
    <row r="36" spans="1:8" x14ac:dyDescent="0.35">
      <c r="A36" s="53"/>
      <c r="B36" s="54"/>
      <c r="C36" s="54"/>
      <c r="D36" s="50"/>
      <c r="E36" s="50"/>
      <c r="F36" s="50"/>
      <c r="G36" s="50"/>
      <c r="H36" s="50">
        <f t="shared" si="0"/>
        <v>0</v>
      </c>
    </row>
    <row r="37" spans="1:8" x14ac:dyDescent="0.35">
      <c r="A37" s="53"/>
      <c r="B37" s="54"/>
      <c r="C37" s="54"/>
      <c r="D37" s="50"/>
      <c r="E37" s="50"/>
      <c r="F37" s="50"/>
      <c r="G37" s="50"/>
      <c r="H37" s="50">
        <f t="shared" si="0"/>
        <v>0</v>
      </c>
    </row>
    <row r="38" spans="1:8" x14ac:dyDescent="0.35">
      <c r="A38" s="53"/>
      <c r="B38" s="54"/>
      <c r="C38" s="54"/>
      <c r="D38" s="50"/>
      <c r="E38" s="50"/>
      <c r="F38" s="50"/>
      <c r="G38" s="50"/>
      <c r="H38" s="50">
        <f t="shared" si="0"/>
        <v>0</v>
      </c>
    </row>
    <row r="39" spans="1:8" x14ac:dyDescent="0.35">
      <c r="A39" s="53"/>
      <c r="B39" s="54"/>
      <c r="C39" s="54"/>
      <c r="D39" s="50"/>
      <c r="E39" s="50"/>
      <c r="F39" s="50"/>
      <c r="G39" s="50"/>
      <c r="H39" s="50">
        <f t="shared" si="0"/>
        <v>0</v>
      </c>
    </row>
    <row r="40" spans="1:8" x14ac:dyDescent="0.35">
      <c r="A40" s="53"/>
      <c r="B40" s="54"/>
      <c r="C40" s="54"/>
      <c r="D40" s="50"/>
      <c r="E40" s="50"/>
      <c r="F40" s="50"/>
      <c r="G40" s="50"/>
      <c r="H40" s="50">
        <f t="shared" si="0"/>
        <v>0</v>
      </c>
    </row>
    <row r="41" spans="1:8" x14ac:dyDescent="0.35">
      <c r="A41" s="53"/>
      <c r="B41" s="54"/>
      <c r="C41" s="54"/>
      <c r="D41" s="50"/>
      <c r="E41" s="50"/>
      <c r="F41" s="50"/>
      <c r="G41" s="50"/>
      <c r="H41" s="50">
        <f t="shared" si="0"/>
        <v>0</v>
      </c>
    </row>
    <row r="42" spans="1:8" x14ac:dyDescent="0.35">
      <c r="A42" s="53"/>
      <c r="B42" s="54"/>
      <c r="C42" s="54"/>
      <c r="D42" s="50"/>
      <c r="E42" s="50"/>
      <c r="F42" s="50"/>
      <c r="G42" s="50"/>
      <c r="H42" s="50">
        <f t="shared" si="0"/>
        <v>0</v>
      </c>
    </row>
    <row r="43" spans="1:8" x14ac:dyDescent="0.35">
      <c r="A43" s="53"/>
      <c r="B43" s="54"/>
      <c r="C43" s="54"/>
      <c r="D43" s="50"/>
      <c r="E43" s="50"/>
      <c r="F43" s="50"/>
      <c r="G43" s="50"/>
      <c r="H43" s="50">
        <f t="shared" si="0"/>
        <v>0</v>
      </c>
    </row>
    <row r="44" spans="1:8" x14ac:dyDescent="0.35">
      <c r="A44" s="53"/>
      <c r="B44" s="54"/>
      <c r="C44" s="54"/>
      <c r="D44" s="50"/>
      <c r="E44" s="50"/>
      <c r="F44" s="50"/>
      <c r="G44" s="50"/>
      <c r="H44" s="50">
        <f t="shared" si="0"/>
        <v>0</v>
      </c>
    </row>
    <row r="45" spans="1:8" x14ac:dyDescent="0.35">
      <c r="A45" s="53"/>
      <c r="B45" s="54"/>
      <c r="C45" s="54"/>
      <c r="D45" s="50"/>
      <c r="E45" s="50"/>
      <c r="F45" s="50"/>
      <c r="G45" s="50"/>
      <c r="H45" s="50">
        <f t="shared" si="0"/>
        <v>0</v>
      </c>
    </row>
    <row r="46" spans="1:8" x14ac:dyDescent="0.35">
      <c r="A46" s="53"/>
      <c r="B46" s="54"/>
      <c r="C46" s="54"/>
      <c r="D46" s="50"/>
      <c r="E46" s="50"/>
      <c r="F46" s="50"/>
      <c r="G46" s="50"/>
      <c r="H46" s="50">
        <f t="shared" si="0"/>
        <v>0</v>
      </c>
    </row>
    <row r="47" spans="1:8" x14ac:dyDescent="0.35">
      <c r="A47" s="53"/>
      <c r="B47" s="54"/>
      <c r="C47" s="54"/>
      <c r="D47" s="50"/>
      <c r="E47" s="50"/>
      <c r="F47" s="50"/>
      <c r="G47" s="50"/>
      <c r="H47" s="50">
        <f t="shared" si="0"/>
        <v>0</v>
      </c>
    </row>
    <row r="48" spans="1:8" x14ac:dyDescent="0.35">
      <c r="A48" s="53"/>
      <c r="B48" s="54"/>
      <c r="C48" s="54"/>
      <c r="D48" s="50"/>
      <c r="E48" s="50"/>
      <c r="F48" s="50"/>
      <c r="G48" s="50"/>
      <c r="H48" s="50">
        <f t="shared" si="0"/>
        <v>0</v>
      </c>
    </row>
    <row r="49" spans="1:8" x14ac:dyDescent="0.35">
      <c r="A49" s="53"/>
      <c r="B49" s="54"/>
      <c r="C49" s="54"/>
      <c r="D49" s="50"/>
      <c r="E49" s="50"/>
      <c r="F49" s="50"/>
      <c r="G49" s="50"/>
      <c r="H49" s="50">
        <f t="shared" si="0"/>
        <v>0</v>
      </c>
    </row>
    <row r="50" spans="1:8" x14ac:dyDescent="0.35">
      <c r="A50" s="53"/>
      <c r="B50" s="54"/>
      <c r="C50" s="54"/>
      <c r="D50" s="50"/>
      <c r="E50" s="50"/>
      <c r="F50" s="50"/>
      <c r="G50" s="50"/>
      <c r="H50" s="50">
        <f t="shared" si="0"/>
        <v>0</v>
      </c>
    </row>
    <row r="51" spans="1:8" x14ac:dyDescent="0.35">
      <c r="A51" s="53"/>
      <c r="B51" s="54"/>
      <c r="C51" s="54"/>
      <c r="D51" s="50"/>
      <c r="E51" s="50"/>
      <c r="F51" s="50"/>
      <c r="G51" s="50"/>
      <c r="H51" s="50">
        <f t="shared" si="0"/>
        <v>0</v>
      </c>
    </row>
    <row r="52" spans="1:8" x14ac:dyDescent="0.35">
      <c r="A52" s="53"/>
      <c r="B52" s="54"/>
      <c r="C52" s="54"/>
      <c r="D52" s="50"/>
      <c r="E52" s="50"/>
      <c r="F52" s="50"/>
      <c r="G52" s="50"/>
      <c r="H52" s="50">
        <f t="shared" si="0"/>
        <v>0</v>
      </c>
    </row>
    <row r="53" spans="1:8" x14ac:dyDescent="0.35">
      <c r="A53" s="53"/>
      <c r="B53" s="54"/>
      <c r="C53" s="54"/>
      <c r="D53" s="50"/>
      <c r="E53" s="50"/>
      <c r="F53" s="50"/>
      <c r="G53" s="50"/>
      <c r="H53" s="50">
        <f t="shared" si="0"/>
        <v>0</v>
      </c>
    </row>
    <row r="54" spans="1:8" x14ac:dyDescent="0.35">
      <c r="A54" s="53"/>
      <c r="B54" s="54"/>
      <c r="C54" s="54"/>
      <c r="D54" s="50"/>
      <c r="E54" s="50"/>
      <c r="F54" s="50"/>
      <c r="G54" s="50"/>
      <c r="H54" s="50">
        <f t="shared" si="0"/>
        <v>0</v>
      </c>
    </row>
    <row r="55" spans="1:8" x14ac:dyDescent="0.35">
      <c r="A55" s="53"/>
      <c r="B55" s="54"/>
      <c r="C55" s="54"/>
      <c r="D55" s="50"/>
      <c r="E55" s="50"/>
      <c r="F55" s="50"/>
      <c r="G55" s="50"/>
      <c r="H55" s="50">
        <f t="shared" si="0"/>
        <v>0</v>
      </c>
    </row>
    <row r="56" spans="1:8" x14ac:dyDescent="0.35">
      <c r="A56" s="53"/>
      <c r="B56" s="54"/>
      <c r="C56" s="54"/>
      <c r="D56" s="50"/>
      <c r="E56" s="50"/>
      <c r="F56" s="50"/>
      <c r="G56" s="50"/>
      <c r="H56" s="50">
        <f t="shared" si="0"/>
        <v>0</v>
      </c>
    </row>
    <row r="57" spans="1:8" x14ac:dyDescent="0.35">
      <c r="A57" s="53"/>
      <c r="B57" s="54"/>
      <c r="C57" s="54"/>
      <c r="D57" s="50"/>
      <c r="E57" s="50"/>
      <c r="F57" s="50"/>
      <c r="G57" s="50"/>
      <c r="H57" s="50">
        <f t="shared" si="0"/>
        <v>0</v>
      </c>
    </row>
    <row r="58" spans="1:8" x14ac:dyDescent="0.35">
      <c r="A58" s="53"/>
      <c r="B58" s="54"/>
      <c r="C58" s="54"/>
      <c r="D58" s="50"/>
      <c r="E58" s="50"/>
      <c r="F58" s="50"/>
      <c r="G58" s="50"/>
      <c r="H58" s="50">
        <f t="shared" si="0"/>
        <v>0</v>
      </c>
    </row>
    <row r="59" spans="1:8" x14ac:dyDescent="0.35">
      <c r="A59" s="53"/>
      <c r="B59" s="54"/>
      <c r="C59" s="54"/>
      <c r="D59" s="50"/>
      <c r="E59" s="50"/>
      <c r="F59" s="50"/>
      <c r="G59" s="50"/>
      <c r="H59" s="50">
        <f t="shared" si="0"/>
        <v>0</v>
      </c>
    </row>
    <row r="60" spans="1:8" x14ac:dyDescent="0.35">
      <c r="A60" s="53"/>
      <c r="B60" s="54"/>
      <c r="C60" s="54"/>
      <c r="D60" s="50"/>
      <c r="E60" s="50"/>
      <c r="F60" s="50"/>
      <c r="G60" s="50"/>
      <c r="H60" s="50">
        <f t="shared" si="0"/>
        <v>0</v>
      </c>
    </row>
    <row r="61" spans="1:8" x14ac:dyDescent="0.35">
      <c r="A61" s="53"/>
      <c r="B61" s="54"/>
      <c r="C61" s="54"/>
      <c r="D61" s="50"/>
      <c r="E61" s="50"/>
      <c r="F61" s="50"/>
      <c r="G61" s="50"/>
      <c r="H61" s="50">
        <f t="shared" si="0"/>
        <v>0</v>
      </c>
    </row>
    <row r="62" spans="1:8" x14ac:dyDescent="0.35">
      <c r="A62" s="53"/>
      <c r="B62" s="54"/>
      <c r="C62" s="54"/>
      <c r="D62" s="50"/>
      <c r="E62" s="50"/>
      <c r="F62" s="50"/>
      <c r="G62" s="50"/>
      <c r="H62" s="50">
        <f t="shared" si="0"/>
        <v>0</v>
      </c>
    </row>
    <row r="63" spans="1:8" x14ac:dyDescent="0.35">
      <c r="A63" s="53"/>
      <c r="B63" s="54"/>
      <c r="C63" s="54"/>
      <c r="D63" s="50"/>
      <c r="E63" s="50"/>
      <c r="F63" s="50"/>
      <c r="G63" s="50"/>
      <c r="H63" s="50">
        <f t="shared" si="0"/>
        <v>0</v>
      </c>
    </row>
    <row r="64" spans="1:8" x14ac:dyDescent="0.35">
      <c r="A64" s="53"/>
      <c r="B64" s="54"/>
      <c r="C64" s="54"/>
      <c r="D64" s="50"/>
      <c r="E64" s="50"/>
      <c r="F64" s="50"/>
      <c r="G64" s="50"/>
      <c r="H64" s="50">
        <f t="shared" si="0"/>
        <v>0</v>
      </c>
    </row>
    <row r="65" spans="1:8" x14ac:dyDescent="0.35">
      <c r="A65" s="53"/>
      <c r="B65" s="54"/>
      <c r="C65" s="54"/>
      <c r="D65" s="50"/>
      <c r="E65" s="50"/>
      <c r="F65" s="50"/>
      <c r="G65" s="50"/>
      <c r="H65" s="50">
        <f t="shared" si="0"/>
        <v>0</v>
      </c>
    </row>
    <row r="66" spans="1:8" x14ac:dyDescent="0.35">
      <c r="A66" s="53"/>
      <c r="B66" s="54"/>
      <c r="C66" s="54"/>
      <c r="D66" s="50"/>
      <c r="E66" s="50"/>
      <c r="F66" s="50"/>
      <c r="G66" s="50"/>
      <c r="H66" s="50">
        <f t="shared" si="0"/>
        <v>0</v>
      </c>
    </row>
    <row r="67" spans="1:8" x14ac:dyDescent="0.35">
      <c r="A67" s="53"/>
      <c r="B67" s="54"/>
      <c r="C67" s="54"/>
      <c r="D67" s="50"/>
      <c r="E67" s="50"/>
      <c r="F67" s="50"/>
      <c r="G67" s="50"/>
      <c r="H67" s="50">
        <f t="shared" ref="H67:H69" si="1">MOD(F67-E67, 1)</f>
        <v>0</v>
      </c>
    </row>
    <row r="68" spans="1:8" x14ac:dyDescent="0.35">
      <c r="A68" s="53"/>
      <c r="B68" s="54"/>
      <c r="C68" s="54"/>
      <c r="D68" s="50"/>
      <c r="E68" s="50"/>
      <c r="F68" s="50"/>
      <c r="G68" s="50"/>
      <c r="H68" s="50">
        <f t="shared" si="1"/>
        <v>0</v>
      </c>
    </row>
    <row r="69" spans="1:8" x14ac:dyDescent="0.35">
      <c r="A69" s="53"/>
      <c r="B69" s="54"/>
      <c r="C69" s="54"/>
      <c r="D69" s="50"/>
      <c r="E69" s="50"/>
      <c r="F69" s="50"/>
      <c r="G69" s="50"/>
      <c r="H69" s="50">
        <f t="shared" si="1"/>
        <v>0</v>
      </c>
    </row>
  </sheetData>
  <autoFilter ref="A2:F38" xr:uid="{00000000-0001-0000-0000-000000000000}">
    <sortState xmlns:xlrd2="http://schemas.microsoft.com/office/spreadsheetml/2017/richdata2" ref="A3:F18">
      <sortCondition ref="A2"/>
    </sortState>
  </autoFilter>
  <conditionalFormatting sqref="H3:H412">
    <cfRule type="cellIs" dxfId="5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74F4D-AAEA-4675-8049-F482C96C6B8C}">
  <sheetPr>
    <pageSetUpPr fitToPage="1"/>
  </sheetPr>
  <dimension ref="A1:K69"/>
  <sheetViews>
    <sheetView showGridLines="0" zoomScale="70" zoomScaleNormal="70" workbookViewId="0">
      <pane ySplit="2" topLeftCell="A3" activePane="bottomLeft" state="frozen"/>
      <selection pane="bottomLeft" activeCell="E59" sqref="E59"/>
    </sheetView>
  </sheetViews>
  <sheetFormatPr defaultColWidth="9" defaultRowHeight="23.25" x14ac:dyDescent="0.35"/>
  <cols>
    <col min="1" max="1" width="41.7109375" style="29" bestFit="1" customWidth="1"/>
    <col min="2" max="2" width="23.140625" style="7" bestFit="1" customWidth="1"/>
    <col min="3" max="3" width="16.28515625" style="6" bestFit="1" customWidth="1"/>
    <col min="4" max="4" width="20.28515625" style="5" bestFit="1" customWidth="1"/>
    <col min="5" max="5" width="23" style="5" bestFit="1" customWidth="1"/>
    <col min="6" max="6" width="24.5703125" style="3" bestFit="1" customWidth="1"/>
    <col min="7" max="7" width="0.28515625" style="1" customWidth="1"/>
    <col min="8" max="8" width="24.85546875" style="28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39" t="s">
        <v>4</v>
      </c>
      <c r="B1" s="40"/>
      <c r="C1" s="41"/>
      <c r="D1" s="42"/>
      <c r="E1" s="42"/>
      <c r="F1" s="43"/>
      <c r="G1" s="44"/>
      <c r="H1" s="51"/>
    </row>
    <row r="2" spans="1:10" s="2" customFormat="1" x14ac:dyDescent="0.35">
      <c r="A2" s="45" t="s">
        <v>0</v>
      </c>
      <c r="B2" s="45" t="s">
        <v>1</v>
      </c>
      <c r="C2" s="45" t="s">
        <v>2</v>
      </c>
      <c r="D2" s="46" t="s">
        <v>3</v>
      </c>
      <c r="E2" s="46" t="s">
        <v>236</v>
      </c>
      <c r="F2" s="45" t="s">
        <v>5</v>
      </c>
      <c r="G2" s="47"/>
      <c r="H2" s="48" t="s">
        <v>274</v>
      </c>
    </row>
    <row r="3" spans="1:10" x14ac:dyDescent="0.35">
      <c r="A3" s="53" t="s">
        <v>189</v>
      </c>
      <c r="B3" s="54" t="s">
        <v>252</v>
      </c>
      <c r="C3" s="54" t="s">
        <v>250</v>
      </c>
      <c r="D3" s="50">
        <v>0.4548611111111111</v>
      </c>
      <c r="E3" s="50">
        <v>0.53125</v>
      </c>
      <c r="F3" s="50">
        <v>0.54513888888888884</v>
      </c>
      <c r="G3" s="50"/>
      <c r="H3" s="50">
        <f t="shared" ref="H3:H66" si="0">MOD(F3-E3, 1)</f>
        <v>1.388888888888884E-2</v>
      </c>
    </row>
    <row r="4" spans="1:10" s="4" customFormat="1" x14ac:dyDescent="0.35">
      <c r="A4" s="53" t="s">
        <v>199</v>
      </c>
      <c r="B4" s="54" t="s">
        <v>252</v>
      </c>
      <c r="C4" s="54" t="s">
        <v>250</v>
      </c>
      <c r="D4" s="50">
        <v>0.4548611111111111</v>
      </c>
      <c r="E4" s="50">
        <v>0.50347222222222221</v>
      </c>
      <c r="F4" s="50">
        <v>0.52430555555555558</v>
      </c>
      <c r="G4" s="50"/>
      <c r="H4" s="50">
        <f t="shared" si="0"/>
        <v>2.083333333333337E-2</v>
      </c>
    </row>
    <row r="5" spans="1:10" s="4" customFormat="1" x14ac:dyDescent="0.35">
      <c r="A5" s="53" t="s">
        <v>177</v>
      </c>
      <c r="B5" s="54" t="s">
        <v>122</v>
      </c>
      <c r="C5" s="54" t="s">
        <v>131</v>
      </c>
      <c r="D5" s="50">
        <v>0.47222222222222221</v>
      </c>
      <c r="E5" s="50">
        <v>0.51736111111111116</v>
      </c>
      <c r="F5" s="50">
        <v>0.53125</v>
      </c>
      <c r="G5" s="50"/>
      <c r="H5" s="50">
        <f t="shared" si="0"/>
        <v>1.388888888888884E-2</v>
      </c>
    </row>
    <row r="6" spans="1:10" x14ac:dyDescent="0.35">
      <c r="A6" s="53" t="s">
        <v>192</v>
      </c>
      <c r="B6" s="54" t="s">
        <v>122</v>
      </c>
      <c r="C6" s="54" t="s">
        <v>131</v>
      </c>
      <c r="D6" s="50">
        <v>0.47222222222222221</v>
      </c>
      <c r="E6" s="50">
        <v>0.53472222222222221</v>
      </c>
      <c r="F6" s="50">
        <v>0.57638888888888884</v>
      </c>
      <c r="G6" s="50"/>
      <c r="H6" s="50">
        <f t="shared" si="0"/>
        <v>4.166666666666663E-2</v>
      </c>
    </row>
    <row r="7" spans="1:10" x14ac:dyDescent="0.35">
      <c r="A7" s="53" t="s">
        <v>183</v>
      </c>
      <c r="B7" s="54" t="s">
        <v>280</v>
      </c>
      <c r="C7" s="54" t="s">
        <v>141</v>
      </c>
      <c r="D7" s="50">
        <v>0.45833333333333331</v>
      </c>
      <c r="E7" s="50">
        <v>0.54861111111111116</v>
      </c>
      <c r="F7" s="50">
        <v>0.58333333333333337</v>
      </c>
      <c r="G7" s="50"/>
      <c r="H7" s="50">
        <f t="shared" si="0"/>
        <v>3.472222222222221E-2</v>
      </c>
    </row>
    <row r="8" spans="1:10" x14ac:dyDescent="0.35">
      <c r="A8" s="53" t="s">
        <v>191</v>
      </c>
      <c r="B8" s="54" t="s">
        <v>280</v>
      </c>
      <c r="C8" s="54" t="s">
        <v>141</v>
      </c>
      <c r="D8" s="50">
        <v>0.45833333333333331</v>
      </c>
      <c r="E8" s="50">
        <v>0.5</v>
      </c>
      <c r="F8" s="50">
        <v>0.52430555555555558</v>
      </c>
      <c r="G8" s="50"/>
      <c r="H8" s="50">
        <f t="shared" si="0"/>
        <v>2.430555555555558E-2</v>
      </c>
    </row>
    <row r="9" spans="1:10" s="4" customFormat="1" x14ac:dyDescent="0.35">
      <c r="A9" s="53" t="s">
        <v>220</v>
      </c>
      <c r="B9" s="54" t="s">
        <v>149</v>
      </c>
      <c r="C9" s="54" t="s">
        <v>129</v>
      </c>
      <c r="D9" s="50">
        <v>0.46527777777777779</v>
      </c>
      <c r="E9" s="50">
        <v>0.50694444444444442</v>
      </c>
      <c r="F9" s="50">
        <v>0.53819444444444442</v>
      </c>
      <c r="G9" s="50"/>
      <c r="H9" s="50">
        <f t="shared" si="0"/>
        <v>3.125E-2</v>
      </c>
      <c r="I9" s="8"/>
      <c r="J9" s="8"/>
    </row>
    <row r="10" spans="1:10" s="4" customFormat="1" x14ac:dyDescent="0.35">
      <c r="A10" s="53" t="s">
        <v>210</v>
      </c>
      <c r="B10" s="54" t="s">
        <v>149</v>
      </c>
      <c r="C10" s="54" t="s">
        <v>129</v>
      </c>
      <c r="D10" s="50">
        <v>0.46527777777777779</v>
      </c>
      <c r="E10" s="50">
        <v>0.54166666666666663</v>
      </c>
      <c r="F10" s="50">
        <v>0.55555555555555558</v>
      </c>
      <c r="G10" s="50"/>
      <c r="H10" s="50">
        <f t="shared" si="0"/>
        <v>1.3888888888888951E-2</v>
      </c>
      <c r="I10" s="8"/>
      <c r="J10" s="8"/>
    </row>
    <row r="11" spans="1:10" x14ac:dyDescent="0.35">
      <c r="A11" s="53" t="s">
        <v>224</v>
      </c>
      <c r="B11" s="54" t="s">
        <v>145</v>
      </c>
      <c r="C11" s="54" t="s">
        <v>137</v>
      </c>
      <c r="D11" s="50">
        <v>0.46180555555555558</v>
      </c>
      <c r="E11" s="50">
        <v>0.51388888888888884</v>
      </c>
      <c r="F11" s="50">
        <v>0.52430555555555558</v>
      </c>
      <c r="G11" s="50"/>
      <c r="H11" s="50">
        <f t="shared" si="0"/>
        <v>1.0416666666666741E-2</v>
      </c>
      <c r="I11" s="8"/>
      <c r="J11" s="8"/>
    </row>
    <row r="12" spans="1:10" x14ac:dyDescent="0.35">
      <c r="A12" s="53" t="s">
        <v>205</v>
      </c>
      <c r="B12" s="54" t="s">
        <v>145</v>
      </c>
      <c r="C12" s="54" t="s">
        <v>137</v>
      </c>
      <c r="D12" s="50">
        <v>0.46180555555555558</v>
      </c>
      <c r="E12" s="50">
        <v>0.54861111111111116</v>
      </c>
      <c r="F12" s="50">
        <v>0.56944444444444442</v>
      </c>
      <c r="G12" s="50"/>
      <c r="H12" s="50">
        <f t="shared" si="0"/>
        <v>2.0833333333333259E-2</v>
      </c>
    </row>
    <row r="13" spans="1:10" x14ac:dyDescent="0.35">
      <c r="A13" s="53" t="s">
        <v>181</v>
      </c>
      <c r="B13" s="54" t="s">
        <v>326</v>
      </c>
      <c r="C13" s="54" t="s">
        <v>327</v>
      </c>
      <c r="D13" s="50">
        <v>0.45833333333333331</v>
      </c>
      <c r="E13" s="50">
        <v>0.50347222222222221</v>
      </c>
      <c r="F13" s="50">
        <v>0.59027777777777779</v>
      </c>
      <c r="G13" s="50"/>
      <c r="H13" s="50">
        <f t="shared" si="0"/>
        <v>8.680555555555558E-2</v>
      </c>
    </row>
    <row r="14" spans="1:10" x14ac:dyDescent="0.35">
      <c r="A14" s="53" t="s">
        <v>193</v>
      </c>
      <c r="B14" s="54" t="s">
        <v>254</v>
      </c>
      <c r="C14" s="54" t="s">
        <v>260</v>
      </c>
      <c r="D14" s="50">
        <v>0.4548611111111111</v>
      </c>
      <c r="E14" s="50">
        <v>0.49652777777777779</v>
      </c>
      <c r="F14" s="50">
        <v>0.56597222222222221</v>
      </c>
      <c r="G14" s="50"/>
      <c r="H14" s="50">
        <f t="shared" si="0"/>
        <v>6.944444444444442E-2</v>
      </c>
    </row>
    <row r="15" spans="1:10" x14ac:dyDescent="0.35">
      <c r="A15" s="53" t="s">
        <v>223</v>
      </c>
      <c r="B15" s="54" t="s">
        <v>281</v>
      </c>
      <c r="C15" s="54" t="s">
        <v>232</v>
      </c>
      <c r="D15" s="50">
        <v>0.4861111111111111</v>
      </c>
      <c r="E15" s="50">
        <v>0.52777777777777779</v>
      </c>
      <c r="F15" s="50">
        <v>0.57638888888888884</v>
      </c>
      <c r="G15" s="50"/>
      <c r="H15" s="50">
        <f t="shared" si="0"/>
        <v>4.8611111111111049E-2</v>
      </c>
    </row>
    <row r="16" spans="1:10" x14ac:dyDescent="0.35">
      <c r="A16" s="53" t="s">
        <v>185</v>
      </c>
      <c r="B16" s="54" t="s">
        <v>282</v>
      </c>
      <c r="C16" s="54" t="s">
        <v>161</v>
      </c>
      <c r="D16" s="50">
        <v>0.4826388888888889</v>
      </c>
      <c r="E16" s="50">
        <v>0.5</v>
      </c>
      <c r="F16" s="50">
        <v>0.51041666666666663</v>
      </c>
      <c r="G16" s="50"/>
      <c r="H16" s="50">
        <f t="shared" si="0"/>
        <v>1.041666666666663E-2</v>
      </c>
    </row>
    <row r="17" spans="1:11" x14ac:dyDescent="0.35">
      <c r="A17" s="53" t="s">
        <v>222</v>
      </c>
      <c r="B17" s="54" t="s">
        <v>282</v>
      </c>
      <c r="C17" s="54" t="s">
        <v>161</v>
      </c>
      <c r="D17" s="50">
        <v>0.4826388888888889</v>
      </c>
      <c r="E17" s="50">
        <v>0.51388888888888884</v>
      </c>
      <c r="F17" s="50">
        <v>0.54861111111111116</v>
      </c>
      <c r="G17" s="50"/>
      <c r="H17" s="50">
        <f t="shared" si="0"/>
        <v>3.4722222222222321E-2</v>
      </c>
    </row>
    <row r="18" spans="1:11" x14ac:dyDescent="0.35">
      <c r="A18" s="53" t="s">
        <v>208</v>
      </c>
      <c r="B18" s="54" t="s">
        <v>404</v>
      </c>
      <c r="C18" s="54" t="s">
        <v>302</v>
      </c>
      <c r="D18" s="50">
        <v>0.45833333333333331</v>
      </c>
      <c r="E18" s="50">
        <v>0.49652777777777779</v>
      </c>
      <c r="F18" s="50">
        <v>0.51736111111111116</v>
      </c>
      <c r="G18" s="50"/>
      <c r="H18" s="50">
        <f t="shared" si="0"/>
        <v>2.083333333333337E-2</v>
      </c>
    </row>
    <row r="19" spans="1:11" x14ac:dyDescent="0.35">
      <c r="A19" s="53" t="s">
        <v>202</v>
      </c>
      <c r="B19" s="54" t="s">
        <v>405</v>
      </c>
      <c r="C19" s="54" t="s">
        <v>358</v>
      </c>
      <c r="D19" s="50" t="s">
        <v>247</v>
      </c>
      <c r="E19" s="50" t="s">
        <v>248</v>
      </c>
      <c r="F19" s="50"/>
      <c r="G19" s="50"/>
      <c r="H19" s="50" t="e">
        <f t="shared" si="0"/>
        <v>#VALUE!</v>
      </c>
    </row>
    <row r="20" spans="1:11" x14ac:dyDescent="0.35">
      <c r="A20" s="53" t="s">
        <v>203</v>
      </c>
      <c r="B20" s="54" t="s">
        <v>251</v>
      </c>
      <c r="C20" s="54" t="s">
        <v>249</v>
      </c>
      <c r="D20" s="50">
        <v>0.61111111111111116</v>
      </c>
      <c r="E20" s="50">
        <v>0.66666666666666663</v>
      </c>
      <c r="F20" s="50">
        <v>0.67708333333333337</v>
      </c>
      <c r="G20" s="50"/>
      <c r="H20" s="50">
        <f t="shared" si="0"/>
        <v>1.0416666666666741E-2</v>
      </c>
    </row>
    <row r="21" spans="1:11" x14ac:dyDescent="0.35">
      <c r="A21" s="53" t="s">
        <v>202</v>
      </c>
      <c r="B21" s="54" t="s">
        <v>251</v>
      </c>
      <c r="C21" s="54" t="s">
        <v>249</v>
      </c>
      <c r="D21" s="50">
        <v>0.61111111111111116</v>
      </c>
      <c r="E21" s="50">
        <v>0.64930555555555558</v>
      </c>
      <c r="F21" s="50">
        <v>0.65625</v>
      </c>
      <c r="G21" s="50"/>
      <c r="H21" s="50">
        <f t="shared" si="0"/>
        <v>6.9444444444444198E-3</v>
      </c>
      <c r="I21" s="6"/>
      <c r="J21" s="5"/>
      <c r="K21" s="5"/>
    </row>
    <row r="22" spans="1:11" x14ac:dyDescent="0.35">
      <c r="A22" s="53" t="s">
        <v>180</v>
      </c>
      <c r="B22" s="54" t="s">
        <v>406</v>
      </c>
      <c r="C22" s="54" t="s">
        <v>407</v>
      </c>
      <c r="D22" s="50">
        <v>0.50694444444444442</v>
      </c>
      <c r="E22" s="50">
        <v>0.55208333333333337</v>
      </c>
      <c r="F22" s="50">
        <v>0.57638888888888884</v>
      </c>
      <c r="G22" s="50"/>
      <c r="H22" s="50">
        <f t="shared" si="0"/>
        <v>2.4305555555555469E-2</v>
      </c>
      <c r="I22" s="6"/>
      <c r="J22" s="5"/>
      <c r="K22" s="5"/>
    </row>
    <row r="23" spans="1:11" x14ac:dyDescent="0.35">
      <c r="A23" s="53" t="s">
        <v>184</v>
      </c>
      <c r="B23" s="54" t="s">
        <v>164</v>
      </c>
      <c r="C23" s="54" t="s">
        <v>154</v>
      </c>
      <c r="D23" s="50">
        <v>0.51736111111111116</v>
      </c>
      <c r="E23" s="50">
        <v>0.57986111111111116</v>
      </c>
      <c r="F23" s="50">
        <v>0.58680555555555558</v>
      </c>
      <c r="G23" s="50"/>
      <c r="H23" s="50">
        <f t="shared" si="0"/>
        <v>6.9444444444444198E-3</v>
      </c>
      <c r="I23" s="6"/>
      <c r="J23" s="5"/>
      <c r="K23" s="5"/>
    </row>
    <row r="24" spans="1:11" x14ac:dyDescent="0.35">
      <c r="A24" s="53" t="s">
        <v>184</v>
      </c>
      <c r="B24" s="54" t="s">
        <v>304</v>
      </c>
      <c r="C24" s="54" t="s">
        <v>303</v>
      </c>
      <c r="D24" s="50">
        <v>0.54166666666666663</v>
      </c>
      <c r="E24" s="50">
        <v>0.59027777777777779</v>
      </c>
      <c r="F24" s="50">
        <v>0.65972222222222221</v>
      </c>
      <c r="G24" s="50"/>
      <c r="H24" s="50">
        <f t="shared" si="0"/>
        <v>6.944444444444442E-2</v>
      </c>
      <c r="I24" s="6"/>
      <c r="J24" s="5"/>
      <c r="K24" s="5"/>
    </row>
    <row r="25" spans="1:11" x14ac:dyDescent="0.35">
      <c r="A25" s="53" t="s">
        <v>184</v>
      </c>
      <c r="B25" s="54" t="s">
        <v>144</v>
      </c>
      <c r="C25" s="54" t="s">
        <v>138</v>
      </c>
      <c r="D25" s="50">
        <v>0.56597222222222221</v>
      </c>
      <c r="E25" s="50">
        <v>0.62152777777777779</v>
      </c>
      <c r="F25" s="50">
        <v>0.67013888888888884</v>
      </c>
      <c r="G25" s="50"/>
      <c r="H25" s="50">
        <f t="shared" si="0"/>
        <v>4.8611111111111049E-2</v>
      </c>
    </row>
    <row r="26" spans="1:11" x14ac:dyDescent="0.35">
      <c r="A26" s="53" t="s">
        <v>181</v>
      </c>
      <c r="B26" s="54" t="s">
        <v>230</v>
      </c>
      <c r="C26" s="54" t="s">
        <v>225</v>
      </c>
      <c r="D26" s="50" t="s">
        <v>247</v>
      </c>
      <c r="E26" s="50" t="s">
        <v>248</v>
      </c>
      <c r="F26" s="50"/>
      <c r="G26" s="50"/>
      <c r="H26" s="50" t="e">
        <f t="shared" si="0"/>
        <v>#VALUE!</v>
      </c>
    </row>
    <row r="27" spans="1:11" x14ac:dyDescent="0.35">
      <c r="A27" s="53" t="s">
        <v>182</v>
      </c>
      <c r="B27" s="54" t="s">
        <v>255</v>
      </c>
      <c r="C27" s="54" t="s">
        <v>410</v>
      </c>
      <c r="D27" s="50">
        <v>0.63194444444444442</v>
      </c>
      <c r="E27" s="50">
        <v>0.67361111111111116</v>
      </c>
      <c r="F27" s="50">
        <v>0.71180555555555558</v>
      </c>
      <c r="G27" s="50"/>
      <c r="H27" s="50">
        <f t="shared" si="0"/>
        <v>3.819444444444442E-2</v>
      </c>
    </row>
    <row r="28" spans="1:11" x14ac:dyDescent="0.35">
      <c r="A28" s="53" t="s">
        <v>174</v>
      </c>
      <c r="B28" s="54" t="s">
        <v>165</v>
      </c>
      <c r="C28" s="54" t="s">
        <v>167</v>
      </c>
      <c r="D28" s="50" t="s">
        <v>247</v>
      </c>
      <c r="E28" s="50" t="s">
        <v>248</v>
      </c>
      <c r="F28" s="50"/>
      <c r="G28" s="50"/>
      <c r="H28" s="50" t="e">
        <f t="shared" si="0"/>
        <v>#VALUE!</v>
      </c>
    </row>
    <row r="29" spans="1:11" x14ac:dyDescent="0.35">
      <c r="A29" s="53" t="s">
        <v>212</v>
      </c>
      <c r="B29" s="54" t="s">
        <v>253</v>
      </c>
      <c r="C29" s="54" t="s">
        <v>411</v>
      </c>
      <c r="D29" s="50">
        <v>0.625</v>
      </c>
      <c r="E29" s="50">
        <v>0.66319444444444442</v>
      </c>
      <c r="F29" s="50">
        <v>0.68402777777777779</v>
      </c>
      <c r="G29" s="50"/>
      <c r="H29" s="50">
        <f t="shared" si="0"/>
        <v>2.083333333333337E-2</v>
      </c>
    </row>
    <row r="30" spans="1:11" x14ac:dyDescent="0.35">
      <c r="A30" s="53" t="s">
        <v>186</v>
      </c>
      <c r="B30" s="54" t="s">
        <v>148</v>
      </c>
      <c r="C30" s="54" t="s">
        <v>141</v>
      </c>
      <c r="D30" s="50">
        <v>0.67013888888888884</v>
      </c>
      <c r="E30" s="50">
        <v>0.71180555555555558</v>
      </c>
      <c r="F30" s="50">
        <v>0.73611111111111116</v>
      </c>
      <c r="G30" s="50"/>
      <c r="H30" s="50">
        <f t="shared" si="0"/>
        <v>2.430555555555558E-2</v>
      </c>
    </row>
    <row r="31" spans="1:11" x14ac:dyDescent="0.35">
      <c r="A31" s="53" t="s">
        <v>188</v>
      </c>
      <c r="B31" s="54" t="s">
        <v>156</v>
      </c>
      <c r="C31" s="54" t="s">
        <v>133</v>
      </c>
      <c r="D31" s="50">
        <v>0.22569444444444445</v>
      </c>
      <c r="E31" s="50">
        <v>0.28819444444444442</v>
      </c>
      <c r="F31" s="50">
        <v>0.47569444444444442</v>
      </c>
      <c r="G31" s="50"/>
      <c r="H31" s="50">
        <f t="shared" si="0"/>
        <v>0.1875</v>
      </c>
    </row>
    <row r="32" spans="1:11" x14ac:dyDescent="0.35">
      <c r="A32" s="53" t="s">
        <v>208</v>
      </c>
      <c r="B32" s="54" t="s">
        <v>408</v>
      </c>
      <c r="C32" s="54" t="s">
        <v>242</v>
      </c>
      <c r="D32" s="50" t="s">
        <v>275</v>
      </c>
      <c r="E32" s="50" t="s">
        <v>276</v>
      </c>
      <c r="F32" s="50" t="s">
        <v>277</v>
      </c>
      <c r="G32" s="50"/>
      <c r="H32" s="50" t="e">
        <f t="shared" si="0"/>
        <v>#VALUE!</v>
      </c>
    </row>
    <row r="33" spans="1:8" x14ac:dyDescent="0.35">
      <c r="A33" s="53" t="s">
        <v>214</v>
      </c>
      <c r="B33" s="54" t="s">
        <v>160</v>
      </c>
      <c r="C33" s="54" t="s">
        <v>159</v>
      </c>
      <c r="D33" s="50">
        <v>0.65625</v>
      </c>
      <c r="E33" s="50">
        <v>0.70138888888888884</v>
      </c>
      <c r="F33" s="50">
        <v>0.76041666666666663</v>
      </c>
      <c r="G33" s="50"/>
      <c r="H33" s="50">
        <f t="shared" si="0"/>
        <v>5.902777777777779E-2</v>
      </c>
    </row>
    <row r="34" spans="1:8" x14ac:dyDescent="0.35">
      <c r="A34" s="53" t="s">
        <v>214</v>
      </c>
      <c r="B34" s="54" t="s">
        <v>267</v>
      </c>
      <c r="C34" s="54" t="s">
        <v>269</v>
      </c>
      <c r="D34" s="50">
        <v>0.72916666666666663</v>
      </c>
      <c r="E34" s="50">
        <v>0.79513888888888884</v>
      </c>
      <c r="F34" s="50">
        <v>0.8125</v>
      </c>
      <c r="G34" s="50"/>
      <c r="H34" s="50">
        <f t="shared" si="0"/>
        <v>1.736111111111116E-2</v>
      </c>
    </row>
    <row r="35" spans="1:8" x14ac:dyDescent="0.35">
      <c r="A35" s="53" t="s">
        <v>217</v>
      </c>
      <c r="B35" s="54" t="s">
        <v>297</v>
      </c>
      <c r="C35" s="54" t="s">
        <v>413</v>
      </c>
      <c r="D35" s="50" t="s">
        <v>247</v>
      </c>
      <c r="E35" s="50" t="s">
        <v>248</v>
      </c>
      <c r="F35" s="50"/>
      <c r="G35" s="50"/>
      <c r="H35" s="50" t="e">
        <f t="shared" si="0"/>
        <v>#VALUE!</v>
      </c>
    </row>
    <row r="36" spans="1:8" x14ac:dyDescent="0.35">
      <c r="A36" s="53" t="s">
        <v>209</v>
      </c>
      <c r="B36" s="54" t="s">
        <v>409</v>
      </c>
      <c r="C36" s="54" t="s">
        <v>412</v>
      </c>
      <c r="D36" s="50">
        <v>0.62152777777777779</v>
      </c>
      <c r="E36" s="50">
        <v>0.67013888888888884</v>
      </c>
      <c r="F36" s="50">
        <v>0.71180555555555558</v>
      </c>
      <c r="G36" s="50"/>
      <c r="H36" s="50">
        <f t="shared" si="0"/>
        <v>4.1666666666666741E-2</v>
      </c>
    </row>
    <row r="37" spans="1:8" x14ac:dyDescent="0.35">
      <c r="A37" s="53" t="s">
        <v>219</v>
      </c>
      <c r="B37" s="54" t="s">
        <v>151</v>
      </c>
      <c r="C37" s="54" t="s">
        <v>132</v>
      </c>
      <c r="D37" s="50">
        <v>0.56597222222222221</v>
      </c>
      <c r="E37" s="50">
        <v>0.60069444444444442</v>
      </c>
      <c r="F37" s="50">
        <v>0.63194444444444442</v>
      </c>
      <c r="G37" s="50"/>
      <c r="H37" s="50">
        <f t="shared" si="0"/>
        <v>3.125E-2</v>
      </c>
    </row>
    <row r="38" spans="1:8" x14ac:dyDescent="0.35">
      <c r="A38" s="53" t="s">
        <v>224</v>
      </c>
      <c r="B38" s="54" t="s">
        <v>297</v>
      </c>
      <c r="C38" s="54" t="s">
        <v>415</v>
      </c>
      <c r="D38" s="50">
        <v>0.76736111111111116</v>
      </c>
      <c r="E38" s="50">
        <v>0.82638888888888884</v>
      </c>
      <c r="F38" s="50">
        <v>0.84027777777777779</v>
      </c>
      <c r="G38" s="50"/>
      <c r="H38" s="50">
        <f t="shared" si="0"/>
        <v>1.3888888888888951E-2</v>
      </c>
    </row>
    <row r="39" spans="1:8" x14ac:dyDescent="0.35">
      <c r="A39" s="53" t="s">
        <v>219</v>
      </c>
      <c r="B39" s="54" t="s">
        <v>297</v>
      </c>
      <c r="C39" s="54" t="s">
        <v>415</v>
      </c>
      <c r="D39" s="50">
        <v>0.76736111111111116</v>
      </c>
      <c r="E39" s="50">
        <v>0.80208333333333337</v>
      </c>
      <c r="F39" s="50">
        <v>0.82291666666666663</v>
      </c>
      <c r="G39" s="50"/>
      <c r="H39" s="50">
        <f t="shared" si="0"/>
        <v>2.0833333333333259E-2</v>
      </c>
    </row>
    <row r="40" spans="1:8" x14ac:dyDescent="0.35">
      <c r="A40" s="53" t="s">
        <v>178</v>
      </c>
      <c r="B40" s="54" t="s">
        <v>117</v>
      </c>
      <c r="C40" s="54" t="s">
        <v>126</v>
      </c>
      <c r="D40" s="50">
        <v>0.80208333333333337</v>
      </c>
      <c r="E40" s="50">
        <v>0.83680555555555558</v>
      </c>
      <c r="F40" s="50">
        <v>0.86111111111111116</v>
      </c>
      <c r="G40" s="50"/>
      <c r="H40" s="50">
        <f t="shared" si="0"/>
        <v>2.430555555555558E-2</v>
      </c>
    </row>
    <row r="41" spans="1:8" x14ac:dyDescent="0.35">
      <c r="A41" s="53" t="s">
        <v>194</v>
      </c>
      <c r="B41" s="54" t="s">
        <v>257</v>
      </c>
      <c r="C41" s="54" t="s">
        <v>263</v>
      </c>
      <c r="D41" s="50" t="s">
        <v>247</v>
      </c>
      <c r="E41" s="50" t="s">
        <v>248</v>
      </c>
      <c r="F41" s="50"/>
      <c r="G41" s="50"/>
      <c r="H41" s="50" t="e">
        <f t="shared" si="0"/>
        <v>#VALUE!</v>
      </c>
    </row>
    <row r="42" spans="1:8" x14ac:dyDescent="0.35">
      <c r="A42" s="53" t="s">
        <v>199</v>
      </c>
      <c r="B42" s="54" t="s">
        <v>229</v>
      </c>
      <c r="C42" s="54" t="s">
        <v>291</v>
      </c>
      <c r="D42" s="50" t="s">
        <v>247</v>
      </c>
      <c r="E42" s="50" t="s">
        <v>248</v>
      </c>
      <c r="F42" s="50"/>
      <c r="G42" s="50"/>
      <c r="H42" s="50" t="e">
        <f t="shared" si="0"/>
        <v>#VALUE!</v>
      </c>
    </row>
    <row r="43" spans="1:8" x14ac:dyDescent="0.35">
      <c r="A43" s="53" t="s">
        <v>196</v>
      </c>
      <c r="B43" s="54" t="s">
        <v>229</v>
      </c>
      <c r="C43" s="54" t="s">
        <v>291</v>
      </c>
      <c r="D43" s="50" t="s">
        <v>247</v>
      </c>
      <c r="E43" s="50" t="s">
        <v>248</v>
      </c>
      <c r="F43" s="50"/>
      <c r="G43" s="50"/>
      <c r="H43" s="50" t="e">
        <f t="shared" si="0"/>
        <v>#VALUE!</v>
      </c>
    </row>
    <row r="44" spans="1:8" x14ac:dyDescent="0.35">
      <c r="A44" s="53" t="s">
        <v>179</v>
      </c>
      <c r="B44" s="54" t="s">
        <v>231</v>
      </c>
      <c r="C44" s="54" t="s">
        <v>232</v>
      </c>
      <c r="D44" s="50" t="s">
        <v>275</v>
      </c>
      <c r="E44" s="50" t="s">
        <v>276</v>
      </c>
      <c r="F44" s="50" t="s">
        <v>277</v>
      </c>
      <c r="G44" s="50"/>
      <c r="H44" s="50" t="e">
        <f t="shared" si="0"/>
        <v>#VALUE!</v>
      </c>
    </row>
    <row r="45" spans="1:8" x14ac:dyDescent="0.35">
      <c r="A45" s="53" t="s">
        <v>205</v>
      </c>
      <c r="B45" s="54" t="s">
        <v>313</v>
      </c>
      <c r="C45" s="54" t="s">
        <v>416</v>
      </c>
      <c r="D45" s="50" t="s">
        <v>247</v>
      </c>
      <c r="E45" s="50" t="s">
        <v>248</v>
      </c>
      <c r="F45" s="50"/>
      <c r="G45" s="50"/>
      <c r="H45" s="50" t="e">
        <f t="shared" si="0"/>
        <v>#VALUE!</v>
      </c>
    </row>
    <row r="46" spans="1:8" x14ac:dyDescent="0.35">
      <c r="A46" s="53" t="s">
        <v>191</v>
      </c>
      <c r="B46" s="54" t="s">
        <v>162</v>
      </c>
      <c r="C46" s="54" t="s">
        <v>161</v>
      </c>
      <c r="D46" s="50">
        <v>0.78472222222222221</v>
      </c>
      <c r="E46" s="50">
        <v>0.83333333333333337</v>
      </c>
      <c r="F46" s="50">
        <v>0.86111111111111116</v>
      </c>
      <c r="G46" s="50"/>
      <c r="H46" s="50">
        <f t="shared" si="0"/>
        <v>2.777777777777779E-2</v>
      </c>
    </row>
    <row r="47" spans="1:8" x14ac:dyDescent="0.35">
      <c r="A47" s="53" t="s">
        <v>197</v>
      </c>
      <c r="B47" s="54" t="s">
        <v>125</v>
      </c>
      <c r="C47" s="54" t="s">
        <v>363</v>
      </c>
      <c r="D47" s="50" t="s">
        <v>247</v>
      </c>
      <c r="E47" s="50" t="s">
        <v>248</v>
      </c>
      <c r="F47" s="50"/>
      <c r="G47" s="50"/>
      <c r="H47" s="50" t="e">
        <f t="shared" si="0"/>
        <v>#VALUE!</v>
      </c>
    </row>
    <row r="48" spans="1:8" x14ac:dyDescent="0.35">
      <c r="A48" s="53" t="s">
        <v>218</v>
      </c>
      <c r="B48" s="54" t="s">
        <v>227</v>
      </c>
      <c r="C48" s="54" t="s">
        <v>226</v>
      </c>
      <c r="D48" s="50" t="s">
        <v>275</v>
      </c>
      <c r="E48" s="50" t="s">
        <v>276</v>
      </c>
      <c r="F48" s="50" t="s">
        <v>277</v>
      </c>
      <c r="G48" s="50"/>
      <c r="H48" s="50" t="e">
        <f t="shared" si="0"/>
        <v>#VALUE!</v>
      </c>
    </row>
    <row r="49" spans="1:8" x14ac:dyDescent="0.35">
      <c r="A49" s="53" t="s">
        <v>223</v>
      </c>
      <c r="B49" s="54" t="s">
        <v>169</v>
      </c>
      <c r="C49" s="54" t="s">
        <v>170</v>
      </c>
      <c r="D49" s="50">
        <v>0.79513888888888884</v>
      </c>
      <c r="E49" s="50">
        <v>0.85069444444444442</v>
      </c>
      <c r="F49" s="50">
        <v>0.875</v>
      </c>
      <c r="G49" s="50"/>
      <c r="H49" s="50">
        <f t="shared" si="0"/>
        <v>2.430555555555558E-2</v>
      </c>
    </row>
    <row r="50" spans="1:8" x14ac:dyDescent="0.35">
      <c r="A50" s="53" t="s">
        <v>183</v>
      </c>
      <c r="B50" s="54" t="s">
        <v>299</v>
      </c>
      <c r="C50" s="54" t="s">
        <v>414</v>
      </c>
      <c r="D50" s="50">
        <v>0.76388888888888884</v>
      </c>
      <c r="E50" s="50">
        <v>0.81597222222222221</v>
      </c>
      <c r="F50" s="50">
        <v>0.84375</v>
      </c>
      <c r="G50" s="50"/>
      <c r="H50" s="50">
        <f t="shared" si="0"/>
        <v>2.777777777777779E-2</v>
      </c>
    </row>
    <row r="51" spans="1:8" x14ac:dyDescent="0.35">
      <c r="A51" s="53" t="s">
        <v>206</v>
      </c>
      <c r="B51" s="54" t="s">
        <v>147</v>
      </c>
      <c r="C51" s="54" t="s">
        <v>130</v>
      </c>
      <c r="D51" s="50">
        <v>0.78125</v>
      </c>
      <c r="E51" s="50">
        <v>0.80902777777777779</v>
      </c>
      <c r="F51" s="50">
        <v>0.84722222222222221</v>
      </c>
      <c r="G51" s="50"/>
      <c r="H51" s="50">
        <f t="shared" si="0"/>
        <v>3.819444444444442E-2</v>
      </c>
    </row>
    <row r="52" spans="1:8" x14ac:dyDescent="0.35">
      <c r="A52" s="53" t="s">
        <v>216</v>
      </c>
      <c r="B52" s="54" t="s">
        <v>326</v>
      </c>
      <c r="C52" s="54" t="s">
        <v>327</v>
      </c>
      <c r="D52" s="50">
        <v>0.78819444444444442</v>
      </c>
      <c r="E52" s="50">
        <v>0.81944444444444442</v>
      </c>
      <c r="F52" s="50">
        <v>0.83680555555555558</v>
      </c>
      <c r="G52" s="50"/>
      <c r="H52" s="50">
        <f t="shared" si="0"/>
        <v>1.736111111111116E-2</v>
      </c>
    </row>
    <row r="53" spans="1:8" x14ac:dyDescent="0.35">
      <c r="A53" s="53" t="s">
        <v>210</v>
      </c>
      <c r="B53" s="54" t="s">
        <v>326</v>
      </c>
      <c r="C53" s="54" t="s">
        <v>327</v>
      </c>
      <c r="D53" s="50">
        <v>0.78819444444444442</v>
      </c>
      <c r="E53" s="50">
        <v>0.84722222222222221</v>
      </c>
      <c r="F53" s="50">
        <v>0.86458333333333337</v>
      </c>
      <c r="G53" s="50"/>
      <c r="H53" s="50">
        <f t="shared" si="0"/>
        <v>1.736111111111116E-2</v>
      </c>
    </row>
    <row r="54" spans="1:8" x14ac:dyDescent="0.35">
      <c r="A54" s="53" t="s">
        <v>193</v>
      </c>
      <c r="B54" s="54" t="s">
        <v>157</v>
      </c>
      <c r="C54" s="54" t="s">
        <v>158</v>
      </c>
      <c r="D54" s="50">
        <v>0.75694444444444442</v>
      </c>
      <c r="E54" s="50">
        <v>0.80555555555555558</v>
      </c>
      <c r="F54" s="50">
        <v>0.85416666666666663</v>
      </c>
      <c r="G54" s="50"/>
      <c r="H54" s="50">
        <f t="shared" si="0"/>
        <v>4.8611111111111049E-2</v>
      </c>
    </row>
    <row r="55" spans="1:8" x14ac:dyDescent="0.35">
      <c r="A55" s="53" t="s">
        <v>200</v>
      </c>
      <c r="B55" s="54" t="s">
        <v>146</v>
      </c>
      <c r="C55" s="54" t="s">
        <v>140</v>
      </c>
      <c r="D55" s="50" t="s">
        <v>275</v>
      </c>
      <c r="E55" s="50" t="s">
        <v>276</v>
      </c>
      <c r="F55" s="50" t="s">
        <v>277</v>
      </c>
      <c r="G55" s="50"/>
      <c r="H55" s="50" t="e">
        <f t="shared" si="0"/>
        <v>#VALUE!</v>
      </c>
    </row>
    <row r="56" spans="1:8" x14ac:dyDescent="0.35">
      <c r="A56" s="53" t="s">
        <v>222</v>
      </c>
      <c r="B56" s="54" t="s">
        <v>230</v>
      </c>
      <c r="C56" s="54" t="s">
        <v>225</v>
      </c>
      <c r="D56" s="50" t="s">
        <v>247</v>
      </c>
      <c r="E56" s="50" t="s">
        <v>248</v>
      </c>
      <c r="F56" s="50"/>
      <c r="G56" s="50"/>
      <c r="H56" s="50" t="e">
        <f t="shared" si="0"/>
        <v>#VALUE!</v>
      </c>
    </row>
    <row r="57" spans="1:8" x14ac:dyDescent="0.35">
      <c r="A57" s="53" t="s">
        <v>185</v>
      </c>
      <c r="B57" s="54" t="s">
        <v>230</v>
      </c>
      <c r="C57" s="54" t="s">
        <v>225</v>
      </c>
      <c r="D57" s="50" t="s">
        <v>247</v>
      </c>
      <c r="E57" s="50" t="s">
        <v>248</v>
      </c>
      <c r="F57" s="50"/>
      <c r="G57" s="50"/>
      <c r="H57" s="50" t="e">
        <f t="shared" si="0"/>
        <v>#VALUE!</v>
      </c>
    </row>
    <row r="58" spans="1:8" x14ac:dyDescent="0.35">
      <c r="A58" s="53" t="s">
        <v>222</v>
      </c>
      <c r="B58" s="54" t="s">
        <v>122</v>
      </c>
      <c r="C58" s="54" t="s">
        <v>131</v>
      </c>
      <c r="D58" s="50" t="s">
        <v>275</v>
      </c>
      <c r="E58" s="50" t="s">
        <v>276</v>
      </c>
      <c r="F58" s="50" t="s">
        <v>277</v>
      </c>
      <c r="G58" s="50"/>
      <c r="H58" s="50" t="e">
        <f t="shared" si="0"/>
        <v>#VALUE!</v>
      </c>
    </row>
    <row r="59" spans="1:8" x14ac:dyDescent="0.35">
      <c r="A59" s="53" t="s">
        <v>176</v>
      </c>
      <c r="B59" s="54" t="s">
        <v>122</v>
      </c>
      <c r="C59" s="54" t="s">
        <v>131</v>
      </c>
      <c r="D59" s="50">
        <v>0.75694444444444442</v>
      </c>
      <c r="E59" s="50">
        <v>0.79861111111111116</v>
      </c>
      <c r="F59" s="50">
        <v>0.81597222222222221</v>
      </c>
      <c r="G59" s="50"/>
      <c r="H59" s="50">
        <f t="shared" si="0"/>
        <v>1.7361111111111049E-2</v>
      </c>
    </row>
    <row r="60" spans="1:8" x14ac:dyDescent="0.35">
      <c r="A60" s="53" t="s">
        <v>179</v>
      </c>
      <c r="B60" s="54" t="s">
        <v>256</v>
      </c>
      <c r="C60" s="54" t="s">
        <v>262</v>
      </c>
      <c r="D60" s="50">
        <v>0.80902777777777779</v>
      </c>
      <c r="E60" s="50">
        <v>0.84722222222222221</v>
      </c>
      <c r="F60" s="50">
        <v>0.86458333333333337</v>
      </c>
      <c r="G60" s="50"/>
      <c r="H60" s="50">
        <f t="shared" si="0"/>
        <v>1.736111111111116E-2</v>
      </c>
    </row>
    <row r="61" spans="1:8" x14ac:dyDescent="0.35">
      <c r="A61" s="53" t="s">
        <v>220</v>
      </c>
      <c r="B61" s="54" t="s">
        <v>150</v>
      </c>
      <c r="C61" s="54" t="s">
        <v>139</v>
      </c>
      <c r="D61" s="50">
        <v>0.77777777777777779</v>
      </c>
      <c r="E61" s="50">
        <v>0.80902777777777779</v>
      </c>
      <c r="F61" s="50">
        <v>0.82986111111111116</v>
      </c>
      <c r="G61" s="50"/>
      <c r="H61" s="50">
        <f t="shared" si="0"/>
        <v>2.083333333333337E-2</v>
      </c>
    </row>
    <row r="62" spans="1:8" x14ac:dyDescent="0.35">
      <c r="A62" s="53"/>
      <c r="B62" s="54"/>
      <c r="C62" s="54"/>
      <c r="D62" s="50"/>
      <c r="E62" s="50"/>
      <c r="F62" s="50"/>
      <c r="G62" s="50"/>
      <c r="H62" s="50">
        <f t="shared" si="0"/>
        <v>0</v>
      </c>
    </row>
    <row r="63" spans="1:8" x14ac:dyDescent="0.35">
      <c r="A63" s="53"/>
      <c r="B63" s="54"/>
      <c r="C63" s="54"/>
      <c r="D63" s="50"/>
      <c r="E63" s="50"/>
      <c r="F63" s="50"/>
      <c r="G63" s="50"/>
      <c r="H63" s="50">
        <f t="shared" si="0"/>
        <v>0</v>
      </c>
    </row>
    <row r="64" spans="1:8" x14ac:dyDescent="0.35">
      <c r="A64" s="53"/>
      <c r="B64" s="54"/>
      <c r="C64" s="54"/>
      <c r="D64" s="50"/>
      <c r="E64" s="50"/>
      <c r="F64" s="50"/>
      <c r="G64" s="50"/>
      <c r="H64" s="50">
        <f t="shared" si="0"/>
        <v>0</v>
      </c>
    </row>
    <row r="65" spans="1:8" x14ac:dyDescent="0.35">
      <c r="A65" s="53"/>
      <c r="B65" s="54"/>
      <c r="C65" s="54"/>
      <c r="D65" s="50"/>
      <c r="E65" s="50"/>
      <c r="F65" s="50"/>
      <c r="G65" s="50"/>
      <c r="H65" s="50">
        <f t="shared" si="0"/>
        <v>0</v>
      </c>
    </row>
    <row r="66" spans="1:8" x14ac:dyDescent="0.35">
      <c r="A66" s="53"/>
      <c r="B66" s="54"/>
      <c r="C66" s="54"/>
      <c r="D66" s="50"/>
      <c r="E66" s="50"/>
      <c r="F66" s="50"/>
      <c r="G66" s="50"/>
      <c r="H66" s="50">
        <f t="shared" si="0"/>
        <v>0</v>
      </c>
    </row>
    <row r="67" spans="1:8" x14ac:dyDescent="0.35">
      <c r="A67" s="53"/>
      <c r="B67" s="54"/>
      <c r="C67" s="54"/>
      <c r="D67" s="50"/>
      <c r="E67" s="50"/>
      <c r="F67" s="50"/>
      <c r="G67" s="50"/>
      <c r="H67" s="50">
        <f t="shared" ref="H67:H69" si="1">MOD(F67-E67, 1)</f>
        <v>0</v>
      </c>
    </row>
    <row r="68" spans="1:8" x14ac:dyDescent="0.35">
      <c r="A68" s="53"/>
      <c r="B68" s="54"/>
      <c r="C68" s="54"/>
      <c r="D68" s="50"/>
      <c r="E68" s="50"/>
      <c r="F68" s="50"/>
      <c r="G68" s="50"/>
      <c r="H68" s="50">
        <f t="shared" si="1"/>
        <v>0</v>
      </c>
    </row>
    <row r="69" spans="1:8" x14ac:dyDescent="0.35">
      <c r="A69" s="53"/>
      <c r="B69" s="54"/>
      <c r="C69" s="54"/>
      <c r="D69" s="50"/>
      <c r="E69" s="50"/>
      <c r="F69" s="50"/>
      <c r="G69" s="50"/>
      <c r="H69" s="50">
        <f t="shared" si="1"/>
        <v>0</v>
      </c>
    </row>
  </sheetData>
  <autoFilter ref="A2:F38" xr:uid="{00000000-0001-0000-0000-000000000000}">
    <sortState xmlns:xlrd2="http://schemas.microsoft.com/office/spreadsheetml/2017/richdata2" ref="A3:F18">
      <sortCondition ref="A2"/>
    </sortState>
  </autoFilter>
  <conditionalFormatting sqref="H3:H412">
    <cfRule type="cellIs" dxfId="4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34CEB-AEF1-4A5A-9DA5-8A3D4D9A02D0}">
  <sheetPr>
    <pageSetUpPr fitToPage="1"/>
  </sheetPr>
  <dimension ref="A1:K69"/>
  <sheetViews>
    <sheetView showGridLines="0" zoomScale="55" zoomScaleNormal="55" workbookViewId="0">
      <pane ySplit="2" topLeftCell="A21" activePane="bottomLeft" state="frozen"/>
      <selection pane="bottomLeft" activeCell="F53" sqref="F53"/>
    </sheetView>
  </sheetViews>
  <sheetFormatPr defaultColWidth="9" defaultRowHeight="23.25" x14ac:dyDescent="0.35"/>
  <cols>
    <col min="1" max="1" width="41.7109375" style="29" bestFit="1" customWidth="1"/>
    <col min="2" max="2" width="23.140625" style="7" bestFit="1" customWidth="1"/>
    <col min="3" max="3" width="16.28515625" style="6" bestFit="1" customWidth="1"/>
    <col min="4" max="4" width="20.28515625" style="5" bestFit="1" customWidth="1"/>
    <col min="5" max="5" width="23" style="5" bestFit="1" customWidth="1"/>
    <col min="6" max="6" width="24.5703125" style="3" bestFit="1" customWidth="1"/>
    <col min="7" max="7" width="0.28515625" style="1" customWidth="1"/>
    <col min="8" max="8" width="24.85546875" style="28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39" t="s">
        <v>4</v>
      </c>
      <c r="B1" s="40"/>
      <c r="C1" s="41"/>
      <c r="D1" s="42"/>
      <c r="E1" s="42"/>
      <c r="F1" s="43"/>
      <c r="G1" s="44"/>
      <c r="H1" s="51"/>
    </row>
    <row r="2" spans="1:10" s="2" customFormat="1" x14ac:dyDescent="0.35">
      <c r="A2" s="45" t="s">
        <v>0</v>
      </c>
      <c r="B2" s="45" t="s">
        <v>1</v>
      </c>
      <c r="C2" s="45" t="s">
        <v>2</v>
      </c>
      <c r="D2" s="46" t="s">
        <v>3</v>
      </c>
      <c r="E2" s="46" t="s">
        <v>236</v>
      </c>
      <c r="F2" s="45" t="s">
        <v>5</v>
      </c>
      <c r="G2" s="47"/>
      <c r="H2" s="48" t="s">
        <v>274</v>
      </c>
    </row>
    <row r="3" spans="1:10" x14ac:dyDescent="0.35">
      <c r="A3" s="53" t="s">
        <v>207</v>
      </c>
      <c r="B3" s="54" t="s">
        <v>117</v>
      </c>
      <c r="C3" s="54" t="s">
        <v>126</v>
      </c>
      <c r="D3" s="50">
        <v>0.2048611111111111</v>
      </c>
      <c r="E3" s="50">
        <v>0.22916666666666666</v>
      </c>
      <c r="F3" s="50">
        <v>0.3263888888888889</v>
      </c>
      <c r="G3" s="50"/>
      <c r="H3" s="50">
        <f t="shared" ref="H3:H66" si="0">MOD(F3-E3, 1)</f>
        <v>9.7222222222222238E-2</v>
      </c>
    </row>
    <row r="4" spans="1:10" s="4" customFormat="1" x14ac:dyDescent="0.35">
      <c r="A4" s="53" t="s">
        <v>195</v>
      </c>
      <c r="B4" s="54" t="s">
        <v>270</v>
      </c>
      <c r="C4" s="54" t="s">
        <v>141</v>
      </c>
      <c r="D4" s="50">
        <v>0.22569444444444445</v>
      </c>
      <c r="E4" s="50">
        <v>0.26041666666666669</v>
      </c>
      <c r="F4" s="50">
        <v>0.34375</v>
      </c>
      <c r="G4" s="50"/>
      <c r="H4" s="50">
        <f t="shared" si="0"/>
        <v>8.3333333333333315E-2</v>
      </c>
    </row>
    <row r="5" spans="1:10" s="4" customFormat="1" x14ac:dyDescent="0.35">
      <c r="A5" s="53" t="s">
        <v>204</v>
      </c>
      <c r="B5" s="54" t="s">
        <v>119</v>
      </c>
      <c r="C5" s="54" t="s">
        <v>128</v>
      </c>
      <c r="D5" s="50">
        <v>0.18055555555555555</v>
      </c>
      <c r="E5" s="50">
        <v>0.19791666666666666</v>
      </c>
      <c r="F5" s="50">
        <v>0.22569444444444445</v>
      </c>
      <c r="G5" s="50"/>
      <c r="H5" s="50">
        <f t="shared" si="0"/>
        <v>2.777777777777779E-2</v>
      </c>
    </row>
    <row r="6" spans="1:10" x14ac:dyDescent="0.35">
      <c r="A6" s="53" t="s">
        <v>195</v>
      </c>
      <c r="B6" s="54" t="s">
        <v>119</v>
      </c>
      <c r="C6" s="54" t="s">
        <v>128</v>
      </c>
      <c r="D6" s="50" t="s">
        <v>275</v>
      </c>
      <c r="E6" s="50" t="s">
        <v>276</v>
      </c>
      <c r="F6" s="50" t="s">
        <v>277</v>
      </c>
      <c r="G6" s="50"/>
      <c r="H6" s="50" t="e">
        <f t="shared" si="0"/>
        <v>#VALUE!</v>
      </c>
    </row>
    <row r="7" spans="1:10" x14ac:dyDescent="0.35">
      <c r="A7" s="53" t="s">
        <v>201</v>
      </c>
      <c r="B7" s="54" t="s">
        <v>120</v>
      </c>
      <c r="C7" s="54" t="s">
        <v>129</v>
      </c>
      <c r="D7" s="50">
        <v>0.14583333333333334</v>
      </c>
      <c r="E7" s="50">
        <v>0.19791666666666666</v>
      </c>
      <c r="F7" s="50">
        <v>0.22222222222222221</v>
      </c>
      <c r="G7" s="50"/>
      <c r="H7" s="50">
        <f t="shared" si="0"/>
        <v>2.4305555555555552E-2</v>
      </c>
    </row>
    <row r="8" spans="1:10" x14ac:dyDescent="0.35">
      <c r="A8" s="53" t="s">
        <v>189</v>
      </c>
      <c r="B8" s="54" t="s">
        <v>120</v>
      </c>
      <c r="C8" s="54" t="s">
        <v>129</v>
      </c>
      <c r="D8" s="50">
        <v>0.14583333333333334</v>
      </c>
      <c r="E8" s="50">
        <v>0.22916666666666666</v>
      </c>
      <c r="F8" s="50">
        <v>0.27777777777777779</v>
      </c>
      <c r="G8" s="50"/>
      <c r="H8" s="50">
        <f t="shared" si="0"/>
        <v>4.8611111111111133E-2</v>
      </c>
    </row>
    <row r="9" spans="1:10" s="4" customFormat="1" x14ac:dyDescent="0.35">
      <c r="A9" s="53" t="s">
        <v>177</v>
      </c>
      <c r="B9" s="54" t="s">
        <v>121</v>
      </c>
      <c r="C9" s="54" t="s">
        <v>130</v>
      </c>
      <c r="D9" s="50">
        <v>0.21180555555555555</v>
      </c>
      <c r="E9" s="50">
        <v>0.24305555555555555</v>
      </c>
      <c r="F9" s="50">
        <v>0.40277777777777779</v>
      </c>
      <c r="G9" s="50"/>
      <c r="H9" s="50">
        <f t="shared" si="0"/>
        <v>0.15972222222222224</v>
      </c>
      <c r="I9" s="8"/>
      <c r="J9" s="8"/>
    </row>
    <row r="10" spans="1:10" s="4" customFormat="1" x14ac:dyDescent="0.35">
      <c r="A10" s="53" t="s">
        <v>192</v>
      </c>
      <c r="B10" s="54" t="s">
        <v>122</v>
      </c>
      <c r="C10" s="54" t="s">
        <v>131</v>
      </c>
      <c r="D10" s="50">
        <v>0.1875</v>
      </c>
      <c r="E10" s="50">
        <v>0.21527777777777779</v>
      </c>
      <c r="F10" s="50">
        <v>0.27777777777777779</v>
      </c>
      <c r="G10" s="50"/>
      <c r="H10" s="50">
        <f t="shared" si="0"/>
        <v>6.25E-2</v>
      </c>
      <c r="I10" s="8"/>
      <c r="J10" s="8"/>
    </row>
    <row r="11" spans="1:10" x14ac:dyDescent="0.35">
      <c r="A11" s="53" t="s">
        <v>180</v>
      </c>
      <c r="B11" s="54" t="s">
        <v>123</v>
      </c>
      <c r="C11" s="54" t="s">
        <v>133</v>
      </c>
      <c r="D11" s="50">
        <v>0.22569444444444445</v>
      </c>
      <c r="E11" s="50">
        <v>0.2638888888888889</v>
      </c>
      <c r="F11" s="50">
        <v>0.47222222222222221</v>
      </c>
      <c r="G11" s="50"/>
      <c r="H11" s="50">
        <f t="shared" si="0"/>
        <v>0.20833333333333331</v>
      </c>
      <c r="I11" s="8"/>
      <c r="J11" s="8"/>
    </row>
    <row r="12" spans="1:10" x14ac:dyDescent="0.35">
      <c r="A12" s="53" t="s">
        <v>221</v>
      </c>
      <c r="B12" s="54" t="s">
        <v>152</v>
      </c>
      <c r="C12" s="54" t="s">
        <v>134</v>
      </c>
      <c r="D12" s="50" t="s">
        <v>275</v>
      </c>
      <c r="E12" s="50" t="s">
        <v>276</v>
      </c>
      <c r="F12" s="50" t="s">
        <v>277</v>
      </c>
      <c r="G12" s="50"/>
      <c r="H12" s="50" t="e">
        <f t="shared" si="0"/>
        <v>#VALUE!</v>
      </c>
    </row>
    <row r="13" spans="1:10" x14ac:dyDescent="0.35">
      <c r="A13" s="53" t="s">
        <v>187</v>
      </c>
      <c r="B13" s="54" t="s">
        <v>272</v>
      </c>
      <c r="C13" s="54" t="s">
        <v>163</v>
      </c>
      <c r="D13" s="50" t="s">
        <v>247</v>
      </c>
      <c r="E13" s="50" t="s">
        <v>248</v>
      </c>
      <c r="F13" s="50"/>
      <c r="G13" s="50"/>
      <c r="H13" s="50" t="e">
        <f t="shared" si="0"/>
        <v>#VALUE!</v>
      </c>
    </row>
    <row r="14" spans="1:10" x14ac:dyDescent="0.35">
      <c r="A14" s="53" t="s">
        <v>202</v>
      </c>
      <c r="B14" s="54" t="s">
        <v>149</v>
      </c>
      <c r="C14" s="54" t="s">
        <v>129</v>
      </c>
      <c r="D14" s="50">
        <v>0.41319444444444442</v>
      </c>
      <c r="E14" s="50">
        <v>0.66319444444444442</v>
      </c>
      <c r="F14" s="50">
        <v>0.67708333333333337</v>
      </c>
      <c r="G14" s="50"/>
      <c r="H14" s="50">
        <f t="shared" si="0"/>
        <v>1.3888888888888951E-2</v>
      </c>
    </row>
    <row r="15" spans="1:10" x14ac:dyDescent="0.35">
      <c r="A15" s="53" t="s">
        <v>203</v>
      </c>
      <c r="B15" s="54" t="s">
        <v>149</v>
      </c>
      <c r="C15" s="54" t="s">
        <v>129</v>
      </c>
      <c r="D15" s="50">
        <v>0.41319444444444442</v>
      </c>
      <c r="E15" s="50">
        <v>0.6875</v>
      </c>
      <c r="F15" s="50">
        <v>0.70138888888888884</v>
      </c>
      <c r="G15" s="50"/>
      <c r="H15" s="50">
        <f t="shared" si="0"/>
        <v>1.388888888888884E-2</v>
      </c>
    </row>
    <row r="16" spans="1:10" x14ac:dyDescent="0.35">
      <c r="A16" s="53" t="s">
        <v>222</v>
      </c>
      <c r="B16" s="54" t="s">
        <v>251</v>
      </c>
      <c r="C16" s="54" t="s">
        <v>249</v>
      </c>
      <c r="D16" s="50">
        <v>0.55902777777777779</v>
      </c>
      <c r="E16" s="50">
        <v>0.56944444444444442</v>
      </c>
      <c r="F16" s="50">
        <v>0.57986111111111116</v>
      </c>
      <c r="G16" s="50"/>
      <c r="H16" s="50">
        <f t="shared" si="0"/>
        <v>1.0416666666666741E-2</v>
      </c>
    </row>
    <row r="17" spans="1:11" x14ac:dyDescent="0.35">
      <c r="A17" s="53" t="s">
        <v>223</v>
      </c>
      <c r="B17" s="54" t="s">
        <v>251</v>
      </c>
      <c r="C17" s="54" t="s">
        <v>249</v>
      </c>
      <c r="D17" s="50">
        <v>0.55902777777777779</v>
      </c>
      <c r="E17" s="50">
        <v>0.69444444444444442</v>
      </c>
      <c r="F17" s="50">
        <v>0.70833333333333337</v>
      </c>
      <c r="G17" s="50"/>
      <c r="H17" s="50">
        <f t="shared" si="0"/>
        <v>1.3888888888888951E-2</v>
      </c>
    </row>
    <row r="18" spans="1:11" x14ac:dyDescent="0.35">
      <c r="A18" s="53" t="s">
        <v>180</v>
      </c>
      <c r="B18" s="54" t="s">
        <v>284</v>
      </c>
      <c r="C18" s="54" t="s">
        <v>286</v>
      </c>
      <c r="D18" s="50">
        <v>0.59027777777777779</v>
      </c>
      <c r="E18" s="50">
        <v>0.625</v>
      </c>
      <c r="F18" s="50">
        <v>0.67361111111111116</v>
      </c>
      <c r="G18" s="50"/>
      <c r="H18" s="50">
        <f t="shared" si="0"/>
        <v>4.861111111111116E-2</v>
      </c>
    </row>
    <row r="19" spans="1:11" x14ac:dyDescent="0.35">
      <c r="A19" s="53" t="s">
        <v>205</v>
      </c>
      <c r="B19" s="54" t="s">
        <v>304</v>
      </c>
      <c r="C19" s="54" t="s">
        <v>303</v>
      </c>
      <c r="D19" s="50">
        <v>0.53819444444444442</v>
      </c>
      <c r="E19" s="50">
        <v>0.58333333333333337</v>
      </c>
      <c r="F19" s="50">
        <v>0.59027777777777779</v>
      </c>
      <c r="G19" s="50"/>
      <c r="H19" s="50">
        <f t="shared" si="0"/>
        <v>6.9444444444444198E-3</v>
      </c>
    </row>
    <row r="20" spans="1:11" x14ac:dyDescent="0.35">
      <c r="A20" s="53" t="s">
        <v>184</v>
      </c>
      <c r="B20" s="54" t="s">
        <v>304</v>
      </c>
      <c r="C20" s="54" t="s">
        <v>303</v>
      </c>
      <c r="D20" s="50">
        <v>0.53819444444444442</v>
      </c>
      <c r="E20" s="50">
        <v>0.60763888888888884</v>
      </c>
      <c r="F20" s="50">
        <v>0.71180555555555558</v>
      </c>
      <c r="G20" s="50"/>
      <c r="H20" s="50">
        <f t="shared" si="0"/>
        <v>0.10416666666666674</v>
      </c>
    </row>
    <row r="21" spans="1:11" x14ac:dyDescent="0.35">
      <c r="A21" s="53" t="s">
        <v>184</v>
      </c>
      <c r="B21" s="54" t="s">
        <v>144</v>
      </c>
      <c r="C21" s="54" t="s">
        <v>138</v>
      </c>
      <c r="D21" s="50">
        <v>0.59027777777777779</v>
      </c>
      <c r="E21" s="50">
        <v>0.63194444444444442</v>
      </c>
      <c r="F21" s="50">
        <v>0.6875</v>
      </c>
      <c r="G21" s="50"/>
      <c r="H21" s="50">
        <f t="shared" si="0"/>
        <v>5.555555555555558E-2</v>
      </c>
      <c r="I21" s="6"/>
      <c r="J21" s="5"/>
      <c r="K21" s="5"/>
    </row>
    <row r="22" spans="1:11" x14ac:dyDescent="0.35">
      <c r="A22" s="53" t="s">
        <v>181</v>
      </c>
      <c r="B22" s="54" t="s">
        <v>156</v>
      </c>
      <c r="C22" s="54" t="s">
        <v>133</v>
      </c>
      <c r="D22" s="50" t="s">
        <v>275</v>
      </c>
      <c r="E22" s="50" t="s">
        <v>276</v>
      </c>
      <c r="F22" s="50" t="s">
        <v>277</v>
      </c>
      <c r="G22" s="50"/>
      <c r="H22" s="50" t="e">
        <f t="shared" si="0"/>
        <v>#VALUE!</v>
      </c>
      <c r="I22" s="6"/>
      <c r="J22" s="5"/>
      <c r="K22" s="5"/>
    </row>
    <row r="23" spans="1:11" x14ac:dyDescent="0.35">
      <c r="A23" s="53" t="s">
        <v>188</v>
      </c>
      <c r="B23" s="54" t="s">
        <v>253</v>
      </c>
      <c r="C23" s="54" t="s">
        <v>379</v>
      </c>
      <c r="D23" s="50" t="s">
        <v>275</v>
      </c>
      <c r="E23" s="50" t="s">
        <v>276</v>
      </c>
      <c r="F23" s="50" t="s">
        <v>277</v>
      </c>
      <c r="G23" s="50"/>
      <c r="H23" s="50" t="e">
        <f t="shared" si="0"/>
        <v>#VALUE!</v>
      </c>
      <c r="I23" s="6"/>
      <c r="J23" s="5"/>
      <c r="K23" s="5"/>
    </row>
    <row r="24" spans="1:11" x14ac:dyDescent="0.35">
      <c r="A24" s="53" t="s">
        <v>174</v>
      </c>
      <c r="B24" s="54" t="s">
        <v>162</v>
      </c>
      <c r="C24" s="54" t="s">
        <v>161</v>
      </c>
      <c r="D24" s="50">
        <v>0.64236111111111116</v>
      </c>
      <c r="E24" s="50">
        <v>0.68402777777777779</v>
      </c>
      <c r="F24" s="50">
        <v>0.71180555555555558</v>
      </c>
      <c r="G24" s="50"/>
      <c r="H24" s="50">
        <f t="shared" si="0"/>
        <v>2.777777777777779E-2</v>
      </c>
      <c r="I24" s="6"/>
      <c r="J24" s="5"/>
      <c r="K24" s="5"/>
    </row>
    <row r="25" spans="1:11" x14ac:dyDescent="0.35">
      <c r="A25" s="53" t="s">
        <v>182</v>
      </c>
      <c r="B25" s="54" t="s">
        <v>162</v>
      </c>
      <c r="C25" s="54" t="s">
        <v>161</v>
      </c>
      <c r="D25" s="50">
        <v>0.64236111111111116</v>
      </c>
      <c r="E25" s="50">
        <v>0.71527777777777779</v>
      </c>
      <c r="F25" s="50">
        <v>0.73958333333333337</v>
      </c>
      <c r="G25" s="50"/>
      <c r="H25" s="50">
        <f t="shared" si="0"/>
        <v>2.430555555555558E-2</v>
      </c>
    </row>
    <row r="26" spans="1:11" x14ac:dyDescent="0.35">
      <c r="A26" s="53" t="s">
        <v>186</v>
      </c>
      <c r="B26" s="54" t="s">
        <v>252</v>
      </c>
      <c r="C26" s="54" t="s">
        <v>250</v>
      </c>
      <c r="D26" s="50">
        <v>0.66319444444444442</v>
      </c>
      <c r="E26" s="50">
        <v>0.70486111111111116</v>
      </c>
      <c r="F26" s="50">
        <v>0.73611111111111116</v>
      </c>
      <c r="G26" s="50"/>
      <c r="H26" s="50">
        <f t="shared" si="0"/>
        <v>3.125E-2</v>
      </c>
    </row>
    <row r="27" spans="1:11" x14ac:dyDescent="0.35">
      <c r="A27" s="53" t="s">
        <v>212</v>
      </c>
      <c r="B27" s="54" t="s">
        <v>148</v>
      </c>
      <c r="C27" s="54" t="s">
        <v>141</v>
      </c>
      <c r="D27" s="50">
        <v>0.68055555555555558</v>
      </c>
      <c r="E27" s="50">
        <v>0.72569444444444442</v>
      </c>
      <c r="F27" s="50">
        <v>0.74305555555555558</v>
      </c>
      <c r="G27" s="50"/>
      <c r="H27" s="50">
        <f t="shared" si="0"/>
        <v>1.736111111111116E-2</v>
      </c>
    </row>
    <row r="28" spans="1:11" x14ac:dyDescent="0.35">
      <c r="A28" s="53" t="s">
        <v>208</v>
      </c>
      <c r="B28" s="54" t="s">
        <v>165</v>
      </c>
      <c r="C28" s="54" t="s">
        <v>167</v>
      </c>
      <c r="D28" s="50" t="s">
        <v>247</v>
      </c>
      <c r="E28" s="50" t="s">
        <v>248</v>
      </c>
      <c r="F28" s="50"/>
      <c r="G28" s="50"/>
      <c r="H28" s="50" t="e">
        <f t="shared" si="0"/>
        <v>#VALUE!</v>
      </c>
    </row>
    <row r="29" spans="1:11" x14ac:dyDescent="0.35">
      <c r="A29" s="53" t="s">
        <v>217</v>
      </c>
      <c r="B29" s="54" t="s">
        <v>326</v>
      </c>
      <c r="C29" s="54" t="s">
        <v>327</v>
      </c>
      <c r="D29" s="50">
        <v>0.62847222222222221</v>
      </c>
      <c r="E29" s="50">
        <v>0.67361111111111116</v>
      </c>
      <c r="F29" s="50">
        <v>0.70486111111111116</v>
      </c>
      <c r="G29" s="50"/>
      <c r="H29" s="50">
        <f t="shared" si="0"/>
        <v>3.125E-2</v>
      </c>
    </row>
    <row r="30" spans="1:11" x14ac:dyDescent="0.35">
      <c r="A30" s="53" t="s">
        <v>209</v>
      </c>
      <c r="B30" s="54" t="s">
        <v>122</v>
      </c>
      <c r="C30" s="54" t="s">
        <v>131</v>
      </c>
      <c r="D30" s="50">
        <v>0.57986111111111116</v>
      </c>
      <c r="E30" s="50">
        <v>0.62847222222222221</v>
      </c>
      <c r="F30" s="50">
        <v>0.65625</v>
      </c>
      <c r="G30" s="50"/>
      <c r="H30" s="50">
        <f t="shared" si="0"/>
        <v>2.777777777777779E-2</v>
      </c>
    </row>
    <row r="31" spans="1:11" x14ac:dyDescent="0.35">
      <c r="A31" s="53" t="s">
        <v>219</v>
      </c>
      <c r="B31" s="54" t="s">
        <v>151</v>
      </c>
      <c r="C31" s="54" t="s">
        <v>132</v>
      </c>
      <c r="D31" s="50">
        <v>0.61111111111111116</v>
      </c>
      <c r="E31" s="50">
        <v>0.67013888888888884</v>
      </c>
      <c r="F31" s="50">
        <v>0.75</v>
      </c>
      <c r="G31" s="50"/>
      <c r="H31" s="50">
        <f t="shared" si="0"/>
        <v>7.986111111111116E-2</v>
      </c>
    </row>
    <row r="32" spans="1:11" x14ac:dyDescent="0.35">
      <c r="A32" s="53" t="s">
        <v>214</v>
      </c>
      <c r="B32" s="54" t="s">
        <v>297</v>
      </c>
      <c r="C32" s="54" t="s">
        <v>322</v>
      </c>
      <c r="D32" s="50" t="s">
        <v>247</v>
      </c>
      <c r="E32" s="50" t="s">
        <v>248</v>
      </c>
      <c r="F32" s="50"/>
      <c r="G32" s="50"/>
      <c r="H32" s="50" t="e">
        <f t="shared" si="0"/>
        <v>#VALUE!</v>
      </c>
    </row>
    <row r="33" spans="1:8" x14ac:dyDescent="0.35">
      <c r="A33" s="53" t="s">
        <v>178</v>
      </c>
      <c r="B33" s="54" t="s">
        <v>160</v>
      </c>
      <c r="C33" s="54" t="s">
        <v>159</v>
      </c>
      <c r="D33" s="50">
        <v>0.77430555555555558</v>
      </c>
      <c r="E33" s="50">
        <v>0.86458333333333337</v>
      </c>
      <c r="F33" s="50">
        <v>0.875</v>
      </c>
      <c r="G33" s="50"/>
      <c r="H33" s="50">
        <f t="shared" si="0"/>
        <v>1.041666666666663E-2</v>
      </c>
    </row>
    <row r="34" spans="1:8" x14ac:dyDescent="0.35">
      <c r="A34" s="53" t="s">
        <v>194</v>
      </c>
      <c r="B34" s="54" t="s">
        <v>160</v>
      </c>
      <c r="C34" s="54" t="s">
        <v>159</v>
      </c>
      <c r="D34" s="50">
        <v>0.77430555555555558</v>
      </c>
      <c r="E34" s="50">
        <v>0.81944444444444442</v>
      </c>
      <c r="F34" s="50">
        <v>0.85069444444444442</v>
      </c>
      <c r="G34" s="50"/>
      <c r="H34" s="50">
        <f t="shared" si="0"/>
        <v>3.125E-2</v>
      </c>
    </row>
    <row r="35" spans="1:8" x14ac:dyDescent="0.35">
      <c r="A35" s="53" t="s">
        <v>199</v>
      </c>
      <c r="B35" s="54" t="s">
        <v>157</v>
      </c>
      <c r="C35" s="54" t="s">
        <v>158</v>
      </c>
      <c r="D35" s="50">
        <v>0.79166666666666663</v>
      </c>
      <c r="E35" s="50">
        <v>0.84375</v>
      </c>
      <c r="F35" s="50">
        <v>0.875</v>
      </c>
      <c r="G35" s="50"/>
      <c r="H35" s="50">
        <f t="shared" si="0"/>
        <v>3.125E-2</v>
      </c>
    </row>
    <row r="36" spans="1:8" x14ac:dyDescent="0.35">
      <c r="A36" s="53" t="s">
        <v>196</v>
      </c>
      <c r="B36" s="54" t="s">
        <v>157</v>
      </c>
      <c r="C36" s="54" t="s">
        <v>158</v>
      </c>
      <c r="D36" s="50">
        <v>0.79166666666666663</v>
      </c>
      <c r="E36" s="50">
        <v>0.88194444444444442</v>
      </c>
      <c r="F36" s="50">
        <v>0.89930555555555558</v>
      </c>
      <c r="G36" s="50"/>
      <c r="H36" s="50">
        <f t="shared" si="0"/>
        <v>1.736111111111116E-2</v>
      </c>
    </row>
    <row r="37" spans="1:8" x14ac:dyDescent="0.35">
      <c r="A37" s="53" t="s">
        <v>179</v>
      </c>
      <c r="B37" s="54" t="s">
        <v>125</v>
      </c>
      <c r="C37" s="54" t="s">
        <v>258</v>
      </c>
      <c r="D37" s="50" t="s">
        <v>247</v>
      </c>
      <c r="E37" s="50" t="s">
        <v>248</v>
      </c>
      <c r="F37" s="50"/>
      <c r="G37" s="50"/>
      <c r="H37" s="50" t="e">
        <f t="shared" si="0"/>
        <v>#VALUE!</v>
      </c>
    </row>
    <row r="38" spans="1:8" x14ac:dyDescent="0.35">
      <c r="A38" s="53" t="s">
        <v>205</v>
      </c>
      <c r="B38" s="54" t="s">
        <v>125</v>
      </c>
      <c r="C38" s="54" t="s">
        <v>258</v>
      </c>
      <c r="D38" s="50" t="s">
        <v>247</v>
      </c>
      <c r="E38" s="50" t="s">
        <v>248</v>
      </c>
      <c r="F38" s="50"/>
      <c r="G38" s="50"/>
      <c r="H38" s="50" t="e">
        <f t="shared" si="0"/>
        <v>#VALUE!</v>
      </c>
    </row>
    <row r="39" spans="1:8" x14ac:dyDescent="0.35">
      <c r="A39" s="53" t="s">
        <v>224</v>
      </c>
      <c r="B39" s="54" t="s">
        <v>293</v>
      </c>
      <c r="C39" s="54" t="s">
        <v>128</v>
      </c>
      <c r="D39" s="50">
        <v>0.77083333333333337</v>
      </c>
      <c r="E39" s="50">
        <v>0.81944444444444442</v>
      </c>
      <c r="F39" s="50">
        <v>0.84722222222222221</v>
      </c>
      <c r="G39" s="50"/>
      <c r="H39" s="50">
        <f t="shared" si="0"/>
        <v>2.777777777777779E-2</v>
      </c>
    </row>
    <row r="40" spans="1:8" x14ac:dyDescent="0.35">
      <c r="A40" s="53" t="s">
        <v>191</v>
      </c>
      <c r="B40" s="54" t="s">
        <v>228</v>
      </c>
      <c r="C40" s="54" t="s">
        <v>127</v>
      </c>
      <c r="D40" s="50">
        <v>0.74305555555555558</v>
      </c>
      <c r="E40" s="50">
        <v>0.78472222222222221</v>
      </c>
      <c r="F40" s="50">
        <v>0.8125</v>
      </c>
      <c r="G40" s="50"/>
      <c r="H40" s="50">
        <f t="shared" si="0"/>
        <v>2.777777777777779E-2</v>
      </c>
    </row>
    <row r="41" spans="1:8" x14ac:dyDescent="0.35">
      <c r="A41" s="53" t="s">
        <v>218</v>
      </c>
      <c r="B41" s="54" t="s">
        <v>169</v>
      </c>
      <c r="C41" s="54" t="s">
        <v>170</v>
      </c>
      <c r="D41" s="50">
        <v>0.78125</v>
      </c>
      <c r="E41" s="50">
        <v>0.83680555555555558</v>
      </c>
      <c r="F41" s="50">
        <v>0.84027777777777779</v>
      </c>
      <c r="G41" s="50"/>
      <c r="H41" s="50">
        <f t="shared" si="0"/>
        <v>3.4722222222222099E-3</v>
      </c>
    </row>
    <row r="42" spans="1:8" x14ac:dyDescent="0.35">
      <c r="A42" s="53" t="s">
        <v>197</v>
      </c>
      <c r="B42" s="54" t="s">
        <v>146</v>
      </c>
      <c r="C42" s="54" t="s">
        <v>140</v>
      </c>
      <c r="D42" s="50">
        <v>0.77777777777777779</v>
      </c>
      <c r="E42" s="50">
        <v>0.81944444444444442</v>
      </c>
      <c r="F42" s="50">
        <v>0.86111111111111116</v>
      </c>
      <c r="G42" s="50"/>
      <c r="H42" s="50">
        <f t="shared" si="0"/>
        <v>4.1666666666666741E-2</v>
      </c>
    </row>
    <row r="43" spans="1:8" x14ac:dyDescent="0.35">
      <c r="A43" s="53" t="s">
        <v>223</v>
      </c>
      <c r="B43" s="54" t="s">
        <v>266</v>
      </c>
      <c r="C43" s="54" t="s">
        <v>268</v>
      </c>
      <c r="D43" s="50">
        <v>0.76736111111111116</v>
      </c>
      <c r="E43" s="50">
        <v>0.8125</v>
      </c>
      <c r="F43" s="50">
        <v>0.84027777777777779</v>
      </c>
      <c r="G43" s="50"/>
      <c r="H43" s="50">
        <f t="shared" si="0"/>
        <v>2.777777777777779E-2</v>
      </c>
    </row>
    <row r="44" spans="1:8" x14ac:dyDescent="0.35">
      <c r="A44" s="53" t="s">
        <v>183</v>
      </c>
      <c r="B44" s="54" t="s">
        <v>254</v>
      </c>
      <c r="C44" s="54" t="s">
        <v>260</v>
      </c>
      <c r="D44" s="50">
        <v>0.77083333333333337</v>
      </c>
      <c r="E44" s="50">
        <v>0.82291666666666663</v>
      </c>
      <c r="F44" s="50">
        <v>0.84722222222222221</v>
      </c>
      <c r="G44" s="50"/>
      <c r="H44" s="50">
        <f t="shared" si="0"/>
        <v>2.430555555555558E-2</v>
      </c>
    </row>
    <row r="45" spans="1:8" x14ac:dyDescent="0.35">
      <c r="A45" s="53" t="s">
        <v>223</v>
      </c>
      <c r="B45" s="54" t="s">
        <v>254</v>
      </c>
      <c r="C45" s="54" t="s">
        <v>260</v>
      </c>
      <c r="D45" s="50">
        <v>0.77083333333333337</v>
      </c>
      <c r="E45" s="50">
        <v>0.8125</v>
      </c>
      <c r="F45" s="50">
        <v>0.81944444444444442</v>
      </c>
      <c r="G45" s="50"/>
      <c r="H45" s="50">
        <f t="shared" si="0"/>
        <v>6.9444444444444198E-3</v>
      </c>
    </row>
    <row r="46" spans="1:8" x14ac:dyDescent="0.35">
      <c r="A46" s="53" t="s">
        <v>193</v>
      </c>
      <c r="B46" s="54" t="s">
        <v>156</v>
      </c>
      <c r="C46" s="54" t="s">
        <v>133</v>
      </c>
      <c r="D46" s="50">
        <v>0.79861111111111116</v>
      </c>
      <c r="E46" s="50">
        <v>0.83333333333333337</v>
      </c>
      <c r="F46" s="50">
        <v>0.89930555555555558</v>
      </c>
      <c r="G46" s="50"/>
      <c r="H46" s="50">
        <f t="shared" si="0"/>
        <v>6.597222222222221E-2</v>
      </c>
    </row>
    <row r="47" spans="1:8" x14ac:dyDescent="0.35">
      <c r="A47" s="53" t="s">
        <v>176</v>
      </c>
      <c r="B47" s="54" t="s">
        <v>117</v>
      </c>
      <c r="C47" s="54" t="s">
        <v>126</v>
      </c>
      <c r="D47" s="50">
        <v>0.8125</v>
      </c>
      <c r="E47" s="50">
        <v>0.84722222222222221</v>
      </c>
      <c r="F47" s="50">
        <v>0.86111111111111116</v>
      </c>
      <c r="G47" s="50"/>
      <c r="H47" s="50">
        <f t="shared" si="0"/>
        <v>1.3888888888888951E-2</v>
      </c>
    </row>
    <row r="48" spans="1:8" x14ac:dyDescent="0.35">
      <c r="A48" s="53" t="s">
        <v>193</v>
      </c>
      <c r="B48" s="54" t="s">
        <v>117</v>
      </c>
      <c r="C48" s="54" t="s">
        <v>126</v>
      </c>
      <c r="D48" s="50">
        <v>0.8125</v>
      </c>
      <c r="E48" s="50">
        <v>0.86111111111111116</v>
      </c>
      <c r="F48" s="50">
        <v>0.86805555555555558</v>
      </c>
      <c r="G48" s="50"/>
      <c r="H48" s="50">
        <f t="shared" si="0"/>
        <v>6.9444444444444198E-3</v>
      </c>
    </row>
    <row r="49" spans="1:8" x14ac:dyDescent="0.35">
      <c r="A49" s="53" t="s">
        <v>200</v>
      </c>
      <c r="B49" s="54" t="s">
        <v>267</v>
      </c>
      <c r="C49" s="54" t="s">
        <v>269</v>
      </c>
      <c r="D49" s="50">
        <v>0.77083333333333337</v>
      </c>
      <c r="E49" s="50">
        <v>0.82638888888888884</v>
      </c>
      <c r="F49" s="50">
        <v>0.84375</v>
      </c>
      <c r="G49" s="50"/>
      <c r="H49" s="50">
        <f t="shared" si="0"/>
        <v>1.736111111111116E-2</v>
      </c>
    </row>
    <row r="50" spans="1:8" x14ac:dyDescent="0.35">
      <c r="A50" s="53" t="s">
        <v>206</v>
      </c>
      <c r="B50" s="54" t="s">
        <v>229</v>
      </c>
      <c r="C50" s="54" t="s">
        <v>291</v>
      </c>
      <c r="D50" s="50" t="s">
        <v>247</v>
      </c>
      <c r="E50" s="50" t="s">
        <v>248</v>
      </c>
      <c r="F50" s="50"/>
      <c r="G50" s="50"/>
      <c r="H50" s="50" t="e">
        <f t="shared" si="0"/>
        <v>#VALUE!</v>
      </c>
    </row>
    <row r="51" spans="1:8" x14ac:dyDescent="0.35">
      <c r="A51" s="53" t="s">
        <v>216</v>
      </c>
      <c r="B51" s="54" t="s">
        <v>229</v>
      </c>
      <c r="C51" s="54" t="s">
        <v>291</v>
      </c>
      <c r="D51" s="50" t="s">
        <v>247</v>
      </c>
      <c r="E51" s="50" t="s">
        <v>248</v>
      </c>
      <c r="F51" s="50"/>
      <c r="G51" s="50"/>
      <c r="H51" s="50" t="e">
        <f t="shared" si="0"/>
        <v>#VALUE!</v>
      </c>
    </row>
    <row r="52" spans="1:8" x14ac:dyDescent="0.35">
      <c r="A52" s="53" t="s">
        <v>220</v>
      </c>
      <c r="B52" s="54" t="s">
        <v>150</v>
      </c>
      <c r="C52" s="54" t="s">
        <v>139</v>
      </c>
      <c r="D52" s="50">
        <v>0.75347222222222221</v>
      </c>
      <c r="E52" s="50">
        <v>0.80208333333333337</v>
      </c>
      <c r="F52" s="50">
        <v>0.82638888888888884</v>
      </c>
      <c r="G52" s="50"/>
      <c r="H52" s="50">
        <f t="shared" si="0"/>
        <v>2.4305555555555469E-2</v>
      </c>
    </row>
    <row r="53" spans="1:8" x14ac:dyDescent="0.35">
      <c r="A53" s="53" t="s">
        <v>185</v>
      </c>
      <c r="B53" s="54" t="s">
        <v>230</v>
      </c>
      <c r="C53" s="54" t="s">
        <v>225</v>
      </c>
      <c r="D53" s="50" t="s">
        <v>247</v>
      </c>
      <c r="E53" s="50" t="s">
        <v>248</v>
      </c>
      <c r="F53" s="50"/>
      <c r="G53" s="50"/>
      <c r="H53" s="50" t="e">
        <f t="shared" si="0"/>
        <v>#VALUE!</v>
      </c>
    </row>
    <row r="54" spans="1:8" x14ac:dyDescent="0.35">
      <c r="A54" s="53" t="s">
        <v>222</v>
      </c>
      <c r="B54" s="54" t="s">
        <v>257</v>
      </c>
      <c r="C54" s="54" t="s">
        <v>263</v>
      </c>
      <c r="D54" s="50" t="s">
        <v>247</v>
      </c>
      <c r="E54" s="50" t="s">
        <v>248</v>
      </c>
      <c r="F54" s="50"/>
      <c r="G54" s="50"/>
      <c r="H54" s="50" t="e">
        <f t="shared" si="0"/>
        <v>#VALUE!</v>
      </c>
    </row>
    <row r="55" spans="1:8" x14ac:dyDescent="0.35">
      <c r="A55" s="53" t="s">
        <v>185</v>
      </c>
      <c r="B55" s="54" t="s">
        <v>257</v>
      </c>
      <c r="C55" s="54" t="s">
        <v>263</v>
      </c>
      <c r="D55" s="50" t="s">
        <v>247</v>
      </c>
      <c r="E55" s="50" t="s">
        <v>248</v>
      </c>
      <c r="F55" s="50"/>
      <c r="G55" s="50"/>
      <c r="H55" s="50" t="e">
        <f t="shared" si="0"/>
        <v>#VALUE!</v>
      </c>
    </row>
    <row r="56" spans="1:8" x14ac:dyDescent="0.35">
      <c r="A56" s="53"/>
      <c r="B56" s="54"/>
      <c r="C56" s="54"/>
      <c r="D56" s="50"/>
      <c r="E56" s="50"/>
      <c r="F56" s="50"/>
      <c r="G56" s="50"/>
      <c r="H56" s="50">
        <f t="shared" si="0"/>
        <v>0</v>
      </c>
    </row>
    <row r="57" spans="1:8" x14ac:dyDescent="0.35">
      <c r="A57" s="53"/>
      <c r="B57" s="54"/>
      <c r="C57" s="54"/>
      <c r="D57" s="50"/>
      <c r="E57" s="50"/>
      <c r="F57" s="50"/>
      <c r="G57" s="50"/>
      <c r="H57" s="50">
        <f t="shared" si="0"/>
        <v>0</v>
      </c>
    </row>
    <row r="58" spans="1:8" x14ac:dyDescent="0.35">
      <c r="A58" s="53"/>
      <c r="B58" s="54"/>
      <c r="C58" s="54"/>
      <c r="D58" s="50"/>
      <c r="E58" s="50"/>
      <c r="F58" s="50"/>
      <c r="G58" s="50"/>
      <c r="H58" s="50">
        <f t="shared" si="0"/>
        <v>0</v>
      </c>
    </row>
    <row r="59" spans="1:8" x14ac:dyDescent="0.35">
      <c r="A59" s="53"/>
      <c r="B59" s="54"/>
      <c r="C59" s="54"/>
      <c r="D59" s="50"/>
      <c r="E59" s="50"/>
      <c r="F59" s="50"/>
      <c r="G59" s="50"/>
      <c r="H59" s="50">
        <f t="shared" si="0"/>
        <v>0</v>
      </c>
    </row>
    <row r="60" spans="1:8" x14ac:dyDescent="0.35">
      <c r="A60" s="53"/>
      <c r="B60" s="54"/>
      <c r="C60" s="54"/>
      <c r="D60" s="50"/>
      <c r="E60" s="50"/>
      <c r="F60" s="50"/>
      <c r="G60" s="50"/>
      <c r="H60" s="50">
        <f t="shared" si="0"/>
        <v>0</v>
      </c>
    </row>
    <row r="61" spans="1:8" x14ac:dyDescent="0.35">
      <c r="A61" s="53"/>
      <c r="B61" s="54"/>
      <c r="C61" s="54"/>
      <c r="D61" s="50"/>
      <c r="E61" s="50"/>
      <c r="F61" s="50"/>
      <c r="G61" s="50"/>
      <c r="H61" s="50">
        <f t="shared" si="0"/>
        <v>0</v>
      </c>
    </row>
    <row r="62" spans="1:8" x14ac:dyDescent="0.35">
      <c r="A62" s="53"/>
      <c r="B62" s="54"/>
      <c r="C62" s="54"/>
      <c r="D62" s="50"/>
      <c r="E62" s="50"/>
      <c r="F62" s="50"/>
      <c r="G62" s="50"/>
      <c r="H62" s="50">
        <f t="shared" si="0"/>
        <v>0</v>
      </c>
    </row>
    <row r="63" spans="1:8" x14ac:dyDescent="0.35">
      <c r="A63" s="53"/>
      <c r="B63" s="54"/>
      <c r="C63" s="54"/>
      <c r="D63" s="50"/>
      <c r="E63" s="50"/>
      <c r="F63" s="50"/>
      <c r="G63" s="50"/>
      <c r="H63" s="50">
        <f t="shared" si="0"/>
        <v>0</v>
      </c>
    </row>
    <row r="64" spans="1:8" x14ac:dyDescent="0.35">
      <c r="A64" s="53"/>
      <c r="B64" s="54"/>
      <c r="C64" s="54"/>
      <c r="D64" s="50"/>
      <c r="E64" s="50"/>
      <c r="F64" s="50"/>
      <c r="G64" s="50"/>
      <c r="H64" s="50">
        <f t="shared" si="0"/>
        <v>0</v>
      </c>
    </row>
    <row r="65" spans="1:8" x14ac:dyDescent="0.35">
      <c r="A65" s="53"/>
      <c r="B65" s="54"/>
      <c r="C65" s="54"/>
      <c r="D65" s="50"/>
      <c r="E65" s="50"/>
      <c r="F65" s="50"/>
      <c r="G65" s="50"/>
      <c r="H65" s="50">
        <f t="shared" si="0"/>
        <v>0</v>
      </c>
    </row>
    <row r="66" spans="1:8" x14ac:dyDescent="0.35">
      <c r="A66" s="53"/>
      <c r="B66" s="54"/>
      <c r="C66" s="54"/>
      <c r="D66" s="50"/>
      <c r="E66" s="50"/>
      <c r="F66" s="50"/>
      <c r="G66" s="50"/>
      <c r="H66" s="50">
        <f t="shared" si="0"/>
        <v>0</v>
      </c>
    </row>
    <row r="67" spans="1:8" x14ac:dyDescent="0.35">
      <c r="A67" s="53"/>
      <c r="B67" s="54"/>
      <c r="C67" s="54"/>
      <c r="D67" s="50"/>
      <c r="E67" s="50"/>
      <c r="F67" s="50"/>
      <c r="G67" s="50"/>
      <c r="H67" s="50">
        <f t="shared" ref="H67:H69" si="1">MOD(F67-E67, 1)</f>
        <v>0</v>
      </c>
    </row>
    <row r="68" spans="1:8" x14ac:dyDescent="0.35">
      <c r="A68" s="53"/>
      <c r="B68" s="54"/>
      <c r="C68" s="54"/>
      <c r="D68" s="50"/>
      <c r="E68" s="50"/>
      <c r="F68" s="50"/>
      <c r="G68" s="50"/>
      <c r="H68" s="50">
        <f t="shared" si="1"/>
        <v>0</v>
      </c>
    </row>
    <row r="69" spans="1:8" x14ac:dyDescent="0.35">
      <c r="A69" s="53"/>
      <c r="B69" s="54"/>
      <c r="C69" s="54"/>
      <c r="D69" s="50"/>
      <c r="E69" s="50"/>
      <c r="F69" s="50"/>
      <c r="G69" s="50"/>
      <c r="H69" s="50">
        <f t="shared" si="1"/>
        <v>0</v>
      </c>
    </row>
  </sheetData>
  <autoFilter ref="A2:F38" xr:uid="{00000000-0001-0000-0000-000000000000}">
    <sortState xmlns:xlrd2="http://schemas.microsoft.com/office/spreadsheetml/2017/richdata2" ref="A3:F18">
      <sortCondition ref="A2"/>
    </sortState>
  </autoFilter>
  <conditionalFormatting sqref="H3:H412">
    <cfRule type="cellIs" dxfId="3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0E978-1090-4C45-B303-35FD3966D49D}">
  <sheetPr>
    <pageSetUpPr fitToPage="1"/>
  </sheetPr>
  <dimension ref="A1:K69"/>
  <sheetViews>
    <sheetView showGridLines="0" zoomScale="55" zoomScaleNormal="55" workbookViewId="0">
      <pane ySplit="2" topLeftCell="A3" activePane="bottomLeft" state="frozen"/>
      <selection pane="bottomLeft" activeCell="F44" sqref="F44"/>
    </sheetView>
  </sheetViews>
  <sheetFormatPr defaultColWidth="9" defaultRowHeight="23.25" x14ac:dyDescent="0.35"/>
  <cols>
    <col min="1" max="1" width="41.7109375" style="29" bestFit="1" customWidth="1"/>
    <col min="2" max="2" width="23.140625" style="7" bestFit="1" customWidth="1"/>
    <col min="3" max="3" width="19.140625" style="6" bestFit="1" customWidth="1"/>
    <col min="4" max="4" width="20.28515625" style="5" bestFit="1" customWidth="1"/>
    <col min="5" max="5" width="23" style="5" bestFit="1" customWidth="1"/>
    <col min="6" max="6" width="24.5703125" style="3" bestFit="1" customWidth="1"/>
    <col min="7" max="7" width="0.28515625" style="1" customWidth="1"/>
    <col min="8" max="8" width="24.85546875" style="28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39" t="s">
        <v>4</v>
      </c>
      <c r="B1" s="40"/>
      <c r="C1" s="41"/>
      <c r="D1" s="42"/>
      <c r="E1" s="42"/>
      <c r="F1" s="43"/>
      <c r="G1" s="44"/>
      <c r="H1" s="51"/>
    </row>
    <row r="2" spans="1:10" s="2" customFormat="1" x14ac:dyDescent="0.35">
      <c r="A2" s="45" t="s">
        <v>0</v>
      </c>
      <c r="B2" s="45" t="s">
        <v>1</v>
      </c>
      <c r="C2" s="45" t="s">
        <v>2</v>
      </c>
      <c r="D2" s="46" t="s">
        <v>3</v>
      </c>
      <c r="E2" s="46" t="s">
        <v>236</v>
      </c>
      <c r="F2" s="45" t="s">
        <v>5</v>
      </c>
      <c r="G2" s="47"/>
      <c r="H2" s="48" t="s">
        <v>274</v>
      </c>
    </row>
    <row r="3" spans="1:10" x14ac:dyDescent="0.35">
      <c r="A3" s="53" t="s">
        <v>207</v>
      </c>
      <c r="B3" s="54" t="s">
        <v>123</v>
      </c>
      <c r="C3" s="54" t="s">
        <v>133</v>
      </c>
      <c r="D3" s="50">
        <v>0.22916666666666666</v>
      </c>
      <c r="E3" s="50">
        <v>0.33680555555555558</v>
      </c>
      <c r="F3" s="50">
        <v>0.3611111111111111</v>
      </c>
      <c r="G3" s="50"/>
      <c r="H3" s="50">
        <f t="shared" ref="H3:H66" si="0">MOD(F3-E3, 1)</f>
        <v>2.4305555555555525E-2</v>
      </c>
    </row>
    <row r="4" spans="1:10" s="4" customFormat="1" x14ac:dyDescent="0.35">
      <c r="A4" s="53" t="s">
        <v>210</v>
      </c>
      <c r="B4" s="54" t="s">
        <v>123</v>
      </c>
      <c r="C4" s="54" t="s">
        <v>133</v>
      </c>
      <c r="D4" s="50">
        <v>0.22916666666666666</v>
      </c>
      <c r="E4" s="50">
        <v>0.2638888888888889</v>
      </c>
      <c r="F4" s="50">
        <v>0.3298611111111111</v>
      </c>
      <c r="G4" s="50"/>
      <c r="H4" s="50">
        <f t="shared" si="0"/>
        <v>6.597222222222221E-2</v>
      </c>
    </row>
    <row r="5" spans="1:10" s="4" customFormat="1" x14ac:dyDescent="0.35">
      <c r="A5" s="53" t="s">
        <v>204</v>
      </c>
      <c r="B5" s="54" t="s">
        <v>119</v>
      </c>
      <c r="C5" s="54" t="s">
        <v>128</v>
      </c>
      <c r="D5" s="50">
        <v>0.17708333333333334</v>
      </c>
      <c r="E5" s="50">
        <v>0.19791666666666666</v>
      </c>
      <c r="F5" s="50">
        <v>0.22916666666666666</v>
      </c>
      <c r="G5" s="50"/>
      <c r="H5" s="50">
        <f t="shared" si="0"/>
        <v>3.125E-2</v>
      </c>
    </row>
    <row r="6" spans="1:10" x14ac:dyDescent="0.35">
      <c r="A6" s="53" t="s">
        <v>195</v>
      </c>
      <c r="B6" s="54" t="s">
        <v>417</v>
      </c>
      <c r="C6" s="54" t="s">
        <v>250</v>
      </c>
      <c r="D6" s="50">
        <v>0.16666666666666666</v>
      </c>
      <c r="E6" s="50">
        <v>0.19444444444444445</v>
      </c>
      <c r="F6" s="50">
        <v>0.3611111111111111</v>
      </c>
      <c r="G6" s="50"/>
      <c r="H6" s="50">
        <f t="shared" si="0"/>
        <v>0.16666666666666666</v>
      </c>
    </row>
    <row r="7" spans="1:10" x14ac:dyDescent="0.35">
      <c r="A7" s="53" t="s">
        <v>177</v>
      </c>
      <c r="B7" s="54" t="s">
        <v>121</v>
      </c>
      <c r="C7" s="54" t="s">
        <v>130</v>
      </c>
      <c r="D7" s="50">
        <v>0.19097222222222221</v>
      </c>
      <c r="E7" s="50">
        <v>0.22916666666666666</v>
      </c>
      <c r="F7" s="50">
        <v>0.35069444444444442</v>
      </c>
      <c r="G7" s="50"/>
      <c r="H7" s="50">
        <f t="shared" si="0"/>
        <v>0.12152777777777776</v>
      </c>
    </row>
    <row r="8" spans="1:10" x14ac:dyDescent="0.35">
      <c r="A8" s="53" t="s">
        <v>192</v>
      </c>
      <c r="B8" s="54" t="s">
        <v>122</v>
      </c>
      <c r="C8" s="54" t="s">
        <v>131</v>
      </c>
      <c r="D8" s="50">
        <v>0.19097222222222221</v>
      </c>
      <c r="E8" s="50">
        <v>0.21875</v>
      </c>
      <c r="F8" s="50">
        <v>0.28472222222222221</v>
      </c>
      <c r="G8" s="50"/>
      <c r="H8" s="50">
        <f t="shared" si="0"/>
        <v>6.597222222222221E-2</v>
      </c>
    </row>
    <row r="9" spans="1:10" s="4" customFormat="1" x14ac:dyDescent="0.35">
      <c r="A9" s="53" t="s">
        <v>201</v>
      </c>
      <c r="B9" s="54" t="s">
        <v>149</v>
      </c>
      <c r="C9" s="54" t="s">
        <v>129</v>
      </c>
      <c r="D9" s="50">
        <v>0.15972222222222221</v>
      </c>
      <c r="E9" s="50">
        <v>0.1875</v>
      </c>
      <c r="F9" s="50">
        <v>0.22222222222222221</v>
      </c>
      <c r="G9" s="50"/>
      <c r="H9" s="50">
        <f t="shared" si="0"/>
        <v>3.472222222222221E-2</v>
      </c>
      <c r="I9" s="8"/>
      <c r="J9" s="8"/>
    </row>
    <row r="10" spans="1:10" s="4" customFormat="1" x14ac:dyDescent="0.35">
      <c r="A10" s="53" t="s">
        <v>189</v>
      </c>
      <c r="B10" s="54" t="s">
        <v>149</v>
      </c>
      <c r="C10" s="54" t="s">
        <v>129</v>
      </c>
      <c r="D10" s="50">
        <v>0.15972222222222221</v>
      </c>
      <c r="E10" s="50">
        <v>0.22916666666666666</v>
      </c>
      <c r="F10" s="50">
        <v>0.27083333333333331</v>
      </c>
      <c r="G10" s="50"/>
      <c r="H10" s="50">
        <f t="shared" si="0"/>
        <v>4.1666666666666657E-2</v>
      </c>
      <c r="I10" s="8"/>
      <c r="J10" s="8"/>
    </row>
    <row r="11" spans="1:10" x14ac:dyDescent="0.35">
      <c r="A11" s="53" t="s">
        <v>180</v>
      </c>
      <c r="B11" s="54" t="s">
        <v>148</v>
      </c>
      <c r="C11" s="54" t="s">
        <v>141</v>
      </c>
      <c r="D11" s="50">
        <v>0.2013888888888889</v>
      </c>
      <c r="E11" s="50">
        <v>0.2361111111111111</v>
      </c>
      <c r="F11" s="50">
        <v>0.4513888888888889</v>
      </c>
      <c r="G11" s="50"/>
      <c r="H11" s="50">
        <f t="shared" si="0"/>
        <v>0.21527777777777779</v>
      </c>
      <c r="I11" s="8"/>
      <c r="J11" s="8"/>
    </row>
    <row r="12" spans="1:10" x14ac:dyDescent="0.35">
      <c r="A12" s="53" t="s">
        <v>221</v>
      </c>
      <c r="B12" s="54" t="s">
        <v>117</v>
      </c>
      <c r="C12" s="54" t="s">
        <v>126</v>
      </c>
      <c r="D12" s="50">
        <v>0.19791666666666666</v>
      </c>
      <c r="E12" s="50">
        <v>0.22916666666666666</v>
      </c>
      <c r="F12" s="50">
        <v>0.28819444444444442</v>
      </c>
      <c r="G12" s="50"/>
      <c r="H12" s="50">
        <f t="shared" si="0"/>
        <v>5.9027777777777762E-2</v>
      </c>
    </row>
    <row r="13" spans="1:10" x14ac:dyDescent="0.35">
      <c r="A13" s="53" t="s">
        <v>187</v>
      </c>
      <c r="B13" s="54" t="s">
        <v>272</v>
      </c>
      <c r="C13" s="54" t="s">
        <v>163</v>
      </c>
      <c r="D13" s="50" t="s">
        <v>247</v>
      </c>
      <c r="E13" s="50" t="s">
        <v>248</v>
      </c>
      <c r="F13" s="50"/>
      <c r="G13" s="50"/>
      <c r="H13" s="50" t="e">
        <f t="shared" si="0"/>
        <v>#VALUE!</v>
      </c>
    </row>
    <row r="14" spans="1:10" x14ac:dyDescent="0.35">
      <c r="A14" s="53" t="s">
        <v>202</v>
      </c>
      <c r="B14" s="54" t="s">
        <v>304</v>
      </c>
      <c r="C14" s="54" t="s">
        <v>303</v>
      </c>
      <c r="D14" s="50">
        <v>0.52777777777777779</v>
      </c>
      <c r="E14" s="50">
        <v>0.57291666666666663</v>
      </c>
      <c r="F14" s="50">
        <v>0.59027777777777779</v>
      </c>
      <c r="G14" s="50"/>
      <c r="H14" s="50">
        <f t="shared" si="0"/>
        <v>1.736111111111116E-2</v>
      </c>
    </row>
    <row r="15" spans="1:10" x14ac:dyDescent="0.35">
      <c r="A15" s="53" t="s">
        <v>203</v>
      </c>
      <c r="B15" s="54" t="s">
        <v>304</v>
      </c>
      <c r="C15" s="54" t="s">
        <v>303</v>
      </c>
      <c r="D15" s="50">
        <v>0.52777777777777779</v>
      </c>
      <c r="E15" s="50">
        <v>0.60069444444444442</v>
      </c>
      <c r="F15" s="50">
        <v>0.62152777777777779</v>
      </c>
      <c r="G15" s="50"/>
      <c r="H15" s="50">
        <f t="shared" si="0"/>
        <v>2.083333333333337E-2</v>
      </c>
    </row>
    <row r="16" spans="1:10" x14ac:dyDescent="0.35">
      <c r="A16" s="53" t="s">
        <v>222</v>
      </c>
      <c r="B16" s="54" t="s">
        <v>122</v>
      </c>
      <c r="C16" s="54" t="s">
        <v>131</v>
      </c>
      <c r="D16" s="50">
        <v>0.53125</v>
      </c>
      <c r="E16" s="50">
        <v>0.54861111111111116</v>
      </c>
      <c r="F16" s="50">
        <v>0.5625</v>
      </c>
      <c r="G16" s="50"/>
      <c r="H16" s="50">
        <f t="shared" si="0"/>
        <v>1.388888888888884E-2</v>
      </c>
    </row>
    <row r="17" spans="1:11" x14ac:dyDescent="0.35">
      <c r="A17" s="53" t="s">
        <v>223</v>
      </c>
      <c r="B17" s="54" t="s">
        <v>122</v>
      </c>
      <c r="C17" s="54" t="s">
        <v>131</v>
      </c>
      <c r="D17" s="50">
        <v>0.53125</v>
      </c>
      <c r="E17" s="50">
        <v>0.59375</v>
      </c>
      <c r="F17" s="50">
        <v>0.61111111111111116</v>
      </c>
      <c r="G17" s="50"/>
      <c r="H17" s="50">
        <f t="shared" si="0"/>
        <v>1.736111111111116E-2</v>
      </c>
    </row>
    <row r="18" spans="1:11" x14ac:dyDescent="0.35">
      <c r="A18" s="53" t="s">
        <v>180</v>
      </c>
      <c r="B18" s="54" t="s">
        <v>284</v>
      </c>
      <c r="C18" s="54" t="s">
        <v>286</v>
      </c>
      <c r="D18" s="50">
        <v>0.51041666666666663</v>
      </c>
      <c r="E18" s="50">
        <v>0.55208333333333337</v>
      </c>
      <c r="F18" s="50">
        <v>0.5625</v>
      </c>
      <c r="G18" s="50"/>
      <c r="H18" s="50">
        <f t="shared" si="0"/>
        <v>1.041666666666663E-2</v>
      </c>
    </row>
    <row r="19" spans="1:11" x14ac:dyDescent="0.35">
      <c r="A19" s="53" t="s">
        <v>184</v>
      </c>
      <c r="B19" s="54" t="s">
        <v>164</v>
      </c>
      <c r="C19" s="54" t="s">
        <v>154</v>
      </c>
      <c r="D19" s="50">
        <v>0.52430555555555558</v>
      </c>
      <c r="E19" s="50">
        <v>0.56597222222222221</v>
      </c>
      <c r="F19" s="50">
        <v>0.64236111111111116</v>
      </c>
      <c r="G19" s="50"/>
      <c r="H19" s="50">
        <f t="shared" si="0"/>
        <v>7.6388888888888951E-2</v>
      </c>
    </row>
    <row r="20" spans="1:11" x14ac:dyDescent="0.35">
      <c r="A20" s="53" t="s">
        <v>184</v>
      </c>
      <c r="B20" s="54" t="s">
        <v>144</v>
      </c>
      <c r="C20" s="54" t="s">
        <v>138</v>
      </c>
      <c r="D20" s="50">
        <v>0.63541666666666663</v>
      </c>
      <c r="E20" s="50">
        <v>0.67013888888888884</v>
      </c>
      <c r="F20" s="50">
        <v>0.70486111111111116</v>
      </c>
      <c r="G20" s="50"/>
      <c r="H20" s="50">
        <f t="shared" si="0"/>
        <v>3.4722222222222321E-2</v>
      </c>
    </row>
    <row r="21" spans="1:11" x14ac:dyDescent="0.35">
      <c r="A21" s="53" t="s">
        <v>181</v>
      </c>
      <c r="B21" s="54" t="s">
        <v>148</v>
      </c>
      <c r="C21" s="54" t="s">
        <v>141</v>
      </c>
      <c r="D21" s="50">
        <v>0.60416666666666663</v>
      </c>
      <c r="E21" s="50">
        <v>0.64930555555555558</v>
      </c>
      <c r="F21" s="50">
        <v>0.68055555555555558</v>
      </c>
      <c r="G21" s="50"/>
      <c r="H21" s="50">
        <f t="shared" si="0"/>
        <v>3.125E-2</v>
      </c>
      <c r="I21" s="6"/>
      <c r="J21" s="5"/>
      <c r="K21" s="5"/>
    </row>
    <row r="22" spans="1:11" x14ac:dyDescent="0.35">
      <c r="A22" s="53" t="s">
        <v>188</v>
      </c>
      <c r="B22" s="54" t="s">
        <v>149</v>
      </c>
      <c r="C22" s="54" t="s">
        <v>129</v>
      </c>
      <c r="D22" s="50">
        <v>0.59722222222222221</v>
      </c>
      <c r="E22" s="50">
        <v>0.64930555555555558</v>
      </c>
      <c r="F22" s="50">
        <v>0.67361111111111116</v>
      </c>
      <c r="G22" s="50"/>
      <c r="H22" s="50">
        <f t="shared" si="0"/>
        <v>2.430555555555558E-2</v>
      </c>
      <c r="I22" s="6"/>
      <c r="J22" s="5"/>
      <c r="K22" s="5"/>
    </row>
    <row r="23" spans="1:11" x14ac:dyDescent="0.35">
      <c r="A23" s="53" t="s">
        <v>181</v>
      </c>
      <c r="B23" s="54" t="s">
        <v>149</v>
      </c>
      <c r="C23" s="54" t="s">
        <v>129</v>
      </c>
      <c r="D23" s="50" t="s">
        <v>275</v>
      </c>
      <c r="E23" s="50" t="s">
        <v>276</v>
      </c>
      <c r="F23" s="50" t="s">
        <v>277</v>
      </c>
      <c r="G23" s="50"/>
      <c r="H23" s="50" t="e">
        <f t="shared" si="0"/>
        <v>#VALUE!</v>
      </c>
      <c r="I23" s="6"/>
      <c r="J23" s="5"/>
      <c r="K23" s="5"/>
    </row>
    <row r="24" spans="1:11" x14ac:dyDescent="0.35">
      <c r="A24" s="53" t="s">
        <v>186</v>
      </c>
      <c r="B24" s="54" t="s">
        <v>251</v>
      </c>
      <c r="C24" s="54" t="s">
        <v>249</v>
      </c>
      <c r="D24" s="50">
        <v>0.55208333333333337</v>
      </c>
      <c r="E24" s="50">
        <v>0.60069444444444442</v>
      </c>
      <c r="F24" s="50">
        <v>0.61458333333333337</v>
      </c>
      <c r="G24" s="50"/>
      <c r="H24" s="50">
        <f t="shared" si="0"/>
        <v>1.3888888888888951E-2</v>
      </c>
      <c r="I24" s="6"/>
      <c r="J24" s="5"/>
      <c r="K24" s="5"/>
    </row>
    <row r="25" spans="1:11" x14ac:dyDescent="0.35">
      <c r="A25" s="53" t="s">
        <v>212</v>
      </c>
      <c r="B25" s="54" t="s">
        <v>252</v>
      </c>
      <c r="C25" s="54" t="s">
        <v>250</v>
      </c>
      <c r="D25" s="50">
        <v>0.61805555555555558</v>
      </c>
      <c r="E25" s="50">
        <v>0.65625</v>
      </c>
      <c r="F25" s="50">
        <v>0.67708333333333337</v>
      </c>
      <c r="G25" s="50"/>
      <c r="H25" s="50">
        <f t="shared" si="0"/>
        <v>2.083333333333337E-2</v>
      </c>
    </row>
    <row r="26" spans="1:11" x14ac:dyDescent="0.35">
      <c r="A26" s="53" t="s">
        <v>182</v>
      </c>
      <c r="B26" s="54" t="s">
        <v>228</v>
      </c>
      <c r="C26" s="54" t="s">
        <v>127</v>
      </c>
      <c r="D26" s="50">
        <v>0.61805555555555558</v>
      </c>
      <c r="E26" s="50">
        <v>0.66666666666666663</v>
      </c>
      <c r="F26" s="50">
        <v>0.70138888888888884</v>
      </c>
      <c r="G26" s="50"/>
      <c r="H26" s="50">
        <f t="shared" si="0"/>
        <v>3.472222222222221E-2</v>
      </c>
    </row>
    <row r="27" spans="1:11" x14ac:dyDescent="0.35">
      <c r="A27" s="53" t="s">
        <v>174</v>
      </c>
      <c r="B27" s="54" t="s">
        <v>156</v>
      </c>
      <c r="C27" s="54" t="s">
        <v>133</v>
      </c>
      <c r="D27" s="50">
        <v>0.64583333333333337</v>
      </c>
      <c r="E27" s="50">
        <v>0.6875</v>
      </c>
      <c r="F27" s="50">
        <v>0.70833333333333337</v>
      </c>
      <c r="G27" s="50"/>
      <c r="H27" s="50">
        <f t="shared" si="0"/>
        <v>2.083333333333337E-2</v>
      </c>
    </row>
    <row r="28" spans="1:11" x14ac:dyDescent="0.35">
      <c r="A28" s="53" t="s">
        <v>214</v>
      </c>
      <c r="B28" s="54" t="s">
        <v>156</v>
      </c>
      <c r="C28" s="54" t="s">
        <v>133</v>
      </c>
      <c r="D28" s="50">
        <v>0.64583333333333337</v>
      </c>
      <c r="E28" s="50">
        <v>0.71180555555555558</v>
      </c>
      <c r="F28" s="50">
        <v>0.75347222222222221</v>
      </c>
      <c r="G28" s="50"/>
      <c r="H28" s="50">
        <f t="shared" si="0"/>
        <v>4.166666666666663E-2</v>
      </c>
    </row>
    <row r="29" spans="1:11" x14ac:dyDescent="0.35">
      <c r="A29" s="53" t="s">
        <v>208</v>
      </c>
      <c r="B29" s="54" t="s">
        <v>162</v>
      </c>
      <c r="C29" s="54" t="s">
        <v>161</v>
      </c>
      <c r="D29" s="50">
        <v>0.60416666666666663</v>
      </c>
      <c r="E29" s="50">
        <v>0.63888888888888884</v>
      </c>
      <c r="F29" s="50">
        <v>0.65625</v>
      </c>
      <c r="G29" s="50"/>
      <c r="H29" s="50">
        <f t="shared" si="0"/>
        <v>1.736111111111116E-2</v>
      </c>
    </row>
    <row r="30" spans="1:11" x14ac:dyDescent="0.35">
      <c r="A30" s="53" t="s">
        <v>209</v>
      </c>
      <c r="B30" s="54" t="s">
        <v>165</v>
      </c>
      <c r="C30" s="54" t="s">
        <v>167</v>
      </c>
      <c r="D30" s="50" t="s">
        <v>247</v>
      </c>
      <c r="E30" s="50" t="s">
        <v>248</v>
      </c>
      <c r="F30" s="50"/>
      <c r="G30" s="50"/>
      <c r="H30" s="50" t="e">
        <f t="shared" si="0"/>
        <v>#VALUE!</v>
      </c>
    </row>
    <row r="31" spans="1:11" x14ac:dyDescent="0.35">
      <c r="A31" s="53" t="s">
        <v>217</v>
      </c>
      <c r="B31" s="54" t="s">
        <v>165</v>
      </c>
      <c r="C31" s="54" t="s">
        <v>167</v>
      </c>
      <c r="D31" s="50" t="s">
        <v>247</v>
      </c>
      <c r="E31" s="50" t="s">
        <v>248</v>
      </c>
      <c r="F31" s="50"/>
      <c r="G31" s="50"/>
      <c r="H31" s="50" t="e">
        <f t="shared" si="0"/>
        <v>#VALUE!</v>
      </c>
    </row>
    <row r="32" spans="1:11" x14ac:dyDescent="0.35">
      <c r="A32" s="53" t="s">
        <v>219</v>
      </c>
      <c r="B32" s="54" t="s">
        <v>151</v>
      </c>
      <c r="C32" s="54" t="s">
        <v>132</v>
      </c>
      <c r="D32" s="50">
        <v>0.61805555555555558</v>
      </c>
      <c r="E32" s="50">
        <v>0.64583333333333337</v>
      </c>
      <c r="F32" s="50">
        <v>0.71527777777777779</v>
      </c>
      <c r="G32" s="50"/>
      <c r="H32" s="50">
        <f t="shared" si="0"/>
        <v>6.944444444444442E-2</v>
      </c>
    </row>
    <row r="33" spans="1:8" x14ac:dyDescent="0.35">
      <c r="A33" s="53" t="s">
        <v>178</v>
      </c>
      <c r="B33" s="54" t="s">
        <v>169</v>
      </c>
      <c r="C33" s="54" t="s">
        <v>170</v>
      </c>
      <c r="D33" s="50">
        <v>0.79513888888888884</v>
      </c>
      <c r="E33" s="50">
        <v>0.90625</v>
      </c>
      <c r="F33" s="50">
        <v>0.91319444444444442</v>
      </c>
      <c r="G33" s="50"/>
      <c r="H33" s="50">
        <f t="shared" si="0"/>
        <v>6.9444444444444198E-3</v>
      </c>
    </row>
    <row r="34" spans="1:8" x14ac:dyDescent="0.35">
      <c r="A34" s="53" t="s">
        <v>194</v>
      </c>
      <c r="B34" s="54" t="s">
        <v>169</v>
      </c>
      <c r="C34" s="54" t="s">
        <v>170</v>
      </c>
      <c r="D34" s="50">
        <v>0.79513888888888884</v>
      </c>
      <c r="E34" s="50">
        <v>0.82638888888888884</v>
      </c>
      <c r="F34" s="50">
        <v>0.85416666666666663</v>
      </c>
      <c r="G34" s="50"/>
      <c r="H34" s="50">
        <f t="shared" si="0"/>
        <v>2.777777777777779E-2</v>
      </c>
    </row>
    <row r="35" spans="1:8" x14ac:dyDescent="0.35">
      <c r="A35" s="53" t="s">
        <v>199</v>
      </c>
      <c r="B35" s="54" t="s">
        <v>146</v>
      </c>
      <c r="C35" s="54" t="s">
        <v>140</v>
      </c>
      <c r="D35" s="50">
        <v>0.75</v>
      </c>
      <c r="E35" s="50">
        <v>0.79513888888888884</v>
      </c>
      <c r="F35" s="50">
        <v>0.82638888888888884</v>
      </c>
      <c r="G35" s="50"/>
      <c r="H35" s="50">
        <f t="shared" si="0"/>
        <v>3.125E-2</v>
      </c>
    </row>
    <row r="36" spans="1:8" x14ac:dyDescent="0.35">
      <c r="A36" s="53" t="s">
        <v>196</v>
      </c>
      <c r="B36" s="54" t="s">
        <v>146</v>
      </c>
      <c r="C36" s="54" t="s">
        <v>140</v>
      </c>
      <c r="D36" s="50">
        <v>0.75</v>
      </c>
      <c r="E36" s="50">
        <v>0.83333333333333337</v>
      </c>
      <c r="F36" s="50">
        <v>0.85069444444444442</v>
      </c>
      <c r="G36" s="50"/>
      <c r="H36" s="50">
        <f t="shared" si="0"/>
        <v>1.7361111111111049E-2</v>
      </c>
    </row>
    <row r="37" spans="1:8" x14ac:dyDescent="0.35">
      <c r="A37" s="53" t="s">
        <v>205</v>
      </c>
      <c r="B37" s="54" t="s">
        <v>267</v>
      </c>
      <c r="C37" s="54" t="s">
        <v>269</v>
      </c>
      <c r="D37" s="50">
        <v>0.77777777777777779</v>
      </c>
      <c r="E37" s="50">
        <v>0.82291666666666663</v>
      </c>
      <c r="F37" s="50">
        <v>0.83680555555555558</v>
      </c>
      <c r="G37" s="50"/>
      <c r="H37" s="50">
        <f t="shared" si="0"/>
        <v>1.3888888888888951E-2</v>
      </c>
    </row>
    <row r="38" spans="1:8" x14ac:dyDescent="0.35">
      <c r="A38" s="53" t="s">
        <v>191</v>
      </c>
      <c r="B38" s="54" t="s">
        <v>150</v>
      </c>
      <c r="C38" s="54" t="s">
        <v>139</v>
      </c>
      <c r="D38" s="50">
        <v>0.76388888888888884</v>
      </c>
      <c r="E38" s="50">
        <v>0.79513888888888884</v>
      </c>
      <c r="F38" s="50">
        <v>0.81597222222222221</v>
      </c>
      <c r="G38" s="50"/>
      <c r="H38" s="50">
        <f t="shared" si="0"/>
        <v>2.083333333333337E-2</v>
      </c>
    </row>
    <row r="39" spans="1:8" x14ac:dyDescent="0.35">
      <c r="A39" s="53" t="s">
        <v>197</v>
      </c>
      <c r="B39" s="54" t="s">
        <v>257</v>
      </c>
      <c r="C39" s="54" t="s">
        <v>263</v>
      </c>
      <c r="D39" s="50" t="s">
        <v>247</v>
      </c>
      <c r="E39" s="50" t="s">
        <v>248</v>
      </c>
      <c r="F39" s="50"/>
      <c r="G39" s="50"/>
      <c r="H39" s="50" t="e">
        <f t="shared" si="0"/>
        <v>#VALUE!</v>
      </c>
    </row>
    <row r="40" spans="1:8" x14ac:dyDescent="0.35">
      <c r="A40" s="53" t="s">
        <v>218</v>
      </c>
      <c r="B40" s="54" t="s">
        <v>257</v>
      </c>
      <c r="C40" s="54" t="s">
        <v>263</v>
      </c>
      <c r="D40" s="50" t="s">
        <v>247</v>
      </c>
      <c r="E40" s="50" t="s">
        <v>248</v>
      </c>
      <c r="F40" s="50"/>
      <c r="G40" s="50"/>
      <c r="H40" s="50" t="e">
        <f t="shared" si="0"/>
        <v>#VALUE!</v>
      </c>
    </row>
    <row r="41" spans="1:8" x14ac:dyDescent="0.35">
      <c r="A41" s="53" t="s">
        <v>183</v>
      </c>
      <c r="B41" s="54" t="s">
        <v>160</v>
      </c>
      <c r="C41" s="54" t="s">
        <v>159</v>
      </c>
      <c r="D41" s="50">
        <v>0.73958333333333337</v>
      </c>
      <c r="E41" s="50">
        <v>0.78125</v>
      </c>
      <c r="F41" s="50">
        <v>0.80902777777777779</v>
      </c>
      <c r="G41" s="50"/>
      <c r="H41" s="50">
        <f t="shared" si="0"/>
        <v>2.777777777777779E-2</v>
      </c>
    </row>
    <row r="42" spans="1:8" x14ac:dyDescent="0.35">
      <c r="A42" s="53" t="s">
        <v>223</v>
      </c>
      <c r="B42" s="54" t="s">
        <v>266</v>
      </c>
      <c r="C42" s="54" t="s">
        <v>268</v>
      </c>
      <c r="D42" s="50" t="s">
        <v>275</v>
      </c>
      <c r="E42" s="50" t="s">
        <v>276</v>
      </c>
      <c r="F42" s="50" t="s">
        <v>277</v>
      </c>
      <c r="G42" s="50"/>
      <c r="H42" s="50" t="e">
        <f t="shared" si="0"/>
        <v>#VALUE!</v>
      </c>
    </row>
    <row r="43" spans="1:8" x14ac:dyDescent="0.35">
      <c r="A43" s="53" t="s">
        <v>193</v>
      </c>
      <c r="B43" s="54" t="s">
        <v>297</v>
      </c>
      <c r="C43" s="54" t="s">
        <v>322</v>
      </c>
      <c r="D43" s="50" t="s">
        <v>247</v>
      </c>
      <c r="E43" s="50" t="s">
        <v>248</v>
      </c>
      <c r="F43" s="50"/>
      <c r="G43" s="50"/>
      <c r="H43" s="50" t="e">
        <f t="shared" si="0"/>
        <v>#VALUE!</v>
      </c>
    </row>
    <row r="44" spans="1:8" x14ac:dyDescent="0.35">
      <c r="A44" s="53" t="s">
        <v>176</v>
      </c>
      <c r="B44" s="54" t="s">
        <v>172</v>
      </c>
      <c r="C44" s="54" t="s">
        <v>171</v>
      </c>
      <c r="D44" s="50">
        <v>0.78125</v>
      </c>
      <c r="E44" s="50">
        <v>0.84722222222222221</v>
      </c>
      <c r="F44" s="50">
        <v>0.86111111111111116</v>
      </c>
      <c r="G44" s="50"/>
      <c r="H44" s="50">
        <f t="shared" si="0"/>
        <v>1.3888888888888951E-2</v>
      </c>
    </row>
    <row r="45" spans="1:8" x14ac:dyDescent="0.35">
      <c r="A45" s="53" t="s">
        <v>200</v>
      </c>
      <c r="B45" s="54" t="s">
        <v>172</v>
      </c>
      <c r="C45" s="54" t="s">
        <v>171</v>
      </c>
      <c r="D45" s="50">
        <v>0.78125</v>
      </c>
      <c r="E45" s="50">
        <v>0.82638888888888884</v>
      </c>
      <c r="F45" s="50">
        <v>0.84027777777777779</v>
      </c>
      <c r="G45" s="50"/>
      <c r="H45" s="50">
        <f t="shared" si="0"/>
        <v>1.3888888888888951E-2</v>
      </c>
    </row>
    <row r="46" spans="1:8" x14ac:dyDescent="0.35">
      <c r="A46" s="53" t="s">
        <v>206</v>
      </c>
      <c r="B46" s="54" t="s">
        <v>229</v>
      </c>
      <c r="C46" s="54" t="s">
        <v>291</v>
      </c>
      <c r="D46" s="50" t="s">
        <v>247</v>
      </c>
      <c r="E46" s="50" t="s">
        <v>248</v>
      </c>
      <c r="F46" s="50"/>
      <c r="G46" s="50"/>
      <c r="H46" s="50" t="e">
        <f t="shared" si="0"/>
        <v>#VALUE!</v>
      </c>
    </row>
    <row r="47" spans="1:8" x14ac:dyDescent="0.35">
      <c r="A47" s="53" t="s">
        <v>216</v>
      </c>
      <c r="B47" s="54" t="s">
        <v>229</v>
      </c>
      <c r="C47" s="54" t="s">
        <v>291</v>
      </c>
      <c r="D47" s="50" t="s">
        <v>247</v>
      </c>
      <c r="E47" s="50" t="s">
        <v>248</v>
      </c>
      <c r="F47" s="50"/>
      <c r="G47" s="50"/>
      <c r="H47" s="50" t="e">
        <f t="shared" si="0"/>
        <v>#VALUE!</v>
      </c>
    </row>
    <row r="48" spans="1:8" x14ac:dyDescent="0.35">
      <c r="A48" s="53" t="s">
        <v>220</v>
      </c>
      <c r="B48" s="54" t="s">
        <v>147</v>
      </c>
      <c r="C48" s="54" t="s">
        <v>130</v>
      </c>
      <c r="D48" s="50">
        <v>0.73611111111111116</v>
      </c>
      <c r="E48" s="50">
        <v>0.76736111111111116</v>
      </c>
      <c r="F48" s="50">
        <v>0.78819444444444442</v>
      </c>
      <c r="G48" s="50"/>
      <c r="H48" s="50">
        <f t="shared" si="0"/>
        <v>2.0833333333333259E-2</v>
      </c>
    </row>
    <row r="49" spans="1:8" x14ac:dyDescent="0.35">
      <c r="A49" s="53" t="s">
        <v>224</v>
      </c>
      <c r="B49" s="54" t="s">
        <v>117</v>
      </c>
      <c r="C49" s="54" t="s">
        <v>126</v>
      </c>
      <c r="D49" s="50">
        <v>0.80208333333333337</v>
      </c>
      <c r="E49" s="50">
        <v>0.8125</v>
      </c>
      <c r="F49" s="50">
        <v>0.86458333333333337</v>
      </c>
      <c r="G49" s="50"/>
      <c r="H49" s="50">
        <f t="shared" si="0"/>
        <v>5.208333333333337E-2</v>
      </c>
    </row>
    <row r="50" spans="1:8" x14ac:dyDescent="0.35">
      <c r="A50" s="53" t="s">
        <v>185</v>
      </c>
      <c r="B50" s="54" t="s">
        <v>230</v>
      </c>
      <c r="C50" s="54" t="s">
        <v>225</v>
      </c>
      <c r="D50" s="50" t="s">
        <v>247</v>
      </c>
      <c r="E50" s="50" t="s">
        <v>248</v>
      </c>
      <c r="F50" s="50"/>
      <c r="G50" s="50"/>
      <c r="H50" s="50" t="e">
        <f t="shared" si="0"/>
        <v>#VALUE!</v>
      </c>
    </row>
    <row r="51" spans="1:8" x14ac:dyDescent="0.35">
      <c r="A51" s="53" t="s">
        <v>222</v>
      </c>
      <c r="B51" s="54" t="s">
        <v>230</v>
      </c>
      <c r="C51" s="54" t="s">
        <v>225</v>
      </c>
      <c r="D51" s="50" t="s">
        <v>247</v>
      </c>
      <c r="E51" s="50" t="s">
        <v>248</v>
      </c>
      <c r="F51" s="50"/>
      <c r="G51" s="50"/>
      <c r="H51" s="50" t="e">
        <f t="shared" si="0"/>
        <v>#VALUE!</v>
      </c>
    </row>
    <row r="52" spans="1:8" x14ac:dyDescent="0.35">
      <c r="A52" s="53" t="s">
        <v>222</v>
      </c>
      <c r="B52" s="54" t="s">
        <v>293</v>
      </c>
      <c r="C52" s="54" t="s">
        <v>128</v>
      </c>
      <c r="D52" s="50">
        <v>0.75</v>
      </c>
      <c r="E52" s="50">
        <v>0.76736111111111116</v>
      </c>
      <c r="F52" s="50">
        <v>0.79166666666666663</v>
      </c>
      <c r="G52" s="50"/>
      <c r="H52" s="50">
        <f t="shared" si="0"/>
        <v>2.4305555555555469E-2</v>
      </c>
    </row>
    <row r="53" spans="1:8" x14ac:dyDescent="0.35">
      <c r="A53" s="53" t="s">
        <v>179</v>
      </c>
      <c r="B53" s="54" t="s">
        <v>293</v>
      </c>
      <c r="C53" s="54" t="s">
        <v>128</v>
      </c>
      <c r="D53" s="50">
        <v>0.75</v>
      </c>
      <c r="E53" s="50">
        <v>0.84027777777777779</v>
      </c>
      <c r="F53" s="50">
        <v>0.85416666666666663</v>
      </c>
      <c r="G53" s="50"/>
      <c r="H53" s="50">
        <f t="shared" si="0"/>
        <v>1.388888888888884E-2</v>
      </c>
    </row>
    <row r="54" spans="1:8" x14ac:dyDescent="0.35">
      <c r="A54" s="53"/>
      <c r="B54" s="54"/>
      <c r="C54" s="54"/>
      <c r="D54" s="50"/>
      <c r="E54" s="50"/>
      <c r="F54" s="50"/>
      <c r="G54" s="50"/>
      <c r="H54" s="50">
        <f t="shared" si="0"/>
        <v>0</v>
      </c>
    </row>
    <row r="55" spans="1:8" x14ac:dyDescent="0.35">
      <c r="A55" s="53"/>
      <c r="B55" s="54"/>
      <c r="C55" s="54"/>
      <c r="D55" s="50"/>
      <c r="E55" s="50"/>
      <c r="F55" s="50"/>
      <c r="G55" s="50"/>
      <c r="H55" s="50">
        <f t="shared" si="0"/>
        <v>0</v>
      </c>
    </row>
    <row r="56" spans="1:8" x14ac:dyDescent="0.35">
      <c r="A56" s="53"/>
      <c r="B56" s="54"/>
      <c r="C56" s="54"/>
      <c r="D56" s="50"/>
      <c r="E56" s="50"/>
      <c r="F56" s="50"/>
      <c r="G56" s="50"/>
      <c r="H56" s="50">
        <f t="shared" si="0"/>
        <v>0</v>
      </c>
    </row>
    <row r="57" spans="1:8" x14ac:dyDescent="0.35">
      <c r="A57" s="53"/>
      <c r="B57" s="54"/>
      <c r="C57" s="54"/>
      <c r="D57" s="50"/>
      <c r="E57" s="50"/>
      <c r="F57" s="50"/>
      <c r="G57" s="50"/>
      <c r="H57" s="50">
        <f t="shared" si="0"/>
        <v>0</v>
      </c>
    </row>
    <row r="58" spans="1:8" x14ac:dyDescent="0.35">
      <c r="A58" s="53"/>
      <c r="B58" s="54"/>
      <c r="C58" s="54"/>
      <c r="D58" s="50"/>
      <c r="E58" s="50"/>
      <c r="F58" s="50"/>
      <c r="G58" s="50"/>
      <c r="H58" s="50">
        <f t="shared" si="0"/>
        <v>0</v>
      </c>
    </row>
    <row r="59" spans="1:8" x14ac:dyDescent="0.35">
      <c r="A59" s="53"/>
      <c r="B59" s="54"/>
      <c r="C59" s="54"/>
      <c r="D59" s="50"/>
      <c r="E59" s="50"/>
      <c r="F59" s="50"/>
      <c r="G59" s="50"/>
      <c r="H59" s="50">
        <f t="shared" si="0"/>
        <v>0</v>
      </c>
    </row>
    <row r="60" spans="1:8" x14ac:dyDescent="0.35">
      <c r="A60" s="53"/>
      <c r="B60" s="54"/>
      <c r="C60" s="54"/>
      <c r="D60" s="50"/>
      <c r="E60" s="50"/>
      <c r="F60" s="50"/>
      <c r="G60" s="50"/>
      <c r="H60" s="50">
        <f t="shared" si="0"/>
        <v>0</v>
      </c>
    </row>
    <row r="61" spans="1:8" x14ac:dyDescent="0.35">
      <c r="A61" s="53"/>
      <c r="B61" s="54"/>
      <c r="C61" s="54"/>
      <c r="D61" s="50"/>
      <c r="E61" s="50"/>
      <c r="F61" s="50"/>
      <c r="G61" s="50"/>
      <c r="H61" s="50">
        <f t="shared" si="0"/>
        <v>0</v>
      </c>
    </row>
    <row r="62" spans="1:8" x14ac:dyDescent="0.35">
      <c r="A62" s="53"/>
      <c r="B62" s="54"/>
      <c r="C62" s="54"/>
      <c r="D62" s="50"/>
      <c r="E62" s="50"/>
      <c r="F62" s="50"/>
      <c r="G62" s="50"/>
      <c r="H62" s="50">
        <f t="shared" si="0"/>
        <v>0</v>
      </c>
    </row>
    <row r="63" spans="1:8" x14ac:dyDescent="0.35">
      <c r="A63" s="53"/>
      <c r="B63" s="54"/>
      <c r="C63" s="54"/>
      <c r="D63" s="50"/>
      <c r="E63" s="50"/>
      <c r="F63" s="50"/>
      <c r="G63" s="50"/>
      <c r="H63" s="50">
        <f t="shared" si="0"/>
        <v>0</v>
      </c>
    </row>
    <row r="64" spans="1:8" x14ac:dyDescent="0.35">
      <c r="A64" s="53"/>
      <c r="B64" s="54"/>
      <c r="C64" s="54"/>
      <c r="D64" s="50"/>
      <c r="E64" s="50"/>
      <c r="F64" s="50"/>
      <c r="G64" s="50"/>
      <c r="H64" s="50">
        <f t="shared" si="0"/>
        <v>0</v>
      </c>
    </row>
    <row r="65" spans="1:8" x14ac:dyDescent="0.35">
      <c r="A65" s="53"/>
      <c r="B65" s="54"/>
      <c r="C65" s="54"/>
      <c r="D65" s="50"/>
      <c r="E65" s="50"/>
      <c r="F65" s="50"/>
      <c r="G65" s="50"/>
      <c r="H65" s="50">
        <f t="shared" si="0"/>
        <v>0</v>
      </c>
    </row>
    <row r="66" spans="1:8" x14ac:dyDescent="0.35">
      <c r="A66" s="53"/>
      <c r="B66" s="54"/>
      <c r="C66" s="54"/>
      <c r="D66" s="50"/>
      <c r="E66" s="50"/>
      <c r="F66" s="50"/>
      <c r="G66" s="50"/>
      <c r="H66" s="50">
        <f t="shared" si="0"/>
        <v>0</v>
      </c>
    </row>
    <row r="67" spans="1:8" x14ac:dyDescent="0.35">
      <c r="A67" s="53"/>
      <c r="B67" s="54"/>
      <c r="C67" s="54"/>
      <c r="D67" s="50"/>
      <c r="E67" s="50"/>
      <c r="F67" s="50"/>
      <c r="G67" s="50"/>
      <c r="H67" s="50">
        <f t="shared" ref="H67:H69" si="1">MOD(F67-E67, 1)</f>
        <v>0</v>
      </c>
    </row>
    <row r="68" spans="1:8" x14ac:dyDescent="0.35">
      <c r="A68" s="53"/>
      <c r="B68" s="54"/>
      <c r="C68" s="54"/>
      <c r="D68" s="50"/>
      <c r="E68" s="50"/>
      <c r="F68" s="50"/>
      <c r="G68" s="50"/>
      <c r="H68" s="50">
        <f t="shared" si="1"/>
        <v>0</v>
      </c>
    </row>
    <row r="69" spans="1:8" x14ac:dyDescent="0.35">
      <c r="A69" s="53"/>
      <c r="B69" s="54"/>
      <c r="C69" s="54"/>
      <c r="D69" s="50"/>
      <c r="E69" s="50"/>
      <c r="F69" s="50"/>
      <c r="G69" s="50"/>
      <c r="H69" s="50">
        <f t="shared" si="1"/>
        <v>0</v>
      </c>
    </row>
  </sheetData>
  <autoFilter ref="A2:F38" xr:uid="{00000000-0001-0000-0000-000000000000}">
    <sortState xmlns:xlrd2="http://schemas.microsoft.com/office/spreadsheetml/2017/richdata2" ref="A3:F18">
      <sortCondition ref="A2"/>
    </sortState>
  </autoFilter>
  <conditionalFormatting sqref="H3:H412">
    <cfRule type="cellIs" dxfId="2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C91FC-D2DD-4D95-BEF9-A31FCC409A20}">
  <sheetPr>
    <pageSetUpPr fitToPage="1"/>
  </sheetPr>
  <dimension ref="A1:K69"/>
  <sheetViews>
    <sheetView showGridLines="0" tabSelected="1" zoomScale="55" zoomScaleNormal="55" workbookViewId="0">
      <pane ySplit="2" topLeftCell="A3" activePane="bottomLeft" state="frozen"/>
      <selection pane="bottomLeft" activeCell="D14" sqref="D14"/>
    </sheetView>
  </sheetViews>
  <sheetFormatPr defaultColWidth="9" defaultRowHeight="23.25" x14ac:dyDescent="0.35"/>
  <cols>
    <col min="1" max="1" width="37.85546875" style="29" bestFit="1" customWidth="1"/>
    <col min="2" max="2" width="23.140625" style="7" bestFit="1" customWidth="1"/>
    <col min="3" max="3" width="16.28515625" style="6" bestFit="1" customWidth="1"/>
    <col min="4" max="4" width="20.28515625" style="5" bestFit="1" customWidth="1"/>
    <col min="5" max="5" width="23" style="5" bestFit="1" customWidth="1"/>
    <col min="6" max="6" width="24.5703125" style="3" bestFit="1" customWidth="1"/>
    <col min="7" max="7" width="0.28515625" style="1" customWidth="1"/>
    <col min="8" max="8" width="24.85546875" style="28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39" t="s">
        <v>4</v>
      </c>
      <c r="B1" s="40"/>
      <c r="C1" s="41"/>
      <c r="D1" s="42"/>
      <c r="E1" s="42"/>
      <c r="F1" s="43"/>
      <c r="G1" s="44"/>
      <c r="H1" s="51"/>
    </row>
    <row r="2" spans="1:10" s="2" customFormat="1" x14ac:dyDescent="0.35">
      <c r="A2" s="45" t="s">
        <v>0</v>
      </c>
      <c r="B2" s="45" t="s">
        <v>1</v>
      </c>
      <c r="C2" s="45" t="s">
        <v>2</v>
      </c>
      <c r="D2" s="46" t="s">
        <v>3</v>
      </c>
      <c r="E2" s="46" t="s">
        <v>236</v>
      </c>
      <c r="F2" s="45" t="s">
        <v>5</v>
      </c>
      <c r="G2" s="47"/>
      <c r="H2" s="48" t="s">
        <v>274</v>
      </c>
    </row>
    <row r="3" spans="1:10" x14ac:dyDescent="0.35">
      <c r="A3" s="53" t="str">
        <f>IF(BASE!F2="","",BASE!F2)</f>
        <v>Zona Sul Loja 33 - Humaitá</v>
      </c>
      <c r="B3" s="54" t="s">
        <v>151</v>
      </c>
      <c r="C3" s="54" t="s">
        <v>132</v>
      </c>
      <c r="D3" s="50">
        <v>0.20833333333333334</v>
      </c>
      <c r="E3" s="50"/>
      <c r="F3" s="50"/>
      <c r="G3" s="50"/>
      <c r="H3" s="50">
        <f t="shared" ref="H3:H66" si="0">MOD(F3-E3, 1)</f>
        <v>0</v>
      </c>
    </row>
    <row r="4" spans="1:10" s="4" customFormat="1" x14ac:dyDescent="0.35">
      <c r="A4" s="53" t="str">
        <f>IF(BASE!F3="","",BASE!F3)</f>
        <v>Zona Sul Loja 36 - Botafogo</v>
      </c>
      <c r="B4" s="54" t="s">
        <v>151</v>
      </c>
      <c r="C4" s="54" t="s">
        <v>132</v>
      </c>
      <c r="D4" s="50">
        <v>0.20833333333333334</v>
      </c>
      <c r="E4" s="50"/>
      <c r="F4" s="50"/>
      <c r="G4" s="50"/>
      <c r="H4" s="50">
        <f t="shared" si="0"/>
        <v>0</v>
      </c>
    </row>
    <row r="5" spans="1:10" s="4" customFormat="1" x14ac:dyDescent="0.35">
      <c r="A5" s="53" t="str">
        <f>IF(BASE!F4="","",BASE!F4)</f>
        <v>Zona Sul Loja 30 - Laranjeiras</v>
      </c>
      <c r="B5" s="54" t="s">
        <v>119</v>
      </c>
      <c r="C5" s="54" t="s">
        <v>128</v>
      </c>
      <c r="D5" s="50">
        <v>0.19097222222222221</v>
      </c>
      <c r="E5" s="50"/>
      <c r="F5" s="50"/>
      <c r="G5" s="50"/>
      <c r="H5" s="50">
        <f t="shared" si="0"/>
        <v>0</v>
      </c>
    </row>
    <row r="6" spans="1:10" x14ac:dyDescent="0.35">
      <c r="A6" s="53" t="str">
        <f>IF(BASE!F5="","",BASE!F5)</f>
        <v>Zona Sul Loja 21 - Flamengo</v>
      </c>
      <c r="B6" s="54" t="s">
        <v>119</v>
      </c>
      <c r="C6" s="54" t="s">
        <v>128</v>
      </c>
      <c r="D6" s="50">
        <v>0.19097222222222221</v>
      </c>
      <c r="E6" s="50"/>
      <c r="F6" s="50"/>
      <c r="G6" s="50"/>
      <c r="H6" s="50">
        <f t="shared" si="0"/>
        <v>0</v>
      </c>
    </row>
    <row r="7" spans="1:10" x14ac:dyDescent="0.35">
      <c r="A7" s="53" t="str">
        <f>IF(BASE!F6="","",BASE!F6)</f>
        <v>Zona Sul Loja 04 - Copacabana II</v>
      </c>
      <c r="B7" s="54" t="s">
        <v>121</v>
      </c>
      <c r="C7" s="54" t="s">
        <v>130</v>
      </c>
      <c r="D7" s="50">
        <v>0.2013888888888889</v>
      </c>
      <c r="E7" s="50"/>
      <c r="F7" s="50"/>
      <c r="G7" s="50"/>
      <c r="H7" s="50">
        <f t="shared" si="0"/>
        <v>0</v>
      </c>
    </row>
    <row r="8" spans="1:10" x14ac:dyDescent="0.35">
      <c r="A8" s="53" t="str">
        <f>IF(BASE!F7="","",BASE!F7)</f>
        <v>Zona Sul Loja 18 - Copacabana</v>
      </c>
      <c r="B8" s="54" t="s">
        <v>122</v>
      </c>
      <c r="C8" s="54" t="s">
        <v>131</v>
      </c>
      <c r="D8" s="50">
        <v>0.19097222222222221</v>
      </c>
      <c r="E8" s="50"/>
      <c r="F8" s="50"/>
      <c r="G8" s="50"/>
      <c r="H8" s="50">
        <f t="shared" si="0"/>
        <v>0</v>
      </c>
    </row>
    <row r="9" spans="1:10" s="4" customFormat="1" x14ac:dyDescent="0.35">
      <c r="A9" s="53" t="str">
        <f>IF(BASE!F8="","",BASE!F8)</f>
        <v>Zona Sul Loja 27 - Ipanema</v>
      </c>
      <c r="B9" s="54" t="s">
        <v>418</v>
      </c>
      <c r="C9" s="54" t="s">
        <v>127</v>
      </c>
      <c r="D9" s="50">
        <v>0.2048611111111111</v>
      </c>
      <c r="E9" s="50"/>
      <c r="F9" s="50"/>
      <c r="G9" s="50"/>
      <c r="H9" s="50">
        <f t="shared" si="0"/>
        <v>0</v>
      </c>
      <c r="I9" s="8"/>
      <c r="J9" s="8"/>
    </row>
    <row r="10" spans="1:10" s="4" customFormat="1" x14ac:dyDescent="0.35">
      <c r="A10" s="53" t="str">
        <f>IF(BASE!F9="","",BASE!F9)</f>
        <v>Zona Sul Loja 15 - Leblon</v>
      </c>
      <c r="B10" s="54" t="s">
        <v>418</v>
      </c>
      <c r="C10" s="54" t="s">
        <v>127</v>
      </c>
      <c r="D10" s="50">
        <v>0.2048611111111111</v>
      </c>
      <c r="E10" s="50"/>
      <c r="F10" s="50"/>
      <c r="G10" s="50"/>
      <c r="H10" s="50">
        <f t="shared" si="0"/>
        <v>0</v>
      </c>
      <c r="I10" s="8"/>
      <c r="J10" s="8"/>
    </row>
    <row r="11" spans="1:10" x14ac:dyDescent="0.35">
      <c r="A11" s="53" t="str">
        <f>IF(BASE!F10="","",BASE!F10)</f>
        <v>Zona Sul Loja 07 - Leblon</v>
      </c>
      <c r="B11" s="54" t="s">
        <v>123</v>
      </c>
      <c r="C11" s="54" t="s">
        <v>133</v>
      </c>
      <c r="D11" s="50">
        <v>0.24305555555555555</v>
      </c>
      <c r="E11" s="50"/>
      <c r="F11" s="50"/>
      <c r="G11" s="50"/>
      <c r="H11" s="50">
        <f t="shared" si="0"/>
        <v>0</v>
      </c>
      <c r="I11" s="8"/>
      <c r="J11" s="8"/>
    </row>
    <row r="12" spans="1:10" x14ac:dyDescent="0.35">
      <c r="A12" s="53" t="str">
        <f>IF(BASE!F11="","",BASE!F11)</f>
        <v>Zona Sul Loja 48 - Recreio</v>
      </c>
      <c r="B12" s="54" t="s">
        <v>117</v>
      </c>
      <c r="C12" s="54" t="s">
        <v>126</v>
      </c>
      <c r="D12" s="50">
        <v>0.2013888888888889</v>
      </c>
      <c r="E12" s="50"/>
      <c r="F12" s="50"/>
      <c r="G12" s="50"/>
      <c r="H12" s="50">
        <f t="shared" si="0"/>
        <v>0</v>
      </c>
    </row>
    <row r="13" spans="1:10" x14ac:dyDescent="0.35">
      <c r="A13" s="53" t="str">
        <f>IF(BASE!F12="","",BASE!F12)</f>
        <v>Zona Sul Loja 13 - Angra</v>
      </c>
      <c r="B13" s="54" t="s">
        <v>272</v>
      </c>
      <c r="C13" s="54" t="s">
        <v>163</v>
      </c>
      <c r="D13" s="50" t="s">
        <v>247</v>
      </c>
      <c r="E13" s="50" t="s">
        <v>248</v>
      </c>
      <c r="F13" s="50"/>
      <c r="G13" s="50"/>
      <c r="H13" s="50" t="e">
        <f t="shared" si="0"/>
        <v>#VALUE!</v>
      </c>
    </row>
    <row r="14" spans="1:10" x14ac:dyDescent="0.35">
      <c r="A14" s="53"/>
      <c r="B14" s="54"/>
      <c r="C14" s="54"/>
      <c r="D14" s="50"/>
      <c r="E14" s="50"/>
      <c r="F14" s="50"/>
      <c r="G14" s="50"/>
      <c r="H14" s="50">
        <f t="shared" si="0"/>
        <v>0</v>
      </c>
    </row>
    <row r="15" spans="1:10" x14ac:dyDescent="0.35">
      <c r="A15" s="53"/>
      <c r="B15" s="54"/>
      <c r="C15" s="54"/>
      <c r="D15" s="50"/>
      <c r="E15" s="50"/>
      <c r="F15" s="50"/>
      <c r="G15" s="50"/>
      <c r="H15" s="50">
        <f t="shared" si="0"/>
        <v>0</v>
      </c>
    </row>
    <row r="16" spans="1:10" x14ac:dyDescent="0.35">
      <c r="A16" s="53"/>
      <c r="B16" s="54"/>
      <c r="C16" s="54"/>
      <c r="D16" s="50"/>
      <c r="E16" s="50"/>
      <c r="F16" s="50"/>
      <c r="G16" s="50"/>
      <c r="H16" s="50">
        <f t="shared" si="0"/>
        <v>0</v>
      </c>
    </row>
    <row r="17" spans="1:11" x14ac:dyDescent="0.35">
      <c r="A17" s="53"/>
      <c r="B17" s="54"/>
      <c r="C17" s="54"/>
      <c r="D17" s="50"/>
      <c r="E17" s="50"/>
      <c r="F17" s="50"/>
      <c r="G17" s="50"/>
      <c r="H17" s="50">
        <f t="shared" si="0"/>
        <v>0</v>
      </c>
    </row>
    <row r="18" spans="1:11" x14ac:dyDescent="0.35">
      <c r="A18" s="53"/>
      <c r="B18" s="54"/>
      <c r="C18" s="54"/>
      <c r="D18" s="50"/>
      <c r="E18" s="50"/>
      <c r="F18" s="50"/>
      <c r="G18" s="50"/>
      <c r="H18" s="50">
        <f t="shared" si="0"/>
        <v>0</v>
      </c>
    </row>
    <row r="19" spans="1:11" x14ac:dyDescent="0.35">
      <c r="A19" s="53"/>
      <c r="B19" s="54"/>
      <c r="C19" s="54"/>
      <c r="D19" s="50"/>
      <c r="E19" s="50"/>
      <c r="F19" s="50"/>
      <c r="G19" s="50"/>
      <c r="H19" s="50">
        <f t="shared" si="0"/>
        <v>0</v>
      </c>
    </row>
    <row r="20" spans="1:11" x14ac:dyDescent="0.35">
      <c r="A20" s="53"/>
      <c r="B20" s="54"/>
      <c r="C20" s="54"/>
      <c r="D20" s="50"/>
      <c r="E20" s="50"/>
      <c r="F20" s="50"/>
      <c r="G20" s="50"/>
      <c r="H20" s="50">
        <f t="shared" si="0"/>
        <v>0</v>
      </c>
    </row>
    <row r="21" spans="1:11" x14ac:dyDescent="0.35">
      <c r="A21" s="53"/>
      <c r="B21" s="54"/>
      <c r="C21" s="54"/>
      <c r="D21" s="50"/>
      <c r="E21" s="50"/>
      <c r="F21" s="50"/>
      <c r="G21" s="50"/>
      <c r="H21" s="50">
        <f t="shared" si="0"/>
        <v>0</v>
      </c>
      <c r="I21" s="6"/>
      <c r="J21" s="5"/>
      <c r="K21" s="5"/>
    </row>
    <row r="22" spans="1:11" x14ac:dyDescent="0.35">
      <c r="A22" s="53"/>
      <c r="B22" s="54"/>
      <c r="C22" s="54"/>
      <c r="D22" s="50"/>
      <c r="E22" s="50"/>
      <c r="F22" s="50"/>
      <c r="G22" s="50"/>
      <c r="H22" s="50">
        <f t="shared" si="0"/>
        <v>0</v>
      </c>
      <c r="I22" s="6"/>
      <c r="J22" s="5"/>
      <c r="K22" s="5"/>
    </row>
    <row r="23" spans="1:11" x14ac:dyDescent="0.35">
      <c r="A23" s="53"/>
      <c r="B23" s="54"/>
      <c r="C23" s="54"/>
      <c r="D23" s="50"/>
      <c r="E23" s="50"/>
      <c r="F23" s="50"/>
      <c r="G23" s="50"/>
      <c r="H23" s="50">
        <f t="shared" si="0"/>
        <v>0</v>
      </c>
      <c r="I23" s="6"/>
      <c r="J23" s="5"/>
      <c r="K23" s="5"/>
    </row>
    <row r="24" spans="1:11" x14ac:dyDescent="0.35">
      <c r="A24" s="53"/>
      <c r="B24" s="54"/>
      <c r="C24" s="54"/>
      <c r="D24" s="50"/>
      <c r="E24" s="50"/>
      <c r="F24" s="50"/>
      <c r="G24" s="50"/>
      <c r="H24" s="50">
        <f t="shared" si="0"/>
        <v>0</v>
      </c>
      <c r="I24" s="6"/>
      <c r="J24" s="5"/>
      <c r="K24" s="5"/>
    </row>
    <row r="25" spans="1:11" x14ac:dyDescent="0.35">
      <c r="A25" s="53"/>
      <c r="B25" s="54"/>
      <c r="C25" s="54"/>
      <c r="D25" s="50"/>
      <c r="E25" s="50"/>
      <c r="F25" s="50"/>
      <c r="G25" s="50"/>
      <c r="H25" s="50">
        <f t="shared" si="0"/>
        <v>0</v>
      </c>
    </row>
    <row r="26" spans="1:11" x14ac:dyDescent="0.35">
      <c r="A26" s="53"/>
      <c r="B26" s="54"/>
      <c r="C26" s="54"/>
      <c r="D26" s="50"/>
      <c r="E26" s="50"/>
      <c r="F26" s="50"/>
      <c r="G26" s="50"/>
      <c r="H26" s="50">
        <f t="shared" si="0"/>
        <v>0</v>
      </c>
    </row>
    <row r="27" spans="1:11" x14ac:dyDescent="0.35">
      <c r="A27" s="53"/>
      <c r="B27" s="54"/>
      <c r="C27" s="54"/>
      <c r="D27" s="50"/>
      <c r="E27" s="50"/>
      <c r="F27" s="50"/>
      <c r="G27" s="50"/>
      <c r="H27" s="50">
        <f t="shared" si="0"/>
        <v>0</v>
      </c>
    </row>
    <row r="28" spans="1:11" x14ac:dyDescent="0.35">
      <c r="A28" s="53"/>
      <c r="B28" s="54"/>
      <c r="C28" s="54"/>
      <c r="D28" s="50"/>
      <c r="E28" s="50"/>
      <c r="F28" s="50"/>
      <c r="G28" s="50"/>
      <c r="H28" s="50">
        <f t="shared" si="0"/>
        <v>0</v>
      </c>
    </row>
    <row r="29" spans="1:11" x14ac:dyDescent="0.35">
      <c r="A29" s="53"/>
      <c r="B29" s="54"/>
      <c r="C29" s="54"/>
      <c r="D29" s="50"/>
      <c r="E29" s="50"/>
      <c r="F29" s="50"/>
      <c r="G29" s="50"/>
      <c r="H29" s="50">
        <f t="shared" si="0"/>
        <v>0</v>
      </c>
    </row>
    <row r="30" spans="1:11" x14ac:dyDescent="0.35">
      <c r="A30" s="53"/>
      <c r="B30" s="54"/>
      <c r="C30" s="54"/>
      <c r="D30" s="50"/>
      <c r="E30" s="50"/>
      <c r="F30" s="50"/>
      <c r="G30" s="50"/>
      <c r="H30" s="50">
        <f t="shared" si="0"/>
        <v>0</v>
      </c>
    </row>
    <row r="31" spans="1:11" x14ac:dyDescent="0.35">
      <c r="A31" s="53"/>
      <c r="B31" s="54"/>
      <c r="C31" s="54"/>
      <c r="D31" s="50"/>
      <c r="E31" s="50"/>
      <c r="F31" s="50"/>
      <c r="G31" s="50"/>
      <c r="H31" s="50">
        <f t="shared" si="0"/>
        <v>0</v>
      </c>
    </row>
    <row r="32" spans="1:11" x14ac:dyDescent="0.35">
      <c r="A32" s="53"/>
      <c r="B32" s="54"/>
      <c r="C32" s="54"/>
      <c r="D32" s="50"/>
      <c r="E32" s="50"/>
      <c r="F32" s="50"/>
      <c r="G32" s="50"/>
      <c r="H32" s="50">
        <f t="shared" si="0"/>
        <v>0</v>
      </c>
    </row>
    <row r="33" spans="1:8" x14ac:dyDescent="0.35">
      <c r="A33" s="53"/>
      <c r="B33" s="54"/>
      <c r="C33" s="54"/>
      <c r="D33" s="50"/>
      <c r="E33" s="50"/>
      <c r="F33" s="50"/>
      <c r="G33" s="50"/>
      <c r="H33" s="50">
        <f t="shared" si="0"/>
        <v>0</v>
      </c>
    </row>
    <row r="34" spans="1:8" x14ac:dyDescent="0.35">
      <c r="A34" s="53"/>
      <c r="B34" s="54"/>
      <c r="C34" s="54"/>
      <c r="D34" s="50"/>
      <c r="E34" s="50"/>
      <c r="F34" s="50"/>
      <c r="G34" s="50"/>
      <c r="H34" s="50">
        <f t="shared" si="0"/>
        <v>0</v>
      </c>
    </row>
    <row r="35" spans="1:8" x14ac:dyDescent="0.35">
      <c r="A35" s="53"/>
      <c r="B35" s="54"/>
      <c r="C35" s="54"/>
      <c r="D35" s="50"/>
      <c r="E35" s="50"/>
      <c r="F35" s="50"/>
      <c r="G35" s="50"/>
      <c r="H35" s="50">
        <f t="shared" si="0"/>
        <v>0</v>
      </c>
    </row>
    <row r="36" spans="1:8" x14ac:dyDescent="0.35">
      <c r="A36" s="53"/>
      <c r="B36" s="54"/>
      <c r="C36" s="54"/>
      <c r="D36" s="50"/>
      <c r="E36" s="50"/>
      <c r="F36" s="50"/>
      <c r="G36" s="50"/>
      <c r="H36" s="50">
        <f t="shared" si="0"/>
        <v>0</v>
      </c>
    </row>
    <row r="37" spans="1:8" x14ac:dyDescent="0.35">
      <c r="A37" s="53"/>
      <c r="B37" s="54"/>
      <c r="C37" s="54"/>
      <c r="D37" s="50"/>
      <c r="E37" s="50"/>
      <c r="F37" s="50"/>
      <c r="G37" s="50"/>
      <c r="H37" s="50">
        <f t="shared" si="0"/>
        <v>0</v>
      </c>
    </row>
    <row r="38" spans="1:8" x14ac:dyDescent="0.35">
      <c r="A38" s="53"/>
      <c r="B38" s="54"/>
      <c r="C38" s="54"/>
      <c r="D38" s="50"/>
      <c r="E38" s="50"/>
      <c r="F38" s="50"/>
      <c r="G38" s="50"/>
      <c r="H38" s="50">
        <f t="shared" si="0"/>
        <v>0</v>
      </c>
    </row>
    <row r="39" spans="1:8" x14ac:dyDescent="0.35">
      <c r="A39" s="53"/>
      <c r="B39" s="54"/>
      <c r="C39" s="54"/>
      <c r="D39" s="50"/>
      <c r="E39" s="50"/>
      <c r="F39" s="50"/>
      <c r="G39" s="50"/>
      <c r="H39" s="50">
        <f t="shared" si="0"/>
        <v>0</v>
      </c>
    </row>
    <row r="40" spans="1:8" x14ac:dyDescent="0.35">
      <c r="A40" s="53"/>
      <c r="B40" s="54"/>
      <c r="C40" s="54"/>
      <c r="D40" s="50"/>
      <c r="E40" s="50"/>
      <c r="F40" s="50"/>
      <c r="G40" s="50"/>
      <c r="H40" s="50">
        <f t="shared" si="0"/>
        <v>0</v>
      </c>
    </row>
    <row r="41" spans="1:8" x14ac:dyDescent="0.35">
      <c r="A41" s="53"/>
      <c r="B41" s="54"/>
      <c r="C41" s="54"/>
      <c r="D41" s="50"/>
      <c r="E41" s="50"/>
      <c r="F41" s="50"/>
      <c r="G41" s="50"/>
      <c r="H41" s="50">
        <f t="shared" si="0"/>
        <v>0</v>
      </c>
    </row>
    <row r="42" spans="1:8" x14ac:dyDescent="0.35">
      <c r="A42" s="53"/>
      <c r="B42" s="54"/>
      <c r="C42" s="54"/>
      <c r="D42" s="50"/>
      <c r="E42" s="50"/>
      <c r="F42" s="50"/>
      <c r="G42" s="50"/>
      <c r="H42" s="50">
        <f t="shared" si="0"/>
        <v>0</v>
      </c>
    </row>
    <row r="43" spans="1:8" x14ac:dyDescent="0.35">
      <c r="A43" s="53"/>
      <c r="B43" s="54"/>
      <c r="C43" s="54"/>
      <c r="D43" s="50"/>
      <c r="E43" s="50"/>
      <c r="F43" s="50"/>
      <c r="G43" s="50"/>
      <c r="H43" s="50">
        <f t="shared" si="0"/>
        <v>0</v>
      </c>
    </row>
    <row r="44" spans="1:8" x14ac:dyDescent="0.35">
      <c r="A44" s="53"/>
      <c r="B44" s="54"/>
      <c r="C44" s="54"/>
      <c r="D44" s="50"/>
      <c r="E44" s="50"/>
      <c r="F44" s="50"/>
      <c r="G44" s="50"/>
      <c r="H44" s="50">
        <f t="shared" si="0"/>
        <v>0</v>
      </c>
    </row>
    <row r="45" spans="1:8" x14ac:dyDescent="0.35">
      <c r="A45" s="53"/>
      <c r="B45" s="54"/>
      <c r="C45" s="54"/>
      <c r="D45" s="50"/>
      <c r="E45" s="50"/>
      <c r="F45" s="50"/>
      <c r="G45" s="50"/>
      <c r="H45" s="50">
        <f t="shared" si="0"/>
        <v>0</v>
      </c>
    </row>
    <row r="46" spans="1:8" x14ac:dyDescent="0.35">
      <c r="A46" s="53"/>
      <c r="B46" s="54"/>
      <c r="C46" s="54"/>
      <c r="D46" s="50"/>
      <c r="E46" s="50"/>
      <c r="F46" s="50"/>
      <c r="G46" s="50"/>
      <c r="H46" s="50">
        <f t="shared" si="0"/>
        <v>0</v>
      </c>
    </row>
    <row r="47" spans="1:8" x14ac:dyDescent="0.35">
      <c r="A47" s="53"/>
      <c r="B47" s="54"/>
      <c r="C47" s="54"/>
      <c r="D47" s="50"/>
      <c r="E47" s="50"/>
      <c r="F47" s="50"/>
      <c r="G47" s="50"/>
      <c r="H47" s="50">
        <f t="shared" si="0"/>
        <v>0</v>
      </c>
    </row>
    <row r="48" spans="1:8" x14ac:dyDescent="0.35">
      <c r="A48" s="53"/>
      <c r="B48" s="54"/>
      <c r="C48" s="54"/>
      <c r="D48" s="50"/>
      <c r="E48" s="50"/>
      <c r="F48" s="50"/>
      <c r="G48" s="50"/>
      <c r="H48" s="50">
        <f t="shared" si="0"/>
        <v>0</v>
      </c>
    </row>
    <row r="49" spans="1:8" x14ac:dyDescent="0.35">
      <c r="A49" s="53"/>
      <c r="B49" s="54"/>
      <c r="C49" s="54"/>
      <c r="D49" s="50"/>
      <c r="E49" s="50"/>
      <c r="F49" s="50"/>
      <c r="G49" s="50"/>
      <c r="H49" s="50">
        <f t="shared" si="0"/>
        <v>0</v>
      </c>
    </row>
    <row r="50" spans="1:8" x14ac:dyDescent="0.35">
      <c r="A50" s="53"/>
      <c r="B50" s="54"/>
      <c r="C50" s="54"/>
      <c r="D50" s="50"/>
      <c r="E50" s="50"/>
      <c r="F50" s="50"/>
      <c r="G50" s="50"/>
      <c r="H50" s="50">
        <f t="shared" si="0"/>
        <v>0</v>
      </c>
    </row>
    <row r="51" spans="1:8" x14ac:dyDescent="0.35">
      <c r="A51" s="53"/>
      <c r="B51" s="54"/>
      <c r="C51" s="54"/>
      <c r="D51" s="50"/>
      <c r="E51" s="50"/>
      <c r="F51" s="50"/>
      <c r="G51" s="50"/>
      <c r="H51" s="50">
        <f t="shared" si="0"/>
        <v>0</v>
      </c>
    </row>
    <row r="52" spans="1:8" x14ac:dyDescent="0.35">
      <c r="A52" s="53"/>
      <c r="B52" s="54"/>
      <c r="C52" s="54"/>
      <c r="D52" s="50"/>
      <c r="E52" s="50"/>
      <c r="F52" s="50"/>
      <c r="G52" s="50"/>
      <c r="H52" s="50">
        <f t="shared" si="0"/>
        <v>0</v>
      </c>
    </row>
    <row r="53" spans="1:8" x14ac:dyDescent="0.35">
      <c r="A53" s="53"/>
      <c r="B53" s="54"/>
      <c r="C53" s="54"/>
      <c r="D53" s="50"/>
      <c r="E53" s="50"/>
      <c r="F53" s="50"/>
      <c r="G53" s="50"/>
      <c r="H53" s="50">
        <f t="shared" si="0"/>
        <v>0</v>
      </c>
    </row>
    <row r="54" spans="1:8" x14ac:dyDescent="0.35">
      <c r="A54" s="53"/>
      <c r="B54" s="54"/>
      <c r="C54" s="54"/>
      <c r="D54" s="50"/>
      <c r="E54" s="50"/>
      <c r="F54" s="50"/>
      <c r="G54" s="50"/>
      <c r="H54" s="50">
        <f t="shared" si="0"/>
        <v>0</v>
      </c>
    </row>
    <row r="55" spans="1:8" x14ac:dyDescent="0.35">
      <c r="A55" s="53"/>
      <c r="B55" s="54"/>
      <c r="C55" s="54"/>
      <c r="D55" s="50"/>
      <c r="E55" s="50"/>
      <c r="F55" s="50"/>
      <c r="G55" s="50"/>
      <c r="H55" s="50">
        <f t="shared" si="0"/>
        <v>0</v>
      </c>
    </row>
    <row r="56" spans="1:8" x14ac:dyDescent="0.35">
      <c r="A56" s="53"/>
      <c r="B56" s="54"/>
      <c r="C56" s="54"/>
      <c r="D56" s="50"/>
      <c r="E56" s="50"/>
      <c r="F56" s="50"/>
      <c r="G56" s="50"/>
      <c r="H56" s="50">
        <f t="shared" si="0"/>
        <v>0</v>
      </c>
    </row>
    <row r="57" spans="1:8" x14ac:dyDescent="0.35">
      <c r="A57" s="53"/>
      <c r="B57" s="54"/>
      <c r="C57" s="54"/>
      <c r="D57" s="50"/>
      <c r="E57" s="50"/>
      <c r="F57" s="50"/>
      <c r="G57" s="50"/>
      <c r="H57" s="50">
        <f t="shared" si="0"/>
        <v>0</v>
      </c>
    </row>
    <row r="58" spans="1:8" x14ac:dyDescent="0.35">
      <c r="A58" s="53"/>
      <c r="B58" s="54"/>
      <c r="C58" s="54"/>
      <c r="D58" s="50"/>
      <c r="E58" s="50"/>
      <c r="F58" s="50"/>
      <c r="G58" s="50"/>
      <c r="H58" s="50">
        <f t="shared" si="0"/>
        <v>0</v>
      </c>
    </row>
    <row r="59" spans="1:8" x14ac:dyDescent="0.35">
      <c r="A59" s="53"/>
      <c r="B59" s="54"/>
      <c r="C59" s="54"/>
      <c r="D59" s="50"/>
      <c r="E59" s="50"/>
      <c r="F59" s="50"/>
      <c r="G59" s="50"/>
      <c r="H59" s="50">
        <f t="shared" si="0"/>
        <v>0</v>
      </c>
    </row>
    <row r="60" spans="1:8" x14ac:dyDescent="0.35">
      <c r="A60" s="53"/>
      <c r="B60" s="54"/>
      <c r="C60" s="54"/>
      <c r="D60" s="50"/>
      <c r="E60" s="50"/>
      <c r="F60" s="50"/>
      <c r="G60" s="50"/>
      <c r="H60" s="50">
        <f t="shared" si="0"/>
        <v>0</v>
      </c>
    </row>
    <row r="61" spans="1:8" x14ac:dyDescent="0.35">
      <c r="A61" s="53"/>
      <c r="B61" s="54"/>
      <c r="C61" s="54"/>
      <c r="D61" s="50"/>
      <c r="E61" s="50"/>
      <c r="F61" s="50"/>
      <c r="G61" s="50"/>
      <c r="H61" s="50">
        <f t="shared" si="0"/>
        <v>0</v>
      </c>
    </row>
    <row r="62" spans="1:8" x14ac:dyDescent="0.35">
      <c r="A62" s="53"/>
      <c r="B62" s="54"/>
      <c r="C62" s="54"/>
      <c r="D62" s="50"/>
      <c r="E62" s="50"/>
      <c r="F62" s="50"/>
      <c r="G62" s="50"/>
      <c r="H62" s="50">
        <f t="shared" si="0"/>
        <v>0</v>
      </c>
    </row>
    <row r="63" spans="1:8" x14ac:dyDescent="0.35">
      <c r="A63" s="53"/>
      <c r="B63" s="54"/>
      <c r="C63" s="54"/>
      <c r="D63" s="50"/>
      <c r="E63" s="50"/>
      <c r="F63" s="50"/>
      <c r="G63" s="50"/>
      <c r="H63" s="50">
        <f t="shared" si="0"/>
        <v>0</v>
      </c>
    </row>
    <row r="64" spans="1:8" x14ac:dyDescent="0.35">
      <c r="A64" s="53"/>
      <c r="B64" s="54"/>
      <c r="C64" s="54"/>
      <c r="D64" s="50"/>
      <c r="E64" s="50"/>
      <c r="F64" s="50"/>
      <c r="G64" s="50"/>
      <c r="H64" s="50">
        <f t="shared" si="0"/>
        <v>0</v>
      </c>
    </row>
    <row r="65" spans="1:8" x14ac:dyDescent="0.35">
      <c r="A65" s="53"/>
      <c r="B65" s="54"/>
      <c r="C65" s="54"/>
      <c r="D65" s="50"/>
      <c r="E65" s="50"/>
      <c r="F65" s="50"/>
      <c r="G65" s="50"/>
      <c r="H65" s="50">
        <f t="shared" si="0"/>
        <v>0</v>
      </c>
    </row>
    <row r="66" spans="1:8" x14ac:dyDescent="0.35">
      <c r="A66" s="53"/>
      <c r="B66" s="54"/>
      <c r="C66" s="54"/>
      <c r="D66" s="50"/>
      <c r="E66" s="50"/>
      <c r="F66" s="50"/>
      <c r="G66" s="50"/>
      <c r="H66" s="50">
        <f t="shared" si="0"/>
        <v>0</v>
      </c>
    </row>
    <row r="67" spans="1:8" x14ac:dyDescent="0.35">
      <c r="A67" s="53"/>
      <c r="B67" s="54"/>
      <c r="C67" s="54"/>
      <c r="D67" s="50"/>
      <c r="E67" s="50"/>
      <c r="F67" s="50"/>
      <c r="G67" s="50"/>
      <c r="H67" s="50">
        <f t="shared" ref="H67:H101" si="1">MOD(F67-E67, 1)</f>
        <v>0</v>
      </c>
    </row>
    <row r="68" spans="1:8" x14ac:dyDescent="0.35">
      <c r="A68" s="53"/>
      <c r="B68" s="54"/>
      <c r="C68" s="54"/>
      <c r="D68" s="50"/>
      <c r="E68" s="50"/>
      <c r="F68" s="50"/>
      <c r="G68" s="50"/>
      <c r="H68" s="50">
        <f t="shared" si="1"/>
        <v>0</v>
      </c>
    </row>
    <row r="69" spans="1:8" x14ac:dyDescent="0.35">
      <c r="A69" s="53"/>
      <c r="B69" s="54"/>
      <c r="C69" s="54"/>
      <c r="D69" s="50"/>
      <c r="E69" s="50"/>
      <c r="F69" s="50"/>
      <c r="G69" s="50"/>
      <c r="H69" s="50">
        <f t="shared" si="1"/>
        <v>0</v>
      </c>
    </row>
  </sheetData>
  <autoFilter ref="A2:F38" xr:uid="{00000000-0001-0000-0000-000000000000}">
    <sortState xmlns:xlrd2="http://schemas.microsoft.com/office/spreadsheetml/2017/richdata2" ref="A3:F18">
      <sortCondition ref="A2"/>
    </sortState>
  </autoFilter>
  <conditionalFormatting sqref="H3:H412">
    <cfRule type="cellIs" dxfId="0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B0D48-EE06-497B-A712-9934C3BBCD9E}">
  <sheetPr codeName="Planilha20">
    <pageSetUpPr fitToPage="1"/>
  </sheetPr>
  <dimension ref="A1:K69"/>
  <sheetViews>
    <sheetView showGridLines="0" zoomScale="55" zoomScaleNormal="55" workbookViewId="0">
      <pane ySplit="2" topLeftCell="A3" activePane="bottomLeft" state="frozen"/>
      <selection pane="bottomLeft" activeCell="A3" sqref="A3"/>
    </sheetView>
  </sheetViews>
  <sheetFormatPr defaultColWidth="9" defaultRowHeight="23.25" x14ac:dyDescent="0.35"/>
  <cols>
    <col min="1" max="1" width="27.85546875" style="29" bestFit="1" customWidth="1"/>
    <col min="2" max="2" width="23.140625" style="7" bestFit="1" customWidth="1"/>
    <col min="3" max="3" width="16.28515625" style="6" bestFit="1" customWidth="1"/>
    <col min="4" max="4" width="20.28515625" style="5" bestFit="1" customWidth="1"/>
    <col min="5" max="5" width="23" style="5" bestFit="1" customWidth="1"/>
    <col min="6" max="6" width="24.5703125" style="3" bestFit="1" customWidth="1"/>
    <col min="7" max="7" width="0.28515625" style="1" customWidth="1"/>
    <col min="8" max="8" width="24.85546875" style="28" bestFit="1" customWidth="1"/>
    <col min="9" max="9" width="23.85546875" style="1" bestFit="1" customWidth="1"/>
    <col min="10" max="13" width="13.140625" style="1" bestFit="1" customWidth="1"/>
    <col min="14" max="16384" width="9" style="1"/>
  </cols>
  <sheetData>
    <row r="1" spans="1:10" ht="96.75" customHeight="1" x14ac:dyDescent="0.35">
      <c r="A1" s="39" t="s">
        <v>4</v>
      </c>
      <c r="B1" s="40"/>
      <c r="C1" s="41"/>
      <c r="D1" s="42"/>
      <c r="E1" s="42"/>
      <c r="F1" s="43"/>
      <c r="G1" s="44"/>
      <c r="H1" s="51"/>
    </row>
    <row r="2" spans="1:10" s="2" customFormat="1" x14ac:dyDescent="0.35">
      <c r="A2" s="45" t="s">
        <v>0</v>
      </c>
      <c r="B2" s="45" t="s">
        <v>1</v>
      </c>
      <c r="C2" s="45" t="s">
        <v>2</v>
      </c>
      <c r="D2" s="46" t="s">
        <v>3</v>
      </c>
      <c r="E2" s="46" t="s">
        <v>236</v>
      </c>
      <c r="F2" s="45" t="s">
        <v>5</v>
      </c>
      <c r="G2" s="47"/>
      <c r="H2" s="48" t="s">
        <v>274</v>
      </c>
    </row>
    <row r="3" spans="1:10" x14ac:dyDescent="0.35">
      <c r="A3" s="53"/>
      <c r="B3" s="54"/>
      <c r="C3" s="54"/>
      <c r="D3" s="50"/>
      <c r="E3" s="50"/>
      <c r="F3" s="50"/>
      <c r="G3" s="50"/>
      <c r="H3" s="50">
        <f t="shared" ref="H3:H34" si="0">MOD(F3-E3, 1)</f>
        <v>0</v>
      </c>
    </row>
    <row r="4" spans="1:10" s="4" customFormat="1" x14ac:dyDescent="0.35">
      <c r="A4" s="53"/>
      <c r="B4" s="54"/>
      <c r="C4" s="54"/>
      <c r="D4" s="50"/>
      <c r="E4" s="50"/>
      <c r="F4" s="50"/>
      <c r="G4" s="50"/>
      <c r="H4" s="50">
        <f t="shared" si="0"/>
        <v>0</v>
      </c>
    </row>
    <row r="5" spans="1:10" s="4" customFormat="1" x14ac:dyDescent="0.35">
      <c r="A5" s="53"/>
      <c r="B5" s="54"/>
      <c r="C5" s="54"/>
      <c r="D5" s="50"/>
      <c r="E5" s="50"/>
      <c r="F5" s="50"/>
      <c r="G5" s="50"/>
      <c r="H5" s="50">
        <f t="shared" si="0"/>
        <v>0</v>
      </c>
    </row>
    <row r="6" spans="1:10" x14ac:dyDescent="0.35">
      <c r="A6" s="53"/>
      <c r="B6" s="54"/>
      <c r="C6" s="54"/>
      <c r="D6" s="50"/>
      <c r="E6" s="50"/>
      <c r="F6" s="50"/>
      <c r="G6" s="50"/>
      <c r="H6" s="50">
        <f t="shared" si="0"/>
        <v>0</v>
      </c>
    </row>
    <row r="7" spans="1:10" x14ac:dyDescent="0.35">
      <c r="A7" s="53"/>
      <c r="B7" s="54"/>
      <c r="C7" s="54"/>
      <c r="D7" s="50"/>
      <c r="E7" s="50"/>
      <c r="F7" s="50"/>
      <c r="G7" s="50"/>
      <c r="H7" s="50">
        <f t="shared" si="0"/>
        <v>0</v>
      </c>
    </row>
    <row r="8" spans="1:10" x14ac:dyDescent="0.35">
      <c r="A8" s="53"/>
      <c r="B8" s="54"/>
      <c r="C8" s="54"/>
      <c r="D8" s="50"/>
      <c r="E8" s="50"/>
      <c r="F8" s="50"/>
      <c r="G8" s="50"/>
      <c r="H8" s="50">
        <f t="shared" si="0"/>
        <v>0</v>
      </c>
    </row>
    <row r="9" spans="1:10" s="4" customFormat="1" x14ac:dyDescent="0.35">
      <c r="A9" s="53"/>
      <c r="B9" s="54"/>
      <c r="C9" s="54"/>
      <c r="D9" s="50"/>
      <c r="E9" s="50"/>
      <c r="F9" s="50"/>
      <c r="G9" s="50"/>
      <c r="H9" s="50">
        <f t="shared" si="0"/>
        <v>0</v>
      </c>
      <c r="I9" s="8"/>
      <c r="J9" s="8"/>
    </row>
    <row r="10" spans="1:10" s="4" customFormat="1" x14ac:dyDescent="0.35">
      <c r="A10" s="53"/>
      <c r="B10" s="54"/>
      <c r="C10" s="54"/>
      <c r="D10" s="50"/>
      <c r="E10" s="50"/>
      <c r="F10" s="50"/>
      <c r="G10" s="50"/>
      <c r="H10" s="50">
        <f t="shared" si="0"/>
        <v>0</v>
      </c>
      <c r="I10" s="8"/>
      <c r="J10" s="8"/>
    </row>
    <row r="11" spans="1:10" x14ac:dyDescent="0.35">
      <c r="A11" s="53"/>
      <c r="B11" s="54"/>
      <c r="C11" s="54"/>
      <c r="D11" s="50"/>
      <c r="E11" s="50"/>
      <c r="F11" s="50"/>
      <c r="G11" s="50"/>
      <c r="H11" s="50">
        <f t="shared" si="0"/>
        <v>0</v>
      </c>
      <c r="I11" s="8"/>
      <c r="J11" s="8"/>
    </row>
    <row r="12" spans="1:10" x14ac:dyDescent="0.35">
      <c r="A12" s="53"/>
      <c r="B12" s="54"/>
      <c r="C12" s="54"/>
      <c r="D12" s="50"/>
      <c r="E12" s="50"/>
      <c r="F12" s="50"/>
      <c r="G12" s="50"/>
      <c r="H12" s="50">
        <f t="shared" si="0"/>
        <v>0</v>
      </c>
    </row>
    <row r="13" spans="1:10" x14ac:dyDescent="0.35">
      <c r="A13" s="53"/>
      <c r="B13" s="54"/>
      <c r="C13" s="54"/>
      <c r="D13" s="50"/>
      <c r="E13" s="50"/>
      <c r="F13" s="50"/>
      <c r="G13" s="50"/>
      <c r="H13" s="50">
        <f t="shared" si="0"/>
        <v>0</v>
      </c>
    </row>
    <row r="14" spans="1:10" x14ac:dyDescent="0.35">
      <c r="A14" s="53"/>
      <c r="B14" s="54"/>
      <c r="C14" s="54"/>
      <c r="D14" s="50"/>
      <c r="E14" s="50"/>
      <c r="F14" s="50"/>
      <c r="G14" s="50"/>
      <c r="H14" s="50">
        <f t="shared" si="0"/>
        <v>0</v>
      </c>
    </row>
    <row r="15" spans="1:10" x14ac:dyDescent="0.35">
      <c r="A15" s="53"/>
      <c r="B15" s="54"/>
      <c r="C15" s="54"/>
      <c r="D15" s="50"/>
      <c r="E15" s="50"/>
      <c r="F15" s="50"/>
      <c r="G15" s="50"/>
      <c r="H15" s="50">
        <f t="shared" si="0"/>
        <v>0</v>
      </c>
    </row>
    <row r="16" spans="1:10" x14ac:dyDescent="0.35">
      <c r="A16" s="53"/>
      <c r="B16" s="54"/>
      <c r="C16" s="54"/>
      <c r="D16" s="50"/>
      <c r="E16" s="50"/>
      <c r="F16" s="50"/>
      <c r="G16" s="50"/>
      <c r="H16" s="50">
        <f t="shared" si="0"/>
        <v>0</v>
      </c>
    </row>
    <row r="17" spans="1:11" x14ac:dyDescent="0.35">
      <c r="A17" s="53"/>
      <c r="B17" s="54"/>
      <c r="C17" s="54"/>
      <c r="D17" s="50"/>
      <c r="E17" s="50"/>
      <c r="F17" s="50"/>
      <c r="G17" s="50"/>
      <c r="H17" s="50">
        <f t="shared" si="0"/>
        <v>0</v>
      </c>
    </row>
    <row r="18" spans="1:11" x14ac:dyDescent="0.35">
      <c r="A18" s="53"/>
      <c r="B18" s="54"/>
      <c r="C18" s="54"/>
      <c r="D18" s="50"/>
      <c r="E18" s="50"/>
      <c r="F18" s="50"/>
      <c r="G18" s="50"/>
      <c r="H18" s="50">
        <f t="shared" si="0"/>
        <v>0</v>
      </c>
    </row>
    <row r="19" spans="1:11" x14ac:dyDescent="0.35">
      <c r="A19" s="53"/>
      <c r="B19" s="54"/>
      <c r="C19" s="54"/>
      <c r="D19" s="50"/>
      <c r="E19" s="50"/>
      <c r="F19" s="50"/>
      <c r="G19" s="50"/>
      <c r="H19" s="50">
        <f t="shared" si="0"/>
        <v>0</v>
      </c>
    </row>
    <row r="20" spans="1:11" x14ac:dyDescent="0.35">
      <c r="A20" s="53"/>
      <c r="B20" s="54"/>
      <c r="C20" s="54"/>
      <c r="D20" s="50"/>
      <c r="E20" s="50"/>
      <c r="F20" s="50"/>
      <c r="G20" s="50"/>
      <c r="H20" s="50">
        <f t="shared" si="0"/>
        <v>0</v>
      </c>
    </row>
    <row r="21" spans="1:11" x14ac:dyDescent="0.35">
      <c r="A21" s="53"/>
      <c r="B21" s="54"/>
      <c r="C21" s="54"/>
      <c r="D21" s="50"/>
      <c r="E21" s="50"/>
      <c r="F21" s="50"/>
      <c r="G21" s="50"/>
      <c r="H21" s="50">
        <f t="shared" si="0"/>
        <v>0</v>
      </c>
      <c r="I21" s="6"/>
      <c r="J21" s="5"/>
      <c r="K21" s="5"/>
    </row>
    <row r="22" spans="1:11" x14ac:dyDescent="0.35">
      <c r="A22" s="53"/>
      <c r="B22" s="54"/>
      <c r="C22" s="54"/>
      <c r="D22" s="50"/>
      <c r="E22" s="50"/>
      <c r="F22" s="50"/>
      <c r="G22" s="50"/>
      <c r="H22" s="50">
        <f t="shared" si="0"/>
        <v>0</v>
      </c>
      <c r="I22" s="6"/>
      <c r="J22" s="5"/>
      <c r="K22" s="5"/>
    </row>
    <row r="23" spans="1:11" x14ac:dyDescent="0.35">
      <c r="A23" s="53"/>
      <c r="B23" s="54"/>
      <c r="C23" s="54"/>
      <c r="D23" s="50"/>
      <c r="E23" s="50"/>
      <c r="F23" s="50"/>
      <c r="G23" s="50"/>
      <c r="H23" s="50">
        <f t="shared" si="0"/>
        <v>0</v>
      </c>
      <c r="I23" s="6"/>
      <c r="J23" s="5"/>
      <c r="K23" s="5"/>
    </row>
    <row r="24" spans="1:11" x14ac:dyDescent="0.35">
      <c r="A24" s="53"/>
      <c r="B24" s="54"/>
      <c r="C24" s="54"/>
      <c r="D24" s="50"/>
      <c r="E24" s="50"/>
      <c r="F24" s="50"/>
      <c r="G24" s="50"/>
      <c r="H24" s="50">
        <f t="shared" si="0"/>
        <v>0</v>
      </c>
      <c r="I24" s="6"/>
      <c r="J24" s="5"/>
      <c r="K24" s="5"/>
    </row>
    <row r="25" spans="1:11" x14ac:dyDescent="0.35">
      <c r="A25" s="53"/>
      <c r="B25" s="54"/>
      <c r="C25" s="54"/>
      <c r="D25" s="50"/>
      <c r="E25" s="50"/>
      <c r="F25" s="50"/>
      <c r="G25" s="50"/>
      <c r="H25" s="50">
        <f t="shared" si="0"/>
        <v>0</v>
      </c>
    </row>
    <row r="26" spans="1:11" x14ac:dyDescent="0.35">
      <c r="A26" s="53"/>
      <c r="B26" s="54"/>
      <c r="C26" s="54"/>
      <c r="D26" s="50"/>
      <c r="E26" s="50"/>
      <c r="F26" s="50"/>
      <c r="G26" s="50"/>
      <c r="H26" s="50">
        <f t="shared" si="0"/>
        <v>0</v>
      </c>
    </row>
    <row r="27" spans="1:11" x14ac:dyDescent="0.35">
      <c r="A27" s="53"/>
      <c r="B27" s="54"/>
      <c r="C27" s="54"/>
      <c r="D27" s="50"/>
      <c r="E27" s="50"/>
      <c r="F27" s="50"/>
      <c r="G27" s="50"/>
      <c r="H27" s="50">
        <f t="shared" si="0"/>
        <v>0</v>
      </c>
    </row>
    <row r="28" spans="1:11" x14ac:dyDescent="0.35">
      <c r="A28" s="53"/>
      <c r="B28" s="54"/>
      <c r="C28" s="54"/>
      <c r="D28" s="50"/>
      <c r="E28" s="50"/>
      <c r="F28" s="50"/>
      <c r="G28" s="50"/>
      <c r="H28" s="50">
        <f t="shared" si="0"/>
        <v>0</v>
      </c>
    </row>
    <row r="29" spans="1:11" x14ac:dyDescent="0.35">
      <c r="A29" s="53"/>
      <c r="B29" s="54"/>
      <c r="C29" s="54"/>
      <c r="D29" s="50"/>
      <c r="E29" s="50"/>
      <c r="F29" s="50"/>
      <c r="G29" s="50"/>
      <c r="H29" s="50">
        <f t="shared" si="0"/>
        <v>0</v>
      </c>
    </row>
    <row r="30" spans="1:11" x14ac:dyDescent="0.35">
      <c r="A30" s="53"/>
      <c r="B30" s="54"/>
      <c r="C30" s="54"/>
      <c r="D30" s="50"/>
      <c r="E30" s="50"/>
      <c r="F30" s="50"/>
      <c r="G30" s="50"/>
      <c r="H30" s="50">
        <f t="shared" si="0"/>
        <v>0</v>
      </c>
    </row>
    <row r="31" spans="1:11" x14ac:dyDescent="0.35">
      <c r="A31" s="53"/>
      <c r="B31" s="54"/>
      <c r="C31" s="54"/>
      <c r="D31" s="50"/>
      <c r="E31" s="50"/>
      <c r="F31" s="50"/>
      <c r="G31" s="50"/>
      <c r="H31" s="50">
        <f t="shared" si="0"/>
        <v>0</v>
      </c>
    </row>
    <row r="32" spans="1:11" x14ac:dyDescent="0.35">
      <c r="A32" s="53"/>
      <c r="B32" s="54"/>
      <c r="C32" s="54"/>
      <c r="D32" s="50"/>
      <c r="E32" s="50"/>
      <c r="F32" s="50"/>
      <c r="G32" s="50"/>
      <c r="H32" s="50">
        <f t="shared" si="0"/>
        <v>0</v>
      </c>
    </row>
    <row r="33" spans="1:8" x14ac:dyDescent="0.35">
      <c r="A33" s="53"/>
      <c r="B33" s="54"/>
      <c r="C33" s="54"/>
      <c r="D33" s="50"/>
      <c r="E33" s="50"/>
      <c r="F33" s="50"/>
      <c r="G33" s="50"/>
      <c r="H33" s="50">
        <f t="shared" si="0"/>
        <v>0</v>
      </c>
    </row>
    <row r="34" spans="1:8" x14ac:dyDescent="0.35">
      <c r="A34" s="53"/>
      <c r="B34" s="54"/>
      <c r="C34" s="54"/>
      <c r="D34" s="50"/>
      <c r="E34" s="50"/>
      <c r="F34" s="50"/>
      <c r="G34" s="50"/>
      <c r="H34" s="50">
        <f t="shared" si="0"/>
        <v>0</v>
      </c>
    </row>
    <row r="35" spans="1:8" x14ac:dyDescent="0.35">
      <c r="A35" s="53"/>
      <c r="B35" s="54"/>
      <c r="C35" s="54"/>
      <c r="D35" s="50"/>
      <c r="E35" s="50"/>
      <c r="F35" s="50"/>
      <c r="G35" s="50"/>
      <c r="H35" s="50">
        <f t="shared" ref="H35:H69" si="1">MOD(F35-E35, 1)</f>
        <v>0</v>
      </c>
    </row>
    <row r="36" spans="1:8" x14ac:dyDescent="0.35">
      <c r="A36" s="53"/>
      <c r="B36" s="54"/>
      <c r="C36" s="54"/>
      <c r="D36" s="50"/>
      <c r="E36" s="50"/>
      <c r="F36" s="50"/>
      <c r="G36" s="50"/>
      <c r="H36" s="50">
        <f t="shared" si="1"/>
        <v>0</v>
      </c>
    </row>
    <row r="37" spans="1:8" x14ac:dyDescent="0.35">
      <c r="A37" s="53"/>
      <c r="B37" s="54"/>
      <c r="C37" s="54"/>
      <c r="D37" s="50"/>
      <c r="E37" s="50"/>
      <c r="F37" s="50"/>
      <c r="G37" s="50"/>
      <c r="H37" s="50">
        <f t="shared" si="1"/>
        <v>0</v>
      </c>
    </row>
    <row r="38" spans="1:8" x14ac:dyDescent="0.35">
      <c r="A38" s="53"/>
      <c r="B38" s="54"/>
      <c r="C38" s="54"/>
      <c r="D38" s="50"/>
      <c r="E38" s="50"/>
      <c r="F38" s="50"/>
      <c r="G38" s="50"/>
      <c r="H38" s="50">
        <f t="shared" si="1"/>
        <v>0</v>
      </c>
    </row>
    <row r="39" spans="1:8" x14ac:dyDescent="0.35">
      <c r="A39" s="53"/>
      <c r="B39" s="54"/>
      <c r="C39" s="54"/>
      <c r="D39" s="50"/>
      <c r="E39" s="50"/>
      <c r="F39" s="50"/>
      <c r="G39" s="50"/>
      <c r="H39" s="50">
        <f t="shared" si="1"/>
        <v>0</v>
      </c>
    </row>
    <row r="40" spans="1:8" x14ac:dyDescent="0.35">
      <c r="A40" s="53"/>
      <c r="B40" s="54"/>
      <c r="C40" s="54"/>
      <c r="D40" s="50"/>
      <c r="E40" s="50"/>
      <c r="F40" s="50"/>
      <c r="G40" s="50"/>
      <c r="H40" s="50">
        <f t="shared" si="1"/>
        <v>0</v>
      </c>
    </row>
    <row r="41" spans="1:8" x14ac:dyDescent="0.35">
      <c r="A41" s="53"/>
      <c r="B41" s="54"/>
      <c r="C41" s="54"/>
      <c r="D41" s="50"/>
      <c r="E41" s="50"/>
      <c r="F41" s="50"/>
      <c r="G41" s="50"/>
      <c r="H41" s="50">
        <f t="shared" si="1"/>
        <v>0</v>
      </c>
    </row>
    <row r="42" spans="1:8" x14ac:dyDescent="0.35">
      <c r="A42" s="53"/>
      <c r="B42" s="54"/>
      <c r="C42" s="54"/>
      <c r="D42" s="50"/>
      <c r="E42" s="50"/>
      <c r="F42" s="50"/>
      <c r="G42" s="50"/>
      <c r="H42" s="50">
        <f t="shared" si="1"/>
        <v>0</v>
      </c>
    </row>
    <row r="43" spans="1:8" x14ac:dyDescent="0.35">
      <c r="A43" s="53"/>
      <c r="B43" s="54"/>
      <c r="C43" s="54"/>
      <c r="D43" s="50"/>
      <c r="E43" s="50"/>
      <c r="F43" s="50"/>
      <c r="G43" s="50"/>
      <c r="H43" s="50">
        <f t="shared" si="1"/>
        <v>0</v>
      </c>
    </row>
    <row r="44" spans="1:8" x14ac:dyDescent="0.35">
      <c r="A44" s="53"/>
      <c r="B44" s="54"/>
      <c r="C44" s="54"/>
      <c r="D44" s="50"/>
      <c r="E44" s="50"/>
      <c r="F44" s="50"/>
      <c r="G44" s="50"/>
      <c r="H44" s="50">
        <f t="shared" si="1"/>
        <v>0</v>
      </c>
    </row>
    <row r="45" spans="1:8" x14ac:dyDescent="0.35">
      <c r="A45" s="53"/>
      <c r="B45" s="54"/>
      <c r="C45" s="54"/>
      <c r="D45" s="50"/>
      <c r="E45" s="50"/>
      <c r="F45" s="50"/>
      <c r="G45" s="50"/>
      <c r="H45" s="50">
        <f t="shared" si="1"/>
        <v>0</v>
      </c>
    </row>
    <row r="46" spans="1:8" x14ac:dyDescent="0.35">
      <c r="A46" s="53"/>
      <c r="B46" s="54"/>
      <c r="C46" s="54"/>
      <c r="D46" s="50"/>
      <c r="E46" s="50"/>
      <c r="F46" s="50"/>
      <c r="G46" s="50"/>
      <c r="H46" s="50">
        <f t="shared" si="1"/>
        <v>0</v>
      </c>
    </row>
    <row r="47" spans="1:8" x14ac:dyDescent="0.35">
      <c r="A47" s="53"/>
      <c r="B47" s="54"/>
      <c r="C47" s="54"/>
      <c r="D47" s="50"/>
      <c r="E47" s="50"/>
      <c r="F47" s="50"/>
      <c r="G47" s="50"/>
      <c r="H47" s="50">
        <f t="shared" si="1"/>
        <v>0</v>
      </c>
    </row>
    <row r="48" spans="1:8" x14ac:dyDescent="0.35">
      <c r="A48" s="53"/>
      <c r="B48" s="54"/>
      <c r="C48" s="54"/>
      <c r="D48" s="50"/>
      <c r="E48" s="50"/>
      <c r="F48" s="50"/>
      <c r="G48" s="50"/>
      <c r="H48" s="50">
        <f t="shared" si="1"/>
        <v>0</v>
      </c>
    </row>
    <row r="49" spans="1:8" x14ac:dyDescent="0.35">
      <c r="A49" s="53"/>
      <c r="B49" s="54"/>
      <c r="C49" s="54"/>
      <c r="D49" s="50"/>
      <c r="E49" s="50"/>
      <c r="F49" s="50"/>
      <c r="G49" s="50"/>
      <c r="H49" s="50">
        <f t="shared" si="1"/>
        <v>0</v>
      </c>
    </row>
    <row r="50" spans="1:8" x14ac:dyDescent="0.35">
      <c r="A50" s="53"/>
      <c r="B50" s="54"/>
      <c r="C50" s="54"/>
      <c r="D50" s="50"/>
      <c r="E50" s="50"/>
      <c r="F50" s="50"/>
      <c r="G50" s="50"/>
      <c r="H50" s="50">
        <f t="shared" si="1"/>
        <v>0</v>
      </c>
    </row>
    <row r="51" spans="1:8" x14ac:dyDescent="0.35">
      <c r="A51" s="53"/>
      <c r="B51" s="54"/>
      <c r="C51" s="54"/>
      <c r="D51" s="50"/>
      <c r="E51" s="50"/>
      <c r="F51" s="50"/>
      <c r="G51" s="50"/>
      <c r="H51" s="50">
        <f t="shared" si="1"/>
        <v>0</v>
      </c>
    </row>
    <row r="52" spans="1:8" x14ac:dyDescent="0.35">
      <c r="A52" s="53"/>
      <c r="B52" s="54"/>
      <c r="C52" s="54"/>
      <c r="D52" s="50"/>
      <c r="E52" s="50"/>
      <c r="F52" s="50"/>
      <c r="G52" s="50"/>
      <c r="H52" s="50">
        <f t="shared" si="1"/>
        <v>0</v>
      </c>
    </row>
    <row r="53" spans="1:8" x14ac:dyDescent="0.35">
      <c r="A53" s="53"/>
      <c r="B53" s="54"/>
      <c r="C53" s="54"/>
      <c r="D53" s="50"/>
      <c r="E53" s="50"/>
      <c r="F53" s="50"/>
      <c r="G53" s="50"/>
      <c r="H53" s="50">
        <f t="shared" si="1"/>
        <v>0</v>
      </c>
    </row>
    <row r="54" spans="1:8" x14ac:dyDescent="0.35">
      <c r="A54" s="53"/>
      <c r="B54" s="54"/>
      <c r="C54" s="54"/>
      <c r="D54" s="50"/>
      <c r="E54" s="50"/>
      <c r="F54" s="50"/>
      <c r="G54" s="50"/>
      <c r="H54" s="50">
        <f t="shared" si="1"/>
        <v>0</v>
      </c>
    </row>
    <row r="55" spans="1:8" x14ac:dyDescent="0.35">
      <c r="A55" s="53"/>
      <c r="B55" s="54"/>
      <c r="C55" s="54"/>
      <c r="D55" s="50"/>
      <c r="E55" s="50"/>
      <c r="F55" s="50"/>
      <c r="G55" s="50"/>
      <c r="H55" s="50">
        <f t="shared" si="1"/>
        <v>0</v>
      </c>
    </row>
    <row r="56" spans="1:8" x14ac:dyDescent="0.35">
      <c r="A56" s="53"/>
      <c r="B56" s="54"/>
      <c r="C56" s="54"/>
      <c r="D56" s="50"/>
      <c r="E56" s="50"/>
      <c r="F56" s="50"/>
      <c r="G56" s="50"/>
      <c r="H56" s="50">
        <f t="shared" si="1"/>
        <v>0</v>
      </c>
    </row>
    <row r="57" spans="1:8" x14ac:dyDescent="0.35">
      <c r="A57" s="53"/>
      <c r="B57" s="54"/>
      <c r="C57" s="54"/>
      <c r="D57" s="50"/>
      <c r="E57" s="50"/>
      <c r="F57" s="50"/>
      <c r="G57" s="50"/>
      <c r="H57" s="50">
        <f t="shared" si="1"/>
        <v>0</v>
      </c>
    </row>
    <row r="58" spans="1:8" x14ac:dyDescent="0.35">
      <c r="A58" s="53"/>
      <c r="B58" s="54"/>
      <c r="C58" s="54"/>
      <c r="D58" s="50"/>
      <c r="E58" s="50"/>
      <c r="F58" s="50"/>
      <c r="G58" s="50"/>
      <c r="H58" s="50">
        <f t="shared" si="1"/>
        <v>0</v>
      </c>
    </row>
    <row r="59" spans="1:8" x14ac:dyDescent="0.35">
      <c r="A59" s="53"/>
      <c r="B59" s="54"/>
      <c r="C59" s="54"/>
      <c r="D59" s="50"/>
      <c r="E59" s="50"/>
      <c r="F59" s="50"/>
      <c r="G59" s="50"/>
      <c r="H59" s="50">
        <f t="shared" si="1"/>
        <v>0</v>
      </c>
    </row>
    <row r="60" spans="1:8" x14ac:dyDescent="0.35">
      <c r="A60" s="53"/>
      <c r="B60" s="54"/>
      <c r="C60" s="54"/>
      <c r="D60" s="50"/>
      <c r="E60" s="50"/>
      <c r="F60" s="50"/>
      <c r="G60" s="50"/>
      <c r="H60" s="50">
        <f t="shared" si="1"/>
        <v>0</v>
      </c>
    </row>
    <row r="61" spans="1:8" x14ac:dyDescent="0.35">
      <c r="A61" s="53"/>
      <c r="B61" s="54"/>
      <c r="C61" s="54"/>
      <c r="D61" s="50"/>
      <c r="E61" s="50"/>
      <c r="F61" s="50"/>
      <c r="G61" s="50"/>
      <c r="H61" s="50">
        <f t="shared" si="1"/>
        <v>0</v>
      </c>
    </row>
    <row r="62" spans="1:8" x14ac:dyDescent="0.35">
      <c r="A62" s="53"/>
      <c r="B62" s="54"/>
      <c r="C62" s="54"/>
      <c r="D62" s="50"/>
      <c r="E62" s="50"/>
      <c r="F62" s="50"/>
      <c r="G62" s="50"/>
      <c r="H62" s="50">
        <f t="shared" si="1"/>
        <v>0</v>
      </c>
    </row>
    <row r="63" spans="1:8" x14ac:dyDescent="0.35">
      <c r="A63" s="53"/>
      <c r="B63" s="54"/>
      <c r="C63" s="54"/>
      <c r="D63" s="50"/>
      <c r="E63" s="50"/>
      <c r="F63" s="50"/>
      <c r="G63" s="50"/>
      <c r="H63" s="50">
        <f t="shared" si="1"/>
        <v>0</v>
      </c>
    </row>
    <row r="64" spans="1:8" x14ac:dyDescent="0.35">
      <c r="A64" s="53"/>
      <c r="B64" s="54"/>
      <c r="C64" s="54"/>
      <c r="D64" s="50"/>
      <c r="E64" s="50"/>
      <c r="F64" s="50"/>
      <c r="G64" s="50"/>
      <c r="H64" s="50">
        <f t="shared" si="1"/>
        <v>0</v>
      </c>
    </row>
    <row r="65" spans="1:8" x14ac:dyDescent="0.35">
      <c r="A65" s="53"/>
      <c r="B65" s="54"/>
      <c r="C65" s="54"/>
      <c r="D65" s="50"/>
      <c r="E65" s="50"/>
      <c r="F65" s="50"/>
      <c r="G65" s="50"/>
      <c r="H65" s="50">
        <f t="shared" si="1"/>
        <v>0</v>
      </c>
    </row>
    <row r="66" spans="1:8" x14ac:dyDescent="0.35">
      <c r="A66" s="53"/>
      <c r="B66" s="54"/>
      <c r="C66" s="54"/>
      <c r="D66" s="50"/>
      <c r="E66" s="50"/>
      <c r="F66" s="50"/>
      <c r="G66" s="50"/>
      <c r="H66" s="50">
        <f t="shared" si="1"/>
        <v>0</v>
      </c>
    </row>
    <row r="67" spans="1:8" x14ac:dyDescent="0.35">
      <c r="A67" s="53"/>
      <c r="B67" s="54"/>
      <c r="C67" s="54"/>
      <c r="D67" s="50"/>
      <c r="E67" s="50"/>
      <c r="F67" s="50"/>
      <c r="G67" s="50"/>
      <c r="H67" s="50">
        <f t="shared" si="1"/>
        <v>0</v>
      </c>
    </row>
    <row r="68" spans="1:8" x14ac:dyDescent="0.35">
      <c r="A68" s="53"/>
      <c r="B68" s="54"/>
      <c r="C68" s="54"/>
      <c r="D68" s="50"/>
      <c r="E68" s="50"/>
      <c r="F68" s="50"/>
      <c r="G68" s="50"/>
      <c r="H68" s="50">
        <f t="shared" si="1"/>
        <v>0</v>
      </c>
    </row>
    <row r="69" spans="1:8" x14ac:dyDescent="0.35">
      <c r="A69" s="53"/>
      <c r="B69" s="54"/>
      <c r="C69" s="54"/>
      <c r="D69" s="50"/>
      <c r="E69" s="50"/>
      <c r="F69" s="50"/>
      <c r="G69" s="50"/>
      <c r="H69" s="50">
        <f t="shared" si="1"/>
        <v>0</v>
      </c>
    </row>
  </sheetData>
  <autoFilter ref="A2:F38" xr:uid="{00000000-0001-0000-0000-000000000000}">
    <sortState xmlns:xlrd2="http://schemas.microsoft.com/office/spreadsheetml/2017/richdata2" ref="A3:F18">
      <sortCondition ref="A2"/>
    </sortState>
  </autoFilter>
  <conditionalFormatting sqref="H3:H412">
    <cfRule type="cellIs" dxfId="1" priority="1" operator="greaterThan">
      <formula>0.000694444444444444</formula>
    </cfRule>
  </conditionalFormatting>
  <printOptions horizontalCentered="1" verticalCentered="1"/>
  <pageMargins left="0.7" right="0.7" top="0.75" bottom="0.75" header="0.3" footer="0.3"/>
  <pageSetup paperSize="9" scale="20" fitToHeight="0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C0A1F-A32C-41A6-9677-2A6848EBD339}">
  <dimension ref="B1:F79"/>
  <sheetViews>
    <sheetView showGridLines="0" topLeftCell="B1" zoomScale="85" zoomScaleNormal="85" workbookViewId="0">
      <selection activeCell="B2" sqref="B2"/>
    </sheetView>
  </sheetViews>
  <sheetFormatPr defaultRowHeight="15.75" x14ac:dyDescent="0.25"/>
  <cols>
    <col min="1" max="1" width="44.85546875" style="30" customWidth="1"/>
    <col min="2" max="2" width="36.28515625" customWidth="1"/>
    <col min="3" max="3" width="28.5703125" style="36" customWidth="1"/>
    <col min="4" max="4" width="48.42578125" style="31" customWidth="1"/>
    <col min="5" max="5" width="13.85546875" style="52" bestFit="1" customWidth="1"/>
    <col min="6" max="6" width="37.7109375" style="30" bestFit="1" customWidth="1"/>
    <col min="7" max="16384" width="9.140625" style="30"/>
  </cols>
  <sheetData>
    <row r="1" spans="2:6" ht="15" customHeight="1" x14ac:dyDescent="0.25">
      <c r="E1" s="35" t="s">
        <v>116</v>
      </c>
    </row>
    <row r="2" spans="2:6" ht="15" customHeight="1" x14ac:dyDescent="0.25">
      <c r="B2" s="27" t="str">
        <f>IF(BASE!G1="","",BASE!G1)</f>
        <v/>
      </c>
      <c r="C2" s="32" t="s">
        <v>114</v>
      </c>
      <c r="D2" s="32" t="s">
        <v>135</v>
      </c>
      <c r="E2" s="35">
        <v>33</v>
      </c>
      <c r="F2" s="34" t="str">
        <f>VLOOKUP(E2,C:D,2,0)</f>
        <v>Zona Sul Loja 33 - Humaitá</v>
      </c>
    </row>
    <row r="3" spans="2:6" ht="15" customHeight="1" x14ac:dyDescent="0.25">
      <c r="C3" s="32" t="s">
        <v>115</v>
      </c>
      <c r="D3" s="32" t="s">
        <v>136</v>
      </c>
      <c r="E3" s="35">
        <v>36</v>
      </c>
      <c r="F3" s="34" t="str">
        <f t="shared" ref="F3:F66" si="0">VLOOKUP(E3,C:D,2,0)</f>
        <v>Zona Sul Loja 36 - Botafogo</v>
      </c>
    </row>
    <row r="4" spans="2:6" ht="15" customHeight="1" x14ac:dyDescent="0.25">
      <c r="C4" s="37">
        <v>1</v>
      </c>
      <c r="D4" s="32" t="s">
        <v>174</v>
      </c>
      <c r="E4" s="35">
        <v>30</v>
      </c>
      <c r="F4" s="34" t="str">
        <f t="shared" si="0"/>
        <v>Zona Sul Loja 30 - Laranjeiras</v>
      </c>
    </row>
    <row r="5" spans="2:6" ht="15" customHeight="1" x14ac:dyDescent="0.25">
      <c r="C5" s="37">
        <v>2</v>
      </c>
      <c r="D5" s="32" t="s">
        <v>175</v>
      </c>
      <c r="E5" s="35">
        <v>21</v>
      </c>
      <c r="F5" s="34" t="str">
        <f t="shared" si="0"/>
        <v>Zona Sul Loja 21 - Flamengo</v>
      </c>
    </row>
    <row r="6" spans="2:6" ht="15" customHeight="1" x14ac:dyDescent="0.25">
      <c r="C6" s="37">
        <v>3</v>
      </c>
      <c r="D6" s="32" t="s">
        <v>176</v>
      </c>
      <c r="E6" s="35">
        <v>4</v>
      </c>
      <c r="F6" s="34" t="str">
        <f t="shared" si="0"/>
        <v>Zona Sul Loja 04 - Copacabana II</v>
      </c>
    </row>
    <row r="7" spans="2:6" ht="15" customHeight="1" x14ac:dyDescent="0.25">
      <c r="C7" s="37">
        <v>4</v>
      </c>
      <c r="D7" s="32" t="s">
        <v>177</v>
      </c>
      <c r="E7" s="35">
        <v>18</v>
      </c>
      <c r="F7" s="34" t="str">
        <f t="shared" si="0"/>
        <v>Zona Sul Loja 18 - Copacabana</v>
      </c>
    </row>
    <row r="8" spans="2:6" ht="15" customHeight="1" x14ac:dyDescent="0.25">
      <c r="C8" s="37">
        <v>5</v>
      </c>
      <c r="D8" s="32" t="s">
        <v>178</v>
      </c>
      <c r="E8" s="35">
        <v>27</v>
      </c>
      <c r="F8" s="34" t="str">
        <f t="shared" si="0"/>
        <v>Zona Sul Loja 27 - Ipanema</v>
      </c>
    </row>
    <row r="9" spans="2:6" ht="15" customHeight="1" x14ac:dyDescent="0.25">
      <c r="C9" s="37">
        <v>6</v>
      </c>
      <c r="D9" s="32" t="s">
        <v>179</v>
      </c>
      <c r="E9" s="35">
        <v>15</v>
      </c>
      <c r="F9" s="30" t="str">
        <f t="shared" si="0"/>
        <v>Zona Sul Loja 15 - Leblon</v>
      </c>
    </row>
    <row r="10" spans="2:6" ht="15" customHeight="1" x14ac:dyDescent="0.25">
      <c r="C10" s="37">
        <v>7</v>
      </c>
      <c r="D10" s="32" t="s">
        <v>180</v>
      </c>
      <c r="E10" s="35">
        <v>7</v>
      </c>
      <c r="F10" s="34" t="str">
        <f t="shared" si="0"/>
        <v>Zona Sul Loja 07 - Leblon</v>
      </c>
    </row>
    <row r="11" spans="2:6" ht="15" customHeight="1" x14ac:dyDescent="0.25">
      <c r="C11" s="37">
        <v>8</v>
      </c>
      <c r="D11" s="32" t="s">
        <v>181</v>
      </c>
      <c r="E11" s="35">
        <v>48</v>
      </c>
      <c r="F11" s="34" t="str">
        <f t="shared" si="0"/>
        <v>Zona Sul Loja 48 - Recreio</v>
      </c>
    </row>
    <row r="12" spans="2:6" ht="15" customHeight="1" x14ac:dyDescent="0.25">
      <c r="C12" s="37">
        <v>9</v>
      </c>
      <c r="D12" s="32" t="s">
        <v>182</v>
      </c>
      <c r="E12" s="35">
        <v>13</v>
      </c>
      <c r="F12" s="34" t="str">
        <f t="shared" si="0"/>
        <v>Zona Sul Loja 13 - Angra</v>
      </c>
    </row>
    <row r="13" spans="2:6" ht="15" customHeight="1" x14ac:dyDescent="0.25">
      <c r="C13" s="37">
        <v>10</v>
      </c>
      <c r="D13" s="32" t="s">
        <v>183</v>
      </c>
      <c r="E13" s="35"/>
      <c r="F13" s="34" t="e">
        <f t="shared" si="0"/>
        <v>#N/A</v>
      </c>
    </row>
    <row r="14" spans="2:6" ht="15" customHeight="1" x14ac:dyDescent="0.25">
      <c r="C14" s="37">
        <v>11</v>
      </c>
      <c r="D14" s="32" t="s">
        <v>184</v>
      </c>
      <c r="E14" s="35"/>
      <c r="F14" s="34" t="e">
        <f t="shared" si="0"/>
        <v>#N/A</v>
      </c>
    </row>
    <row r="15" spans="2:6" ht="15" customHeight="1" x14ac:dyDescent="0.25">
      <c r="C15" s="37">
        <v>1129</v>
      </c>
      <c r="D15" s="32" t="s">
        <v>185</v>
      </c>
      <c r="E15" s="35"/>
      <c r="F15" s="34" t="e">
        <f t="shared" si="0"/>
        <v>#N/A</v>
      </c>
    </row>
    <row r="16" spans="2:6" ht="15" customHeight="1" x14ac:dyDescent="0.25">
      <c r="C16" s="37">
        <v>12</v>
      </c>
      <c r="D16" s="32" t="s">
        <v>186</v>
      </c>
      <c r="E16" s="35"/>
      <c r="F16" s="34" t="e">
        <f t="shared" si="0"/>
        <v>#N/A</v>
      </c>
    </row>
    <row r="17" spans="3:6" ht="15" customHeight="1" x14ac:dyDescent="0.25">
      <c r="C17" s="37">
        <v>13</v>
      </c>
      <c r="D17" s="32" t="s">
        <v>187</v>
      </c>
      <c r="E17" s="35"/>
      <c r="F17" s="34" t="e">
        <f t="shared" si="0"/>
        <v>#N/A</v>
      </c>
    </row>
    <row r="18" spans="3:6" ht="15" customHeight="1" x14ac:dyDescent="0.25">
      <c r="C18" s="37">
        <v>14</v>
      </c>
      <c r="D18" s="32" t="s">
        <v>188</v>
      </c>
      <c r="E18" s="35"/>
      <c r="F18" s="34" t="e">
        <f t="shared" si="0"/>
        <v>#N/A</v>
      </c>
    </row>
    <row r="19" spans="3:6" ht="15" customHeight="1" x14ac:dyDescent="0.25">
      <c r="C19" s="37">
        <v>15</v>
      </c>
      <c r="D19" s="32" t="s">
        <v>189</v>
      </c>
      <c r="E19" s="35"/>
      <c r="F19" s="34" t="e">
        <f t="shared" si="0"/>
        <v>#N/A</v>
      </c>
    </row>
    <row r="20" spans="3:6" ht="15" customHeight="1" x14ac:dyDescent="0.25">
      <c r="C20" s="37">
        <v>16</v>
      </c>
      <c r="D20" s="32" t="s">
        <v>190</v>
      </c>
      <c r="E20" s="35"/>
      <c r="F20" s="34" t="e">
        <f t="shared" si="0"/>
        <v>#N/A</v>
      </c>
    </row>
    <row r="21" spans="3:6" ht="15" customHeight="1" x14ac:dyDescent="0.25">
      <c r="C21" s="37">
        <v>17</v>
      </c>
      <c r="D21" s="32" t="s">
        <v>191</v>
      </c>
      <c r="E21" s="35"/>
      <c r="F21" s="34" t="e">
        <f t="shared" si="0"/>
        <v>#N/A</v>
      </c>
    </row>
    <row r="22" spans="3:6" ht="15" customHeight="1" x14ac:dyDescent="0.25">
      <c r="C22" s="37">
        <v>18</v>
      </c>
      <c r="D22" s="32" t="s">
        <v>192</v>
      </c>
      <c r="E22" s="35"/>
      <c r="F22" s="34" t="e">
        <f t="shared" si="0"/>
        <v>#N/A</v>
      </c>
    </row>
    <row r="23" spans="3:6" ht="15" customHeight="1" x14ac:dyDescent="0.25">
      <c r="C23" s="37">
        <v>19</v>
      </c>
      <c r="D23" s="32" t="s">
        <v>193</v>
      </c>
      <c r="E23" s="35"/>
      <c r="F23" s="34" t="e">
        <f t="shared" si="0"/>
        <v>#N/A</v>
      </c>
    </row>
    <row r="24" spans="3:6" ht="15" customHeight="1" x14ac:dyDescent="0.25">
      <c r="C24" s="37">
        <v>20</v>
      </c>
      <c r="D24" s="32" t="s">
        <v>194</v>
      </c>
      <c r="E24" s="35"/>
      <c r="F24" s="34" t="e">
        <f t="shared" si="0"/>
        <v>#N/A</v>
      </c>
    </row>
    <row r="25" spans="3:6" ht="15" customHeight="1" x14ac:dyDescent="0.25">
      <c r="C25" s="37">
        <v>21</v>
      </c>
      <c r="D25" s="32" t="s">
        <v>195</v>
      </c>
      <c r="E25" s="35"/>
      <c r="F25" s="34" t="e">
        <f t="shared" si="0"/>
        <v>#N/A</v>
      </c>
    </row>
    <row r="26" spans="3:6" ht="15" customHeight="1" x14ac:dyDescent="0.25">
      <c r="C26" s="37">
        <v>22</v>
      </c>
      <c r="D26" s="32" t="s">
        <v>196</v>
      </c>
      <c r="E26" s="35"/>
      <c r="F26" s="34" t="e">
        <f t="shared" si="0"/>
        <v>#N/A</v>
      </c>
    </row>
    <row r="27" spans="3:6" ht="15" customHeight="1" x14ac:dyDescent="0.25">
      <c r="C27" s="37">
        <v>23</v>
      </c>
      <c r="D27" s="32" t="s">
        <v>197</v>
      </c>
      <c r="E27" s="35"/>
      <c r="F27" s="34" t="e">
        <f>VLOOKUP(E27,C:D,2,0)</f>
        <v>#N/A</v>
      </c>
    </row>
    <row r="28" spans="3:6" ht="15" customHeight="1" x14ac:dyDescent="0.25">
      <c r="C28" s="37">
        <v>24</v>
      </c>
      <c r="D28" s="32" t="s">
        <v>198</v>
      </c>
      <c r="E28" s="35"/>
      <c r="F28" s="34" t="e">
        <f>VLOOKUP(E28,C:D,2,0)</f>
        <v>#N/A</v>
      </c>
    </row>
    <row r="29" spans="3:6" ht="15" customHeight="1" x14ac:dyDescent="0.25">
      <c r="C29" s="37">
        <v>25</v>
      </c>
      <c r="D29" s="32" t="s">
        <v>199</v>
      </c>
      <c r="E29" s="35"/>
      <c r="F29" s="34" t="e">
        <f>VLOOKUP(E29,C:D,2,0)</f>
        <v>#N/A</v>
      </c>
    </row>
    <row r="30" spans="3:6" ht="15" customHeight="1" x14ac:dyDescent="0.25">
      <c r="C30" s="37">
        <v>26</v>
      </c>
      <c r="D30" s="32" t="s">
        <v>200</v>
      </c>
      <c r="E30" s="35"/>
      <c r="F30" s="34" t="e">
        <f t="shared" si="0"/>
        <v>#N/A</v>
      </c>
    </row>
    <row r="31" spans="3:6" ht="15" customHeight="1" x14ac:dyDescent="0.25">
      <c r="C31" s="37">
        <v>27</v>
      </c>
      <c r="D31" s="32" t="s">
        <v>201</v>
      </c>
      <c r="E31" s="35"/>
      <c r="F31" s="34" t="e">
        <f t="shared" si="0"/>
        <v>#N/A</v>
      </c>
    </row>
    <row r="32" spans="3:6" ht="15" customHeight="1" x14ac:dyDescent="0.25">
      <c r="C32" s="37">
        <v>28</v>
      </c>
      <c r="D32" s="32" t="s">
        <v>202</v>
      </c>
      <c r="E32" s="35"/>
      <c r="F32" s="34" t="e">
        <f t="shared" si="0"/>
        <v>#N/A</v>
      </c>
    </row>
    <row r="33" spans="3:6" ht="15" customHeight="1" x14ac:dyDescent="0.25">
      <c r="C33" s="37">
        <v>29</v>
      </c>
      <c r="D33" s="32" t="s">
        <v>203</v>
      </c>
      <c r="E33" s="35"/>
      <c r="F33" s="34" t="e">
        <f t="shared" si="0"/>
        <v>#N/A</v>
      </c>
    </row>
    <row r="34" spans="3:6" ht="15" customHeight="1" x14ac:dyDescent="0.25">
      <c r="C34" s="37">
        <v>30</v>
      </c>
      <c r="D34" s="32" t="s">
        <v>204</v>
      </c>
      <c r="E34" s="35"/>
      <c r="F34" s="34" t="e">
        <f t="shared" si="0"/>
        <v>#N/A</v>
      </c>
    </row>
    <row r="35" spans="3:6" ht="15" customHeight="1" x14ac:dyDescent="0.25">
      <c r="C35" s="37">
        <v>31</v>
      </c>
      <c r="D35" s="32" t="s">
        <v>205</v>
      </c>
      <c r="E35" s="35"/>
      <c r="F35" s="34" t="e">
        <f t="shared" si="0"/>
        <v>#N/A</v>
      </c>
    </row>
    <row r="36" spans="3:6" ht="15" customHeight="1" x14ac:dyDescent="0.25">
      <c r="C36" s="37">
        <v>32</v>
      </c>
      <c r="D36" s="32" t="s">
        <v>206</v>
      </c>
      <c r="E36" s="35"/>
      <c r="F36" s="34" t="e">
        <f t="shared" si="0"/>
        <v>#N/A</v>
      </c>
    </row>
    <row r="37" spans="3:6" ht="15" customHeight="1" x14ac:dyDescent="0.25">
      <c r="C37" s="37">
        <v>33</v>
      </c>
      <c r="D37" s="32" t="s">
        <v>207</v>
      </c>
      <c r="E37" s="35"/>
      <c r="F37" s="34" t="e">
        <f t="shared" si="0"/>
        <v>#N/A</v>
      </c>
    </row>
    <row r="38" spans="3:6" ht="15" customHeight="1" x14ac:dyDescent="0.25">
      <c r="C38" s="37">
        <v>34</v>
      </c>
      <c r="D38" s="32" t="s">
        <v>208</v>
      </c>
      <c r="E38" s="35"/>
      <c r="F38" s="34" t="e">
        <f t="shared" si="0"/>
        <v>#N/A</v>
      </c>
    </row>
    <row r="39" spans="3:6" ht="15" customHeight="1" x14ac:dyDescent="0.25">
      <c r="C39" s="37">
        <v>35</v>
      </c>
      <c r="D39" s="32" t="s">
        <v>209</v>
      </c>
      <c r="E39" s="35"/>
      <c r="F39" s="34" t="e">
        <f t="shared" si="0"/>
        <v>#N/A</v>
      </c>
    </row>
    <row r="40" spans="3:6" ht="15" customHeight="1" x14ac:dyDescent="0.25">
      <c r="C40" s="37">
        <v>36</v>
      </c>
      <c r="D40" s="32" t="s">
        <v>210</v>
      </c>
      <c r="E40" s="35"/>
      <c r="F40" s="34" t="e">
        <f t="shared" si="0"/>
        <v>#N/A</v>
      </c>
    </row>
    <row r="41" spans="3:6" ht="15" customHeight="1" x14ac:dyDescent="0.25">
      <c r="C41" s="37">
        <v>37</v>
      </c>
      <c r="D41" s="32" t="s">
        <v>211</v>
      </c>
      <c r="E41" s="35"/>
      <c r="F41" s="34" t="e">
        <f t="shared" si="0"/>
        <v>#N/A</v>
      </c>
    </row>
    <row r="42" spans="3:6" ht="15" customHeight="1" x14ac:dyDescent="0.25">
      <c r="C42" s="37">
        <v>38</v>
      </c>
      <c r="D42" s="32" t="s">
        <v>212</v>
      </c>
      <c r="E42" s="35"/>
      <c r="F42" s="34" t="e">
        <f t="shared" si="0"/>
        <v>#N/A</v>
      </c>
    </row>
    <row r="43" spans="3:6" ht="15" customHeight="1" x14ac:dyDescent="0.25">
      <c r="C43" s="37">
        <v>39</v>
      </c>
      <c r="D43" s="32" t="s">
        <v>213</v>
      </c>
      <c r="E43" s="35"/>
      <c r="F43" s="34" t="e">
        <f t="shared" si="0"/>
        <v>#N/A</v>
      </c>
    </row>
    <row r="44" spans="3:6" ht="15" customHeight="1" x14ac:dyDescent="0.25">
      <c r="C44" s="37">
        <v>40</v>
      </c>
      <c r="D44" s="32" t="s">
        <v>214</v>
      </c>
      <c r="E44" s="35"/>
      <c r="F44" s="34" t="e">
        <f t="shared" si="0"/>
        <v>#N/A</v>
      </c>
    </row>
    <row r="45" spans="3:6" ht="15" customHeight="1" x14ac:dyDescent="0.25">
      <c r="C45" s="37">
        <v>41</v>
      </c>
      <c r="D45" s="32" t="s">
        <v>215</v>
      </c>
      <c r="E45" s="35"/>
      <c r="F45" s="34" t="e">
        <f t="shared" si="0"/>
        <v>#N/A</v>
      </c>
    </row>
    <row r="46" spans="3:6" ht="15" customHeight="1" x14ac:dyDescent="0.25">
      <c r="C46" s="37">
        <v>42</v>
      </c>
      <c r="D46" s="32" t="s">
        <v>216</v>
      </c>
      <c r="E46" s="35"/>
      <c r="F46" s="34" t="e">
        <f t="shared" si="0"/>
        <v>#N/A</v>
      </c>
    </row>
    <row r="47" spans="3:6" ht="15" customHeight="1" x14ac:dyDescent="0.25">
      <c r="C47" s="37">
        <v>43</v>
      </c>
      <c r="D47" s="32" t="s">
        <v>217</v>
      </c>
      <c r="E47" s="35"/>
      <c r="F47" s="34" t="e">
        <f t="shared" si="0"/>
        <v>#N/A</v>
      </c>
    </row>
    <row r="48" spans="3:6" ht="15" customHeight="1" x14ac:dyDescent="0.25">
      <c r="C48" s="37">
        <v>44</v>
      </c>
      <c r="D48" s="32" t="s">
        <v>218</v>
      </c>
      <c r="E48" s="35"/>
      <c r="F48" s="34" t="e">
        <f t="shared" si="0"/>
        <v>#N/A</v>
      </c>
    </row>
    <row r="49" spans="3:6" ht="15" customHeight="1" x14ac:dyDescent="0.25">
      <c r="C49" s="37">
        <v>45</v>
      </c>
      <c r="D49" s="32" t="s">
        <v>219</v>
      </c>
      <c r="E49" s="35"/>
      <c r="F49" s="34" t="e">
        <f t="shared" si="0"/>
        <v>#N/A</v>
      </c>
    </row>
    <row r="50" spans="3:6" ht="15" customHeight="1" x14ac:dyDescent="0.25">
      <c r="C50" s="37">
        <v>46</v>
      </c>
      <c r="D50" s="32" t="s">
        <v>220</v>
      </c>
      <c r="E50" s="35"/>
      <c r="F50" s="34" t="e">
        <f t="shared" si="0"/>
        <v>#N/A</v>
      </c>
    </row>
    <row r="51" spans="3:6" ht="15" customHeight="1" x14ac:dyDescent="0.25">
      <c r="C51" s="37">
        <v>48</v>
      </c>
      <c r="D51" s="32" t="s">
        <v>221</v>
      </c>
      <c r="E51" s="35"/>
      <c r="F51" s="34" t="e">
        <f t="shared" si="0"/>
        <v>#N/A</v>
      </c>
    </row>
    <row r="52" spans="3:6" ht="15" customHeight="1" x14ac:dyDescent="0.25">
      <c r="C52" s="38" t="s">
        <v>142</v>
      </c>
      <c r="D52" s="33" t="s">
        <v>222</v>
      </c>
      <c r="E52" s="35"/>
      <c r="F52" s="34" t="e">
        <f t="shared" si="0"/>
        <v>#N/A</v>
      </c>
    </row>
    <row r="53" spans="3:6" ht="15" customHeight="1" x14ac:dyDescent="0.25">
      <c r="C53" s="38" t="s">
        <v>143</v>
      </c>
      <c r="D53" s="32" t="s">
        <v>223</v>
      </c>
      <c r="E53" s="35"/>
      <c r="F53" s="34" t="e">
        <f t="shared" si="0"/>
        <v>#N/A</v>
      </c>
    </row>
    <row r="54" spans="3:6" ht="15" customHeight="1" x14ac:dyDescent="0.25">
      <c r="C54" s="37">
        <v>47</v>
      </c>
      <c r="D54" s="32" t="s">
        <v>224</v>
      </c>
      <c r="E54" s="35"/>
      <c r="F54" s="34" t="e">
        <f t="shared" si="0"/>
        <v>#N/A</v>
      </c>
    </row>
    <row r="55" spans="3:6" ht="15" customHeight="1" x14ac:dyDescent="0.25">
      <c r="D55" s="30"/>
      <c r="E55" s="35"/>
      <c r="F55" s="34" t="e">
        <f t="shared" si="0"/>
        <v>#N/A</v>
      </c>
    </row>
    <row r="56" spans="3:6" ht="15" customHeight="1" x14ac:dyDescent="0.25">
      <c r="D56" s="30"/>
      <c r="E56" s="35"/>
      <c r="F56" s="34" t="e">
        <f t="shared" si="0"/>
        <v>#N/A</v>
      </c>
    </row>
    <row r="57" spans="3:6" ht="15" customHeight="1" x14ac:dyDescent="0.25">
      <c r="E57" s="35"/>
      <c r="F57" s="34" t="e">
        <f t="shared" si="0"/>
        <v>#N/A</v>
      </c>
    </row>
    <row r="58" spans="3:6" x14ac:dyDescent="0.25">
      <c r="E58" s="35"/>
      <c r="F58" s="34" t="e">
        <f t="shared" si="0"/>
        <v>#N/A</v>
      </c>
    </row>
    <row r="59" spans="3:6" x14ac:dyDescent="0.25">
      <c r="E59" s="35"/>
      <c r="F59" s="34" t="e">
        <f t="shared" si="0"/>
        <v>#N/A</v>
      </c>
    </row>
    <row r="60" spans="3:6" x14ac:dyDescent="0.25">
      <c r="E60" s="35"/>
      <c r="F60" s="34" t="e">
        <f t="shared" si="0"/>
        <v>#N/A</v>
      </c>
    </row>
    <row r="61" spans="3:6" x14ac:dyDescent="0.25">
      <c r="E61" s="35"/>
      <c r="F61" s="34" t="e">
        <f t="shared" si="0"/>
        <v>#N/A</v>
      </c>
    </row>
    <row r="62" spans="3:6" x14ac:dyDescent="0.25">
      <c r="E62" s="35"/>
      <c r="F62" s="34" t="e">
        <f t="shared" si="0"/>
        <v>#N/A</v>
      </c>
    </row>
    <row r="63" spans="3:6" x14ac:dyDescent="0.25">
      <c r="E63" s="35"/>
      <c r="F63" s="34" t="e">
        <f t="shared" si="0"/>
        <v>#N/A</v>
      </c>
    </row>
    <row r="64" spans="3:6" x14ac:dyDescent="0.25">
      <c r="E64" s="35"/>
      <c r="F64" s="34" t="e">
        <f t="shared" si="0"/>
        <v>#N/A</v>
      </c>
    </row>
    <row r="65" spans="5:6" x14ac:dyDescent="0.25">
      <c r="E65" s="35"/>
      <c r="F65" s="34" t="e">
        <f t="shared" si="0"/>
        <v>#N/A</v>
      </c>
    </row>
    <row r="66" spans="5:6" x14ac:dyDescent="0.25">
      <c r="E66" s="35"/>
      <c r="F66" s="34" t="e">
        <f t="shared" si="0"/>
        <v>#N/A</v>
      </c>
    </row>
    <row r="67" spans="5:6" x14ac:dyDescent="0.25">
      <c r="E67" s="35"/>
      <c r="F67" s="34" t="e">
        <f t="shared" ref="F67:F75" si="1">VLOOKUP(E67,C:D,2,0)</f>
        <v>#N/A</v>
      </c>
    </row>
    <row r="68" spans="5:6" x14ac:dyDescent="0.25">
      <c r="E68" s="35"/>
      <c r="F68" s="34" t="e">
        <f t="shared" si="1"/>
        <v>#N/A</v>
      </c>
    </row>
    <row r="69" spans="5:6" x14ac:dyDescent="0.25">
      <c r="E69" s="35"/>
      <c r="F69" s="34" t="e">
        <f t="shared" si="1"/>
        <v>#N/A</v>
      </c>
    </row>
    <row r="70" spans="5:6" x14ac:dyDescent="0.25">
      <c r="E70" s="35"/>
      <c r="F70" s="34" t="e">
        <f t="shared" si="1"/>
        <v>#N/A</v>
      </c>
    </row>
    <row r="71" spans="5:6" x14ac:dyDescent="0.25">
      <c r="E71" s="35"/>
      <c r="F71" s="34" t="e">
        <f t="shared" si="1"/>
        <v>#N/A</v>
      </c>
    </row>
    <row r="72" spans="5:6" x14ac:dyDescent="0.25">
      <c r="E72" s="35"/>
      <c r="F72" s="34" t="e">
        <f t="shared" si="1"/>
        <v>#N/A</v>
      </c>
    </row>
    <row r="73" spans="5:6" x14ac:dyDescent="0.25">
      <c r="E73" s="35"/>
      <c r="F73" s="34" t="e">
        <f t="shared" si="1"/>
        <v>#N/A</v>
      </c>
    </row>
    <row r="74" spans="5:6" x14ac:dyDescent="0.25">
      <c r="E74" s="35"/>
      <c r="F74" s="34" t="e">
        <f t="shared" si="1"/>
        <v>#N/A</v>
      </c>
    </row>
    <row r="75" spans="5:6" x14ac:dyDescent="0.25">
      <c r="E75" s="35"/>
      <c r="F75" s="34" t="e">
        <f t="shared" si="1"/>
        <v>#N/A</v>
      </c>
    </row>
    <row r="76" spans="5:6" x14ac:dyDescent="0.25">
      <c r="E76" s="35"/>
      <c r="F76" s="34"/>
    </row>
    <row r="77" spans="5:6" x14ac:dyDescent="0.25">
      <c r="E77" s="35"/>
      <c r="F77" s="34"/>
    </row>
    <row r="78" spans="5:6" x14ac:dyDescent="0.25">
      <c r="E78" s="35"/>
      <c r="F78" s="34"/>
    </row>
    <row r="79" spans="5:6" x14ac:dyDescent="0.25">
      <c r="E79" s="35"/>
      <c r="F79" s="34"/>
    </row>
  </sheetData>
  <phoneticPr fontId="19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  <ignoredErrors>
    <ignoredError sqref="C1 C55:C1048576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0FA00-DAF9-4562-B93B-9152920BBE88}">
  <sheetPr codeName="Planilha21"/>
  <dimension ref="A1:E251"/>
  <sheetViews>
    <sheetView showGridLines="0" topLeftCell="A7" zoomScale="70" zoomScaleNormal="70" workbookViewId="0">
      <selection activeCell="E11" sqref="E11"/>
    </sheetView>
  </sheetViews>
  <sheetFormatPr defaultRowHeight="15" x14ac:dyDescent="0.25"/>
  <cols>
    <col min="1" max="1" width="15.7109375" style="9" customWidth="1"/>
    <col min="2" max="2" width="73" style="9" customWidth="1"/>
    <col min="3" max="3" width="1.85546875" style="9" customWidth="1"/>
    <col min="4" max="4" width="15.7109375" style="9" customWidth="1"/>
    <col min="5" max="5" width="70.7109375" style="9" customWidth="1"/>
    <col min="9" max="9" width="18.5703125" bestFit="1" customWidth="1"/>
  </cols>
  <sheetData>
    <row r="1" spans="1:5" ht="15.75" thickBot="1" x14ac:dyDescent="0.3"/>
    <row r="2" spans="1:5" ht="27" thickBot="1" x14ac:dyDescent="0.3">
      <c r="A2" s="56" t="s">
        <v>6</v>
      </c>
      <c r="B2" s="57"/>
      <c r="D2" s="56" t="s">
        <v>6</v>
      </c>
      <c r="E2" s="57"/>
    </row>
    <row r="3" spans="1:5" ht="15.75" thickBot="1" x14ac:dyDescent="0.3">
      <c r="A3" s="58"/>
      <c r="B3" s="59"/>
      <c r="D3" s="59"/>
      <c r="E3" s="59"/>
    </row>
    <row r="4" spans="1:5" ht="31.5" x14ac:dyDescent="0.25">
      <c r="A4" s="10" t="s">
        <v>7</v>
      </c>
      <c r="B4" s="10" t="s">
        <v>8</v>
      </c>
      <c r="C4" s="11"/>
      <c r="D4" s="12" t="s">
        <v>9</v>
      </c>
      <c r="E4" s="12" t="s">
        <v>10</v>
      </c>
    </row>
    <row r="5" spans="1:5" ht="31.5" x14ac:dyDescent="0.25">
      <c r="A5" s="12" t="s">
        <v>11</v>
      </c>
      <c r="B5" s="12" t="s">
        <v>12</v>
      </c>
      <c r="D5" s="13" t="s">
        <v>13</v>
      </c>
      <c r="E5" s="13" t="s">
        <v>14</v>
      </c>
    </row>
    <row r="6" spans="1:5" ht="31.5" x14ac:dyDescent="0.25">
      <c r="A6" s="13" t="s">
        <v>15</v>
      </c>
      <c r="B6" s="13" t="s">
        <v>16</v>
      </c>
      <c r="D6" s="12" t="s">
        <v>17</v>
      </c>
      <c r="E6" s="12" t="s">
        <v>18</v>
      </c>
    </row>
    <row r="7" spans="1:5" ht="31.5" x14ac:dyDescent="0.25">
      <c r="A7" s="12" t="s">
        <v>19</v>
      </c>
      <c r="B7" s="12" t="s">
        <v>20</v>
      </c>
      <c r="D7" s="13" t="s">
        <v>21</v>
      </c>
      <c r="E7" s="13" t="s">
        <v>22</v>
      </c>
    </row>
    <row r="8" spans="1:5" ht="31.5" x14ac:dyDescent="0.25">
      <c r="A8" s="13" t="s">
        <v>23</v>
      </c>
      <c r="B8" s="13" t="s">
        <v>24</v>
      </c>
      <c r="D8" s="12" t="s">
        <v>25</v>
      </c>
      <c r="E8" s="12" t="s">
        <v>26</v>
      </c>
    </row>
    <row r="9" spans="1:5" ht="31.5" x14ac:dyDescent="0.25">
      <c r="A9" s="12" t="s">
        <v>27</v>
      </c>
      <c r="B9" s="12" t="s">
        <v>28</v>
      </c>
      <c r="D9" s="13" t="s">
        <v>29</v>
      </c>
      <c r="E9" s="13" t="s">
        <v>30</v>
      </c>
    </row>
    <row r="10" spans="1:5" ht="31.5" x14ac:dyDescent="0.25">
      <c r="A10" s="13" t="s">
        <v>31</v>
      </c>
      <c r="B10" s="13" t="s">
        <v>32</v>
      </c>
      <c r="D10" s="12" t="s">
        <v>33</v>
      </c>
      <c r="E10" s="12" t="s">
        <v>34</v>
      </c>
    </row>
    <row r="11" spans="1:5" ht="31.5" x14ac:dyDescent="0.25">
      <c r="A11" s="12" t="s">
        <v>35</v>
      </c>
      <c r="B11" s="12" t="s">
        <v>36</v>
      </c>
      <c r="D11" s="13" t="s">
        <v>37</v>
      </c>
      <c r="E11" s="13" t="s">
        <v>38</v>
      </c>
    </row>
    <row r="12" spans="1:5" ht="31.5" x14ac:dyDescent="0.25">
      <c r="A12" s="13" t="s">
        <v>39</v>
      </c>
      <c r="B12" s="13" t="s">
        <v>40</v>
      </c>
      <c r="D12" s="12" t="s">
        <v>41</v>
      </c>
      <c r="E12" s="12" t="s">
        <v>42</v>
      </c>
    </row>
    <row r="13" spans="1:5" ht="31.5" x14ac:dyDescent="0.25">
      <c r="A13" s="12" t="s">
        <v>43</v>
      </c>
      <c r="B13" s="12" t="s">
        <v>44</v>
      </c>
      <c r="D13" s="13" t="s">
        <v>45</v>
      </c>
      <c r="E13" s="13" t="s">
        <v>46</v>
      </c>
    </row>
    <row r="14" spans="1:5" ht="31.5" x14ac:dyDescent="0.25">
      <c r="A14" s="13" t="s">
        <v>47</v>
      </c>
      <c r="B14" s="13" t="s">
        <v>48</v>
      </c>
      <c r="D14" s="12" t="s">
        <v>49</v>
      </c>
      <c r="E14" s="12" t="s">
        <v>50</v>
      </c>
    </row>
    <row r="15" spans="1:5" ht="31.5" x14ac:dyDescent="0.25">
      <c r="A15" s="12" t="s">
        <v>51</v>
      </c>
      <c r="B15" s="12" t="s">
        <v>52</v>
      </c>
      <c r="D15" s="13" t="s">
        <v>53</v>
      </c>
      <c r="E15" s="13" t="s">
        <v>54</v>
      </c>
    </row>
    <row r="16" spans="1:5" ht="31.5" x14ac:dyDescent="0.25">
      <c r="A16" s="13" t="s">
        <v>55</v>
      </c>
      <c r="B16" s="13" t="s">
        <v>56</v>
      </c>
      <c r="D16" s="12" t="s">
        <v>57</v>
      </c>
      <c r="E16" s="12" t="s">
        <v>58</v>
      </c>
    </row>
    <row r="17" spans="1:5" ht="31.5" x14ac:dyDescent="0.25">
      <c r="A17" s="12" t="s">
        <v>59</v>
      </c>
      <c r="B17" s="12" t="s">
        <v>60</v>
      </c>
      <c r="D17" s="13" t="s">
        <v>61</v>
      </c>
      <c r="E17" s="13" t="s">
        <v>62</v>
      </c>
    </row>
    <row r="18" spans="1:5" ht="31.5" x14ac:dyDescent="0.25">
      <c r="A18" s="13" t="s">
        <v>63</v>
      </c>
      <c r="B18" s="13" t="s">
        <v>64</v>
      </c>
      <c r="D18" s="12" t="s">
        <v>65</v>
      </c>
      <c r="E18" s="12" t="s">
        <v>66</v>
      </c>
    </row>
    <row r="19" spans="1:5" ht="31.5" x14ac:dyDescent="0.25">
      <c r="A19" s="12" t="s">
        <v>67</v>
      </c>
      <c r="B19" s="12" t="s">
        <v>68</v>
      </c>
      <c r="D19" s="13" t="s">
        <v>69</v>
      </c>
      <c r="E19" s="13" t="s">
        <v>70</v>
      </c>
    </row>
    <row r="20" spans="1:5" ht="47.25" x14ac:dyDescent="0.25">
      <c r="A20" s="13" t="s">
        <v>71</v>
      </c>
      <c r="B20" s="13" t="s">
        <v>72</v>
      </c>
      <c r="D20" s="14" t="s">
        <v>73</v>
      </c>
      <c r="E20" s="12" t="s">
        <v>74</v>
      </c>
    </row>
    <row r="21" spans="1:5" ht="47.25" x14ac:dyDescent="0.25">
      <c r="A21" s="12" t="s">
        <v>75</v>
      </c>
      <c r="B21" s="12" t="s">
        <v>76</v>
      </c>
      <c r="D21" s="15" t="s">
        <v>77</v>
      </c>
      <c r="E21" s="16" t="s">
        <v>78</v>
      </c>
    </row>
    <row r="22" spans="1:5" ht="31.5" x14ac:dyDescent="0.25">
      <c r="A22" s="13" t="s">
        <v>79</v>
      </c>
      <c r="B22" s="13" t="s">
        <v>80</v>
      </c>
      <c r="D22" s="17" t="s">
        <v>81</v>
      </c>
      <c r="E22" s="18" t="s">
        <v>82</v>
      </c>
    </row>
    <row r="23" spans="1:5" ht="31.5" x14ac:dyDescent="0.25">
      <c r="A23" s="12" t="s">
        <v>83</v>
      </c>
      <c r="B23" s="12" t="s">
        <v>84</v>
      </c>
      <c r="D23" s="15" t="s">
        <v>85</v>
      </c>
      <c r="E23" s="16" t="s">
        <v>86</v>
      </c>
    </row>
    <row r="24" spans="1:5" ht="31.5" x14ac:dyDescent="0.25">
      <c r="A24" s="16" t="s">
        <v>87</v>
      </c>
      <c r="B24" s="16" t="s">
        <v>88</v>
      </c>
      <c r="D24" s="12" t="s">
        <v>89</v>
      </c>
      <c r="E24" s="16" t="s">
        <v>90</v>
      </c>
    </row>
    <row r="25" spans="1:5" ht="31.5" x14ac:dyDescent="0.25">
      <c r="A25" s="12" t="s">
        <v>91</v>
      </c>
      <c r="B25" s="12" t="s">
        <v>92</v>
      </c>
      <c r="D25" s="12" t="s">
        <v>93</v>
      </c>
      <c r="E25" s="12" t="s">
        <v>94</v>
      </c>
    </row>
    <row r="26" spans="1:5" ht="31.5" x14ac:dyDescent="0.25">
      <c r="A26" s="16" t="s">
        <v>95</v>
      </c>
      <c r="B26" s="16" t="s">
        <v>96</v>
      </c>
      <c r="D26" s="12" t="s">
        <v>97</v>
      </c>
      <c r="E26" s="12" t="s">
        <v>98</v>
      </c>
    </row>
    <row r="27" spans="1:5" ht="31.5" x14ac:dyDescent="0.25">
      <c r="A27" s="12" t="s">
        <v>99</v>
      </c>
      <c r="B27" s="12" t="s">
        <v>100</v>
      </c>
      <c r="D27" s="16" t="s">
        <v>101</v>
      </c>
      <c r="E27" s="16" t="s">
        <v>102</v>
      </c>
    </row>
    <row r="28" spans="1:5" ht="31.5" x14ac:dyDescent="0.25">
      <c r="A28" s="19" t="s">
        <v>103</v>
      </c>
      <c r="B28" s="13" t="s">
        <v>104</v>
      </c>
      <c r="D28" s="60" t="s">
        <v>105</v>
      </c>
      <c r="E28" s="12" t="s">
        <v>106</v>
      </c>
    </row>
    <row r="29" spans="1:5" ht="31.5" x14ac:dyDescent="0.25">
      <c r="A29" s="20" t="s">
        <v>107</v>
      </c>
      <c r="B29" s="20" t="s">
        <v>108</v>
      </c>
      <c r="D29" s="61"/>
      <c r="E29" s="12" t="s">
        <v>109</v>
      </c>
    </row>
    <row r="30" spans="1:5" ht="32.25" thickBot="1" x14ac:dyDescent="0.3">
      <c r="A30" s="21" t="s">
        <v>110</v>
      </c>
      <c r="B30" s="21" t="s">
        <v>111</v>
      </c>
      <c r="D30" s="22" t="s">
        <v>112</v>
      </c>
      <c r="E30" s="22" t="s">
        <v>113</v>
      </c>
    </row>
    <row r="31" spans="1:5" ht="15.75" x14ac:dyDescent="0.25">
      <c r="A31" s="23"/>
      <c r="B31" s="23"/>
      <c r="D31" s="23"/>
      <c r="E31" s="23"/>
    </row>
    <row r="32" spans="1:5" ht="15.75" x14ac:dyDescent="0.25">
      <c r="A32" s="23"/>
      <c r="B32" s="23"/>
      <c r="D32" s="23"/>
      <c r="E32" s="23"/>
    </row>
    <row r="33" spans="1:5" ht="15.75" x14ac:dyDescent="0.25">
      <c r="A33" s="23"/>
      <c r="B33" s="23"/>
      <c r="D33" s="23"/>
      <c r="E33" s="23"/>
    </row>
    <row r="34" spans="1:5" ht="15.75" x14ac:dyDescent="0.25">
      <c r="A34" s="23"/>
      <c r="B34" s="23"/>
      <c r="D34" s="23"/>
      <c r="E34" s="23"/>
    </row>
    <row r="35" spans="1:5" ht="15.75" x14ac:dyDescent="0.25">
      <c r="A35" s="23"/>
      <c r="B35" s="23"/>
      <c r="D35" s="23"/>
      <c r="E35" s="23"/>
    </row>
    <row r="36" spans="1:5" ht="15.75" x14ac:dyDescent="0.25">
      <c r="A36" s="23"/>
      <c r="B36" s="23"/>
      <c r="D36" s="23"/>
      <c r="E36" s="23"/>
    </row>
    <row r="37" spans="1:5" ht="15.75" x14ac:dyDescent="0.25">
      <c r="A37" s="23"/>
      <c r="B37" s="23"/>
      <c r="D37" s="23"/>
      <c r="E37" s="23"/>
    </row>
    <row r="38" spans="1:5" ht="15.75" x14ac:dyDescent="0.25">
      <c r="A38" s="23"/>
      <c r="B38" s="23"/>
      <c r="D38" s="23"/>
      <c r="E38" s="23"/>
    </row>
    <row r="39" spans="1:5" ht="15.75" x14ac:dyDescent="0.25">
      <c r="A39" s="23"/>
      <c r="B39" s="23"/>
      <c r="D39" s="23"/>
      <c r="E39" s="23"/>
    </row>
    <row r="40" spans="1:5" ht="15.75" x14ac:dyDescent="0.25">
      <c r="A40" s="23"/>
      <c r="B40" s="23"/>
      <c r="D40" s="23"/>
      <c r="E40" s="23"/>
    </row>
    <row r="41" spans="1:5" ht="15.75" x14ac:dyDescent="0.25">
      <c r="A41" s="23"/>
      <c r="B41" s="23"/>
      <c r="D41" s="23"/>
      <c r="E41" s="23"/>
    </row>
    <row r="42" spans="1:5" ht="15.75" x14ac:dyDescent="0.25">
      <c r="A42" s="23"/>
      <c r="B42" s="23"/>
      <c r="D42" s="23"/>
      <c r="E42" s="23"/>
    </row>
    <row r="43" spans="1:5" ht="15.75" x14ac:dyDescent="0.25">
      <c r="A43" s="23"/>
      <c r="B43" s="23"/>
      <c r="D43" s="23"/>
      <c r="E43" s="23"/>
    </row>
    <row r="44" spans="1:5" ht="15.75" x14ac:dyDescent="0.25">
      <c r="A44" s="55"/>
      <c r="B44" s="23"/>
      <c r="D44" s="23"/>
      <c r="E44" s="23"/>
    </row>
    <row r="45" spans="1:5" ht="15.75" x14ac:dyDescent="0.25">
      <c r="A45" s="55"/>
      <c r="B45" s="23"/>
      <c r="D45" s="23"/>
      <c r="E45" s="23"/>
    </row>
    <row r="46" spans="1:5" ht="15.75" x14ac:dyDescent="0.25">
      <c r="A46" s="24"/>
      <c r="B46" s="24"/>
      <c r="D46" s="23"/>
      <c r="E46" s="23"/>
    </row>
    <row r="47" spans="1:5" ht="15.75" x14ac:dyDescent="0.25">
      <c r="A47" s="24"/>
      <c r="B47" s="24"/>
      <c r="D47" s="23"/>
      <c r="E47" s="23"/>
    </row>
    <row r="48" spans="1:5" ht="15.75" x14ac:dyDescent="0.25">
      <c r="A48" s="24"/>
      <c r="B48" s="24"/>
      <c r="D48" s="55"/>
      <c r="E48" s="23"/>
    </row>
    <row r="49" spans="1:5" ht="15.75" x14ac:dyDescent="0.25">
      <c r="A49" s="24"/>
      <c r="B49" s="24"/>
      <c r="D49" s="55"/>
      <c r="E49" s="23"/>
    </row>
    <row r="50" spans="1:5" ht="15.75" x14ac:dyDescent="0.25">
      <c r="A50" s="24"/>
      <c r="B50" s="24"/>
      <c r="D50" s="24"/>
      <c r="E50" s="24"/>
    </row>
    <row r="51" spans="1:5" ht="15.75" x14ac:dyDescent="0.25">
      <c r="A51" s="24"/>
      <c r="B51" s="24"/>
      <c r="D51" s="24"/>
      <c r="E51" s="24"/>
    </row>
    <row r="52" spans="1:5" ht="15.75" x14ac:dyDescent="0.25">
      <c r="A52" s="24"/>
      <c r="B52" s="24"/>
      <c r="D52" s="24"/>
      <c r="E52" s="24"/>
    </row>
    <row r="53" spans="1:5" ht="15.75" x14ac:dyDescent="0.25">
      <c r="A53" s="24"/>
      <c r="B53" s="24"/>
      <c r="D53" s="24"/>
      <c r="E53" s="24"/>
    </row>
    <row r="54" spans="1:5" ht="15.75" x14ac:dyDescent="0.25">
      <c r="A54" s="24"/>
      <c r="B54" s="24"/>
      <c r="D54" s="24"/>
      <c r="E54" s="24"/>
    </row>
    <row r="55" spans="1:5" ht="15.75" x14ac:dyDescent="0.25">
      <c r="A55" s="24"/>
      <c r="B55" s="24"/>
      <c r="D55" s="24"/>
      <c r="E55" s="24"/>
    </row>
    <row r="56" spans="1:5" ht="15.75" x14ac:dyDescent="0.25">
      <c r="A56" s="24"/>
      <c r="B56" s="24"/>
      <c r="D56" s="24"/>
      <c r="E56" s="24"/>
    </row>
    <row r="57" spans="1:5" ht="15.75" x14ac:dyDescent="0.25">
      <c r="A57" s="24"/>
      <c r="B57" s="24"/>
      <c r="D57" s="24"/>
      <c r="E57" s="24"/>
    </row>
    <row r="58" spans="1:5" ht="15.75" x14ac:dyDescent="0.25">
      <c r="A58" s="24"/>
      <c r="B58" s="24"/>
      <c r="D58" s="24"/>
      <c r="E58" s="24"/>
    </row>
    <row r="59" spans="1:5" ht="15.75" x14ac:dyDescent="0.25">
      <c r="A59" s="24"/>
      <c r="B59" s="24"/>
      <c r="D59" s="24"/>
      <c r="E59" s="24"/>
    </row>
    <row r="60" spans="1:5" ht="15.75" x14ac:dyDescent="0.25">
      <c r="A60" s="24"/>
      <c r="B60" s="24"/>
      <c r="D60" s="24"/>
      <c r="E60" s="24"/>
    </row>
    <row r="61" spans="1:5" ht="15.75" x14ac:dyDescent="0.25">
      <c r="A61" s="24"/>
      <c r="B61" s="24"/>
      <c r="D61" s="24"/>
      <c r="E61" s="24"/>
    </row>
    <row r="62" spans="1:5" ht="15.75" x14ac:dyDescent="0.25">
      <c r="A62" s="24"/>
      <c r="B62" s="24"/>
      <c r="D62" s="24"/>
      <c r="E62" s="24"/>
    </row>
    <row r="63" spans="1:5" ht="15.75" x14ac:dyDescent="0.25">
      <c r="A63" s="24"/>
      <c r="B63" s="24"/>
      <c r="D63" s="24"/>
      <c r="E63" s="24"/>
    </row>
    <row r="64" spans="1:5" ht="15.75" x14ac:dyDescent="0.25">
      <c r="A64" s="24"/>
      <c r="B64" s="24"/>
      <c r="D64" s="24"/>
      <c r="E64" s="24"/>
    </row>
    <row r="65" spans="1:5" ht="15.75" x14ac:dyDescent="0.25">
      <c r="A65" s="24"/>
      <c r="B65" s="24"/>
      <c r="D65" s="24"/>
      <c r="E65" s="24"/>
    </row>
    <row r="66" spans="1:5" ht="15.75" x14ac:dyDescent="0.25">
      <c r="A66" s="24"/>
      <c r="B66" s="24"/>
      <c r="D66" s="24"/>
      <c r="E66" s="24"/>
    </row>
    <row r="67" spans="1:5" ht="15.75" x14ac:dyDescent="0.25">
      <c r="A67" s="24"/>
      <c r="B67" s="24"/>
      <c r="D67" s="24"/>
      <c r="E67" s="24"/>
    </row>
    <row r="68" spans="1:5" ht="15.75" x14ac:dyDescent="0.25">
      <c r="A68" s="24"/>
      <c r="B68" s="24"/>
      <c r="D68" s="24"/>
      <c r="E68" s="24"/>
    </row>
    <row r="69" spans="1:5" ht="15.75" x14ac:dyDescent="0.25">
      <c r="A69" s="24"/>
      <c r="B69" s="24"/>
      <c r="D69" s="24"/>
      <c r="E69" s="24"/>
    </row>
    <row r="70" spans="1:5" ht="15.75" x14ac:dyDescent="0.25">
      <c r="A70" s="24"/>
      <c r="B70" s="24"/>
      <c r="D70" s="24"/>
      <c r="E70" s="24"/>
    </row>
    <row r="71" spans="1:5" ht="15.75" x14ac:dyDescent="0.25">
      <c r="A71" s="24"/>
      <c r="B71" s="24"/>
      <c r="D71" s="24"/>
      <c r="E71" s="24"/>
    </row>
    <row r="72" spans="1:5" ht="15.75" x14ac:dyDescent="0.25">
      <c r="A72" s="24"/>
      <c r="B72" s="24"/>
      <c r="D72" s="24"/>
      <c r="E72" s="24"/>
    </row>
    <row r="73" spans="1:5" ht="15.75" x14ac:dyDescent="0.25">
      <c r="A73" s="24"/>
      <c r="B73" s="24"/>
      <c r="D73" s="24"/>
      <c r="E73" s="24"/>
    </row>
    <row r="74" spans="1:5" ht="15.75" x14ac:dyDescent="0.25">
      <c r="A74" s="24"/>
      <c r="B74" s="24"/>
      <c r="D74" s="24"/>
      <c r="E74" s="24"/>
    </row>
    <row r="75" spans="1:5" ht="15.75" x14ac:dyDescent="0.25">
      <c r="A75" s="24"/>
      <c r="B75" s="24"/>
      <c r="D75" s="24"/>
      <c r="E75" s="24"/>
    </row>
    <row r="76" spans="1:5" ht="15.75" x14ac:dyDescent="0.25">
      <c r="A76" s="24"/>
      <c r="B76" s="24"/>
      <c r="D76" s="24"/>
      <c r="E76" s="24"/>
    </row>
    <row r="77" spans="1:5" ht="15.75" x14ac:dyDescent="0.25">
      <c r="A77" s="24"/>
      <c r="B77" s="24"/>
      <c r="D77" s="24"/>
      <c r="E77" s="24"/>
    </row>
    <row r="78" spans="1:5" ht="15.75" x14ac:dyDescent="0.25">
      <c r="A78" s="24"/>
      <c r="B78" s="24"/>
      <c r="D78" s="24"/>
      <c r="E78" s="24"/>
    </row>
    <row r="79" spans="1:5" ht="15.75" x14ac:dyDescent="0.25">
      <c r="A79" s="24"/>
      <c r="B79" s="24"/>
      <c r="D79" s="24"/>
      <c r="E79" s="24"/>
    </row>
    <row r="80" spans="1:5" ht="15.75" x14ac:dyDescent="0.25">
      <c r="A80" s="24"/>
      <c r="B80" s="24"/>
      <c r="D80" s="24"/>
      <c r="E80" s="24"/>
    </row>
    <row r="81" spans="1:5" ht="15.75" x14ac:dyDescent="0.25">
      <c r="A81" s="24"/>
      <c r="B81" s="24"/>
      <c r="D81" s="24"/>
      <c r="E81" s="24"/>
    </row>
    <row r="82" spans="1:5" ht="15.75" x14ac:dyDescent="0.25">
      <c r="A82" s="24"/>
      <c r="B82" s="24"/>
      <c r="D82" s="24"/>
      <c r="E82" s="24"/>
    </row>
    <row r="83" spans="1:5" ht="15.75" x14ac:dyDescent="0.25">
      <c r="A83" s="24"/>
      <c r="B83" s="24"/>
      <c r="D83" s="24"/>
      <c r="E83" s="24"/>
    </row>
    <row r="84" spans="1:5" ht="15.75" x14ac:dyDescent="0.25">
      <c r="A84" s="25"/>
      <c r="B84" s="24"/>
      <c r="D84" s="24"/>
      <c r="E84" s="24"/>
    </row>
    <row r="85" spans="1:5" ht="15.75" x14ac:dyDescent="0.25">
      <c r="A85" s="25"/>
      <c r="B85" s="24"/>
      <c r="D85" s="24"/>
      <c r="E85" s="24"/>
    </row>
    <row r="86" spans="1:5" ht="15.75" x14ac:dyDescent="0.25">
      <c r="A86" s="25"/>
      <c r="B86" s="24"/>
      <c r="D86" s="24"/>
      <c r="E86" s="24"/>
    </row>
    <row r="87" spans="1:5" ht="15.75" x14ac:dyDescent="0.25">
      <c r="A87" s="25"/>
      <c r="B87" s="24"/>
      <c r="D87" s="24"/>
      <c r="E87" s="24"/>
    </row>
    <row r="88" spans="1:5" ht="15.75" x14ac:dyDescent="0.25">
      <c r="A88" s="25"/>
      <c r="B88" s="24"/>
      <c r="D88" s="25"/>
      <c r="E88" s="24"/>
    </row>
    <row r="89" spans="1:5" ht="15.75" x14ac:dyDescent="0.25">
      <c r="A89" s="25"/>
      <c r="B89" s="24"/>
      <c r="D89" s="25"/>
      <c r="E89" s="24"/>
    </row>
    <row r="90" spans="1:5" ht="15.75" x14ac:dyDescent="0.25">
      <c r="A90" s="25"/>
      <c r="B90" s="24"/>
      <c r="D90" s="25"/>
      <c r="E90" s="24"/>
    </row>
    <row r="91" spans="1:5" ht="15.75" x14ac:dyDescent="0.25">
      <c r="A91" s="25"/>
      <c r="B91" s="24"/>
      <c r="D91" s="25"/>
      <c r="E91" s="24"/>
    </row>
    <row r="92" spans="1:5" ht="15.75" x14ac:dyDescent="0.25">
      <c r="A92" s="25"/>
      <c r="B92" s="24"/>
      <c r="D92" s="25"/>
      <c r="E92" s="24"/>
    </row>
    <row r="93" spans="1:5" ht="15.75" x14ac:dyDescent="0.25">
      <c r="A93" s="25"/>
      <c r="B93" s="24"/>
      <c r="D93" s="25"/>
      <c r="E93" s="24"/>
    </row>
    <row r="94" spans="1:5" ht="15.75" x14ac:dyDescent="0.25">
      <c r="A94" s="25"/>
      <c r="B94" s="24"/>
      <c r="D94" s="25"/>
      <c r="E94" s="24"/>
    </row>
    <row r="95" spans="1:5" ht="15.75" x14ac:dyDescent="0.25">
      <c r="A95" s="25"/>
      <c r="B95" s="24"/>
      <c r="D95" s="25"/>
      <c r="E95" s="24"/>
    </row>
    <row r="96" spans="1:5" ht="15.75" x14ac:dyDescent="0.25">
      <c r="A96" s="25"/>
      <c r="B96" s="24"/>
      <c r="D96" s="25"/>
      <c r="E96" s="24"/>
    </row>
    <row r="97" spans="1:5" ht="15.75" x14ac:dyDescent="0.25">
      <c r="A97" s="25"/>
      <c r="B97" s="24"/>
      <c r="D97" s="25"/>
      <c r="E97" s="24"/>
    </row>
    <row r="98" spans="1:5" ht="15.75" x14ac:dyDescent="0.25">
      <c r="A98" s="25"/>
      <c r="B98" s="24"/>
      <c r="D98" s="25"/>
      <c r="E98" s="24"/>
    </row>
    <row r="99" spans="1:5" ht="15.75" x14ac:dyDescent="0.25">
      <c r="A99" s="25"/>
      <c r="B99" s="24"/>
      <c r="D99" s="25"/>
      <c r="E99" s="24"/>
    </row>
    <row r="100" spans="1:5" ht="15.75" x14ac:dyDescent="0.25">
      <c r="A100" s="25"/>
      <c r="B100" s="24"/>
      <c r="D100" s="25"/>
      <c r="E100" s="24"/>
    </row>
    <row r="101" spans="1:5" ht="15.75" x14ac:dyDescent="0.25">
      <c r="A101" s="25"/>
      <c r="B101" s="24"/>
      <c r="D101" s="25"/>
      <c r="E101" s="24"/>
    </row>
    <row r="102" spans="1:5" ht="15.75" x14ac:dyDescent="0.25">
      <c r="A102" s="25"/>
      <c r="B102" s="24"/>
      <c r="D102" s="25"/>
      <c r="E102" s="24"/>
    </row>
    <row r="103" spans="1:5" ht="15.75" x14ac:dyDescent="0.25">
      <c r="A103" s="25"/>
      <c r="B103" s="24"/>
      <c r="D103" s="25"/>
      <c r="E103" s="24"/>
    </row>
    <row r="104" spans="1:5" ht="15.75" x14ac:dyDescent="0.25">
      <c r="A104" s="25"/>
      <c r="B104" s="24"/>
      <c r="D104" s="25"/>
      <c r="E104" s="24"/>
    </row>
    <row r="105" spans="1:5" ht="15.75" x14ac:dyDescent="0.25">
      <c r="A105" s="25"/>
      <c r="B105" s="24"/>
      <c r="D105" s="25"/>
      <c r="E105" s="24"/>
    </row>
    <row r="106" spans="1:5" ht="15.75" x14ac:dyDescent="0.25">
      <c r="A106" s="25"/>
      <c r="B106" s="24"/>
      <c r="D106" s="25"/>
      <c r="E106" s="24"/>
    </row>
    <row r="107" spans="1:5" ht="15.75" x14ac:dyDescent="0.25">
      <c r="A107" s="25"/>
      <c r="B107" s="24"/>
      <c r="D107" s="25"/>
      <c r="E107" s="24"/>
    </row>
    <row r="108" spans="1:5" ht="15.75" x14ac:dyDescent="0.25">
      <c r="A108" s="25"/>
      <c r="B108" s="24"/>
      <c r="D108" s="25"/>
      <c r="E108" s="24"/>
    </row>
    <row r="109" spans="1:5" ht="15.75" x14ac:dyDescent="0.25">
      <c r="A109" s="25"/>
      <c r="B109" s="24"/>
      <c r="D109" s="25"/>
      <c r="E109" s="24"/>
    </row>
    <row r="110" spans="1:5" ht="15.75" x14ac:dyDescent="0.25">
      <c r="A110" s="25"/>
      <c r="B110" s="24"/>
      <c r="D110" s="25"/>
      <c r="E110" s="24"/>
    </row>
    <row r="111" spans="1:5" ht="15.75" x14ac:dyDescent="0.25">
      <c r="A111" s="25"/>
      <c r="B111" s="24"/>
      <c r="D111" s="25"/>
      <c r="E111" s="24"/>
    </row>
    <row r="112" spans="1:5" ht="15.75" x14ac:dyDescent="0.25">
      <c r="A112" s="25"/>
      <c r="B112" s="24"/>
      <c r="D112" s="25"/>
      <c r="E112" s="24"/>
    </row>
    <row r="113" spans="1:5" ht="15.75" x14ac:dyDescent="0.25">
      <c r="A113" s="25"/>
      <c r="B113" s="24"/>
      <c r="D113" s="25"/>
      <c r="E113" s="24"/>
    </row>
    <row r="114" spans="1:5" ht="15.75" x14ac:dyDescent="0.25">
      <c r="A114" s="25"/>
      <c r="B114" s="24"/>
      <c r="D114" s="25"/>
      <c r="E114" s="24"/>
    </row>
    <row r="115" spans="1:5" ht="15.75" x14ac:dyDescent="0.25">
      <c r="A115" s="25"/>
      <c r="B115" s="24"/>
      <c r="D115" s="25"/>
      <c r="E115" s="24"/>
    </row>
    <row r="116" spans="1:5" ht="15.75" x14ac:dyDescent="0.25">
      <c r="A116" s="25"/>
      <c r="B116" s="24"/>
      <c r="D116" s="25"/>
      <c r="E116" s="24"/>
    </row>
    <row r="117" spans="1:5" ht="15.75" x14ac:dyDescent="0.25">
      <c r="A117" s="25"/>
      <c r="B117" s="24"/>
      <c r="D117" s="25"/>
      <c r="E117" s="24"/>
    </row>
    <row r="118" spans="1:5" ht="15.75" x14ac:dyDescent="0.25">
      <c r="A118" s="25"/>
      <c r="B118" s="24"/>
      <c r="D118" s="25"/>
      <c r="E118" s="24"/>
    </row>
    <row r="119" spans="1:5" ht="15.75" x14ac:dyDescent="0.25">
      <c r="A119" s="25"/>
      <c r="B119" s="24"/>
      <c r="D119" s="25"/>
      <c r="E119" s="24"/>
    </row>
    <row r="120" spans="1:5" ht="15.75" x14ac:dyDescent="0.25">
      <c r="A120" s="25"/>
      <c r="B120" s="24"/>
      <c r="D120" s="25"/>
      <c r="E120" s="24"/>
    </row>
    <row r="121" spans="1:5" ht="15.75" x14ac:dyDescent="0.25">
      <c r="A121" s="25"/>
      <c r="B121" s="24"/>
      <c r="D121" s="25"/>
      <c r="E121" s="24"/>
    </row>
    <row r="122" spans="1:5" ht="15.75" x14ac:dyDescent="0.25">
      <c r="A122" s="25"/>
      <c r="B122" s="24"/>
      <c r="D122" s="25"/>
      <c r="E122" s="24"/>
    </row>
    <row r="123" spans="1:5" ht="15.75" x14ac:dyDescent="0.25">
      <c r="A123" s="25"/>
      <c r="B123" s="24"/>
      <c r="D123" s="25"/>
      <c r="E123" s="24"/>
    </row>
    <row r="124" spans="1:5" ht="15.75" x14ac:dyDescent="0.25">
      <c r="A124" s="25"/>
      <c r="B124" s="24"/>
      <c r="D124" s="25"/>
      <c r="E124" s="24"/>
    </row>
    <row r="125" spans="1:5" ht="15.75" x14ac:dyDescent="0.25">
      <c r="A125" s="25"/>
      <c r="B125" s="24"/>
      <c r="D125" s="25"/>
      <c r="E125" s="24"/>
    </row>
    <row r="126" spans="1:5" ht="15.75" x14ac:dyDescent="0.25">
      <c r="A126" s="25"/>
      <c r="B126" s="24"/>
      <c r="D126" s="25"/>
      <c r="E126" s="24"/>
    </row>
    <row r="127" spans="1:5" ht="15.75" x14ac:dyDescent="0.25">
      <c r="A127" s="25"/>
      <c r="B127" s="24"/>
      <c r="D127" s="25"/>
      <c r="E127" s="24"/>
    </row>
    <row r="128" spans="1:5" ht="15.75" x14ac:dyDescent="0.25">
      <c r="A128" s="25"/>
      <c r="B128" s="24"/>
      <c r="D128" s="25"/>
      <c r="E128" s="24"/>
    </row>
    <row r="129" spans="1:5" ht="15.75" x14ac:dyDescent="0.25">
      <c r="A129" s="25"/>
      <c r="B129" s="24"/>
      <c r="D129" s="25"/>
      <c r="E129" s="24"/>
    </row>
    <row r="130" spans="1:5" ht="15.75" x14ac:dyDescent="0.25">
      <c r="A130" s="25"/>
      <c r="B130" s="24"/>
      <c r="D130" s="25"/>
      <c r="E130" s="24"/>
    </row>
    <row r="131" spans="1:5" ht="15.75" x14ac:dyDescent="0.25">
      <c r="A131" s="25"/>
      <c r="B131" s="24"/>
      <c r="D131" s="25"/>
      <c r="E131" s="24"/>
    </row>
    <row r="132" spans="1:5" ht="15.75" x14ac:dyDescent="0.25">
      <c r="A132" s="25"/>
      <c r="B132" s="24"/>
      <c r="D132" s="25"/>
      <c r="E132" s="24"/>
    </row>
    <row r="133" spans="1:5" ht="15.75" x14ac:dyDescent="0.25">
      <c r="A133" s="25"/>
      <c r="B133" s="24"/>
      <c r="D133" s="25"/>
      <c r="E133" s="24"/>
    </row>
    <row r="134" spans="1:5" ht="15.75" x14ac:dyDescent="0.25">
      <c r="A134" s="25"/>
      <c r="B134" s="24"/>
      <c r="D134" s="25"/>
      <c r="E134" s="24"/>
    </row>
    <row r="135" spans="1:5" ht="15.75" x14ac:dyDescent="0.25">
      <c r="A135" s="25"/>
      <c r="B135" s="24"/>
      <c r="D135" s="25"/>
      <c r="E135" s="24"/>
    </row>
    <row r="136" spans="1:5" ht="15.75" x14ac:dyDescent="0.25">
      <c r="A136" s="25"/>
      <c r="B136" s="24"/>
      <c r="D136" s="25"/>
      <c r="E136" s="24"/>
    </row>
    <row r="137" spans="1:5" ht="15.75" x14ac:dyDescent="0.25">
      <c r="A137" s="25"/>
      <c r="B137" s="24"/>
      <c r="D137" s="25"/>
      <c r="E137" s="24"/>
    </row>
    <row r="138" spans="1:5" ht="15.75" x14ac:dyDescent="0.25">
      <c r="A138" s="25"/>
      <c r="B138" s="24"/>
      <c r="D138" s="25"/>
      <c r="E138" s="24"/>
    </row>
    <row r="139" spans="1:5" ht="15.75" x14ac:dyDescent="0.25">
      <c r="A139" s="25"/>
      <c r="B139" s="24"/>
      <c r="D139" s="25"/>
      <c r="E139" s="24"/>
    </row>
    <row r="140" spans="1:5" ht="15.75" x14ac:dyDescent="0.25">
      <c r="A140" s="25"/>
      <c r="B140" s="24"/>
      <c r="D140" s="25"/>
      <c r="E140" s="24"/>
    </row>
    <row r="141" spans="1:5" ht="15.75" x14ac:dyDescent="0.25">
      <c r="A141" s="25"/>
      <c r="B141" s="24"/>
      <c r="D141" s="25"/>
      <c r="E141" s="24"/>
    </row>
    <row r="142" spans="1:5" ht="15.75" x14ac:dyDescent="0.25">
      <c r="A142" s="25"/>
      <c r="B142" s="24"/>
      <c r="D142" s="25"/>
      <c r="E142" s="24"/>
    </row>
    <row r="143" spans="1:5" ht="15.75" x14ac:dyDescent="0.25">
      <c r="A143" s="25"/>
      <c r="B143" s="24"/>
      <c r="D143" s="25"/>
      <c r="E143" s="24"/>
    </row>
    <row r="144" spans="1:5" ht="15.75" x14ac:dyDescent="0.25">
      <c r="A144" s="25"/>
      <c r="B144" s="24"/>
      <c r="D144" s="25"/>
      <c r="E144" s="24"/>
    </row>
    <row r="145" spans="1:5" ht="15.75" x14ac:dyDescent="0.25">
      <c r="A145" s="25"/>
      <c r="B145" s="24"/>
      <c r="D145" s="25"/>
      <c r="E145" s="24"/>
    </row>
    <row r="146" spans="1:5" ht="15.75" x14ac:dyDescent="0.25">
      <c r="A146" s="25"/>
      <c r="B146" s="24"/>
      <c r="D146" s="25"/>
      <c r="E146" s="24"/>
    </row>
    <row r="147" spans="1:5" ht="15.75" x14ac:dyDescent="0.25">
      <c r="A147" s="25"/>
      <c r="B147" s="24"/>
      <c r="D147" s="25"/>
      <c r="E147" s="24"/>
    </row>
    <row r="148" spans="1:5" ht="15.75" x14ac:dyDescent="0.25">
      <c r="A148" s="25"/>
      <c r="B148" s="24"/>
      <c r="D148" s="25"/>
      <c r="E148" s="24"/>
    </row>
    <row r="149" spans="1:5" ht="15.75" x14ac:dyDescent="0.25">
      <c r="A149" s="25"/>
      <c r="B149" s="24"/>
      <c r="D149" s="25"/>
      <c r="E149" s="24"/>
    </row>
    <row r="150" spans="1:5" ht="15.75" x14ac:dyDescent="0.25">
      <c r="A150" s="25"/>
      <c r="B150" s="24"/>
      <c r="D150" s="25"/>
      <c r="E150" s="24"/>
    </row>
    <row r="151" spans="1:5" ht="15.75" x14ac:dyDescent="0.25">
      <c r="A151" s="25"/>
      <c r="B151" s="24"/>
      <c r="D151" s="25"/>
      <c r="E151" s="24"/>
    </row>
    <row r="152" spans="1:5" ht="15.75" x14ac:dyDescent="0.25">
      <c r="A152" s="25"/>
      <c r="B152" s="24"/>
      <c r="D152" s="25"/>
      <c r="E152" s="24"/>
    </row>
    <row r="153" spans="1:5" ht="15.75" x14ac:dyDescent="0.25">
      <c r="A153" s="25"/>
      <c r="B153" s="24"/>
      <c r="D153" s="25"/>
      <c r="E153" s="24"/>
    </row>
    <row r="154" spans="1:5" ht="15.75" x14ac:dyDescent="0.25">
      <c r="A154" s="25"/>
      <c r="B154" s="24"/>
      <c r="D154" s="25"/>
      <c r="E154" s="24"/>
    </row>
    <row r="155" spans="1:5" ht="15.75" x14ac:dyDescent="0.25">
      <c r="A155" s="25"/>
      <c r="B155" s="24"/>
      <c r="D155" s="25"/>
      <c r="E155" s="24"/>
    </row>
    <row r="156" spans="1:5" ht="15.75" x14ac:dyDescent="0.25">
      <c r="A156" s="25"/>
      <c r="B156" s="24"/>
      <c r="D156" s="25"/>
      <c r="E156" s="24"/>
    </row>
    <row r="157" spans="1:5" ht="15.75" x14ac:dyDescent="0.25">
      <c r="A157" s="25"/>
      <c r="B157" s="24"/>
      <c r="D157" s="25"/>
      <c r="E157" s="24"/>
    </row>
    <row r="158" spans="1:5" ht="15.75" x14ac:dyDescent="0.25">
      <c r="A158" s="25"/>
      <c r="B158" s="24"/>
      <c r="D158" s="25"/>
      <c r="E158" s="24"/>
    </row>
    <row r="159" spans="1:5" ht="15.75" x14ac:dyDescent="0.25">
      <c r="A159" s="25"/>
      <c r="B159" s="24"/>
      <c r="D159" s="25"/>
      <c r="E159" s="24"/>
    </row>
    <row r="160" spans="1:5" ht="15.75" x14ac:dyDescent="0.25">
      <c r="A160" s="25"/>
      <c r="B160" s="24"/>
      <c r="D160" s="25"/>
      <c r="E160" s="24"/>
    </row>
    <row r="161" spans="1:5" ht="15.75" x14ac:dyDescent="0.25">
      <c r="A161" s="25"/>
      <c r="B161" s="24"/>
      <c r="D161" s="25"/>
      <c r="E161" s="24"/>
    </row>
    <row r="162" spans="1:5" ht="15.75" x14ac:dyDescent="0.25">
      <c r="A162" s="25"/>
      <c r="B162" s="24"/>
      <c r="D162" s="25"/>
      <c r="E162" s="24"/>
    </row>
    <row r="163" spans="1:5" ht="15.75" x14ac:dyDescent="0.25">
      <c r="A163" s="25"/>
      <c r="B163" s="24"/>
      <c r="D163" s="25"/>
      <c r="E163" s="24"/>
    </row>
    <row r="164" spans="1:5" ht="15.75" x14ac:dyDescent="0.25">
      <c r="A164" s="25"/>
      <c r="B164" s="24"/>
      <c r="D164" s="25"/>
      <c r="E164" s="24"/>
    </row>
    <row r="165" spans="1:5" ht="15.75" x14ac:dyDescent="0.25">
      <c r="A165" s="25"/>
      <c r="B165" s="24"/>
      <c r="D165" s="25"/>
      <c r="E165" s="24"/>
    </row>
    <row r="166" spans="1:5" ht="15.75" x14ac:dyDescent="0.25">
      <c r="A166" s="25"/>
      <c r="B166" s="24"/>
      <c r="D166" s="25"/>
      <c r="E166" s="24"/>
    </row>
    <row r="167" spans="1:5" ht="15.75" x14ac:dyDescent="0.25">
      <c r="A167" s="25"/>
      <c r="B167" s="24"/>
      <c r="D167" s="25"/>
      <c r="E167" s="24"/>
    </row>
    <row r="168" spans="1:5" ht="15.75" x14ac:dyDescent="0.25">
      <c r="A168" s="25"/>
      <c r="B168" s="24"/>
      <c r="D168" s="25"/>
      <c r="E168" s="24"/>
    </row>
    <row r="169" spans="1:5" ht="15.75" x14ac:dyDescent="0.25">
      <c r="A169" s="25"/>
      <c r="B169" s="24"/>
      <c r="D169" s="25"/>
      <c r="E169" s="24"/>
    </row>
    <row r="170" spans="1:5" ht="15.75" x14ac:dyDescent="0.25">
      <c r="A170" s="25"/>
      <c r="B170" s="24"/>
      <c r="D170" s="25"/>
      <c r="E170" s="24"/>
    </row>
    <row r="171" spans="1:5" ht="15.75" x14ac:dyDescent="0.25">
      <c r="A171" s="25"/>
      <c r="B171" s="24"/>
      <c r="D171" s="25"/>
      <c r="E171" s="24"/>
    </row>
    <row r="172" spans="1:5" ht="15.75" x14ac:dyDescent="0.25">
      <c r="A172" s="25"/>
      <c r="B172" s="24"/>
      <c r="D172" s="25"/>
      <c r="E172" s="24"/>
    </row>
    <row r="173" spans="1:5" ht="15.75" x14ac:dyDescent="0.25">
      <c r="A173" s="25"/>
      <c r="B173" s="24"/>
      <c r="D173" s="25"/>
      <c r="E173" s="24"/>
    </row>
    <row r="174" spans="1:5" ht="15.75" x14ac:dyDescent="0.25">
      <c r="A174" s="25"/>
      <c r="B174" s="24"/>
      <c r="D174" s="25"/>
      <c r="E174" s="24"/>
    </row>
    <row r="175" spans="1:5" ht="15.75" x14ac:dyDescent="0.25">
      <c r="A175" s="25"/>
      <c r="B175" s="24"/>
      <c r="D175" s="25"/>
      <c r="E175" s="24"/>
    </row>
    <row r="176" spans="1:5" ht="15.75" x14ac:dyDescent="0.25">
      <c r="A176" s="25"/>
      <c r="B176" s="24"/>
      <c r="D176" s="25"/>
      <c r="E176" s="24"/>
    </row>
    <row r="177" spans="1:5" ht="15.75" x14ac:dyDescent="0.25">
      <c r="A177" s="25"/>
      <c r="B177" s="24"/>
      <c r="D177" s="25"/>
      <c r="E177" s="24"/>
    </row>
    <row r="178" spans="1:5" ht="15.75" x14ac:dyDescent="0.25">
      <c r="A178" s="25"/>
      <c r="B178" s="24"/>
      <c r="D178" s="25"/>
      <c r="E178" s="24"/>
    </row>
    <row r="179" spans="1:5" ht="15.75" x14ac:dyDescent="0.25">
      <c r="A179" s="25"/>
      <c r="B179" s="24"/>
      <c r="D179" s="25"/>
      <c r="E179" s="24"/>
    </row>
    <row r="180" spans="1:5" ht="15.75" x14ac:dyDescent="0.25">
      <c r="A180" s="25"/>
      <c r="B180" s="24"/>
      <c r="D180" s="25"/>
      <c r="E180" s="24"/>
    </row>
    <row r="181" spans="1:5" ht="15.75" x14ac:dyDescent="0.25">
      <c r="A181" s="25"/>
      <c r="B181" s="24"/>
      <c r="D181" s="25"/>
      <c r="E181" s="24"/>
    </row>
    <row r="182" spans="1:5" ht="15.75" x14ac:dyDescent="0.25">
      <c r="A182" s="25"/>
      <c r="B182" s="24"/>
      <c r="D182" s="25"/>
      <c r="E182" s="24"/>
    </row>
    <row r="183" spans="1:5" ht="15.75" x14ac:dyDescent="0.25">
      <c r="A183" s="25"/>
      <c r="B183" s="24"/>
      <c r="D183" s="25"/>
      <c r="E183" s="24"/>
    </row>
    <row r="184" spans="1:5" ht="15.75" x14ac:dyDescent="0.25">
      <c r="A184" s="25"/>
      <c r="B184" s="24"/>
      <c r="D184" s="25"/>
      <c r="E184" s="24"/>
    </row>
    <row r="185" spans="1:5" ht="15.75" x14ac:dyDescent="0.25">
      <c r="A185" s="25"/>
      <c r="B185" s="24"/>
      <c r="D185" s="25"/>
      <c r="E185" s="24"/>
    </row>
    <row r="186" spans="1:5" ht="15.75" x14ac:dyDescent="0.25">
      <c r="A186" s="25"/>
      <c r="B186" s="24"/>
      <c r="D186" s="25"/>
      <c r="E186" s="24"/>
    </row>
    <row r="187" spans="1:5" ht="15.75" x14ac:dyDescent="0.25">
      <c r="A187" s="25"/>
      <c r="B187" s="24"/>
      <c r="D187" s="25"/>
      <c r="E187" s="24"/>
    </row>
    <row r="188" spans="1:5" ht="15.75" x14ac:dyDescent="0.25">
      <c r="A188" s="25"/>
      <c r="B188" s="24"/>
      <c r="D188" s="25"/>
      <c r="E188" s="24"/>
    </row>
    <row r="189" spans="1:5" ht="15.75" x14ac:dyDescent="0.25">
      <c r="A189" s="25"/>
      <c r="B189" s="24"/>
      <c r="D189" s="25"/>
      <c r="E189" s="24"/>
    </row>
    <row r="190" spans="1:5" ht="15.75" x14ac:dyDescent="0.25">
      <c r="A190" s="25"/>
      <c r="B190" s="24"/>
      <c r="D190" s="25"/>
      <c r="E190" s="24"/>
    </row>
    <row r="191" spans="1:5" ht="15.75" x14ac:dyDescent="0.25">
      <c r="A191" s="25"/>
      <c r="B191" s="24"/>
      <c r="D191" s="25"/>
      <c r="E191" s="24"/>
    </row>
    <row r="192" spans="1:5" ht="15.75" x14ac:dyDescent="0.25">
      <c r="A192" s="25"/>
      <c r="B192" s="24"/>
      <c r="D192" s="25"/>
      <c r="E192" s="24"/>
    </row>
    <row r="193" spans="1:5" ht="15.75" x14ac:dyDescent="0.25">
      <c r="A193" s="25"/>
      <c r="B193" s="24"/>
      <c r="D193" s="25"/>
      <c r="E193" s="24"/>
    </row>
    <row r="194" spans="1:5" ht="15.75" x14ac:dyDescent="0.25">
      <c r="A194" s="25"/>
      <c r="B194" s="24"/>
      <c r="D194" s="25"/>
      <c r="E194" s="24"/>
    </row>
    <row r="195" spans="1:5" ht="15.75" x14ac:dyDescent="0.25">
      <c r="A195" s="25"/>
      <c r="B195" s="24"/>
      <c r="D195" s="25"/>
      <c r="E195" s="24"/>
    </row>
    <row r="196" spans="1:5" ht="15.75" x14ac:dyDescent="0.25">
      <c r="A196" s="25"/>
      <c r="B196" s="24"/>
      <c r="D196" s="25"/>
      <c r="E196" s="24"/>
    </row>
    <row r="197" spans="1:5" ht="15.75" x14ac:dyDescent="0.25">
      <c r="A197" s="25"/>
      <c r="B197" s="24"/>
      <c r="D197" s="25"/>
      <c r="E197" s="24"/>
    </row>
    <row r="198" spans="1:5" ht="15.75" x14ac:dyDescent="0.25">
      <c r="A198" s="25"/>
      <c r="B198" s="24"/>
      <c r="D198" s="25"/>
      <c r="E198" s="24"/>
    </row>
    <row r="199" spans="1:5" ht="15.75" x14ac:dyDescent="0.25">
      <c r="A199" s="25"/>
      <c r="B199" s="24"/>
      <c r="D199" s="25"/>
      <c r="E199" s="24"/>
    </row>
    <row r="200" spans="1:5" ht="15.75" x14ac:dyDescent="0.25">
      <c r="A200" s="25"/>
      <c r="B200" s="24"/>
      <c r="D200" s="25"/>
      <c r="E200" s="24"/>
    </row>
    <row r="201" spans="1:5" ht="15.75" x14ac:dyDescent="0.25">
      <c r="A201" s="25"/>
      <c r="B201" s="24"/>
      <c r="D201" s="25"/>
      <c r="E201" s="24"/>
    </row>
    <row r="202" spans="1:5" ht="15.75" x14ac:dyDescent="0.25">
      <c r="A202" s="25"/>
      <c r="B202" s="24"/>
      <c r="D202" s="25"/>
      <c r="E202" s="24"/>
    </row>
    <row r="203" spans="1:5" ht="15.75" x14ac:dyDescent="0.25">
      <c r="A203" s="25"/>
      <c r="B203" s="24"/>
      <c r="D203" s="25"/>
      <c r="E203" s="24"/>
    </row>
    <row r="204" spans="1:5" ht="15.75" x14ac:dyDescent="0.25">
      <c r="A204" s="25"/>
      <c r="B204" s="24"/>
      <c r="D204" s="25"/>
      <c r="E204" s="24"/>
    </row>
    <row r="205" spans="1:5" ht="15.75" x14ac:dyDescent="0.25">
      <c r="A205" s="25"/>
      <c r="B205" s="24"/>
      <c r="D205" s="25"/>
      <c r="E205" s="24"/>
    </row>
    <row r="206" spans="1:5" ht="15.75" x14ac:dyDescent="0.25">
      <c r="A206" s="25"/>
      <c r="B206" s="24"/>
      <c r="D206" s="25"/>
      <c r="E206" s="24"/>
    </row>
    <row r="207" spans="1:5" ht="15.75" x14ac:dyDescent="0.25">
      <c r="A207" s="25"/>
      <c r="B207" s="24"/>
      <c r="D207" s="25"/>
      <c r="E207" s="24"/>
    </row>
    <row r="208" spans="1:5" ht="15.75" x14ac:dyDescent="0.25">
      <c r="A208" s="25"/>
      <c r="B208" s="24"/>
      <c r="D208" s="25"/>
      <c r="E208" s="24"/>
    </row>
    <row r="209" spans="1:5" ht="15.75" x14ac:dyDescent="0.25">
      <c r="A209" s="25"/>
      <c r="B209" s="24"/>
      <c r="D209" s="25"/>
      <c r="E209" s="24"/>
    </row>
    <row r="210" spans="1:5" ht="15.75" x14ac:dyDescent="0.25">
      <c r="A210" s="25"/>
      <c r="B210" s="24"/>
      <c r="D210" s="25"/>
      <c r="E210" s="24"/>
    </row>
    <row r="211" spans="1:5" ht="15.75" x14ac:dyDescent="0.25">
      <c r="A211" s="25"/>
      <c r="B211" s="24"/>
      <c r="D211" s="25"/>
      <c r="E211" s="24"/>
    </row>
    <row r="212" spans="1:5" ht="15.75" x14ac:dyDescent="0.25">
      <c r="A212" s="25"/>
      <c r="B212" s="24"/>
      <c r="D212" s="25"/>
      <c r="E212" s="24"/>
    </row>
    <row r="213" spans="1:5" ht="15.75" x14ac:dyDescent="0.25">
      <c r="A213" s="25"/>
      <c r="B213" s="24"/>
      <c r="D213" s="25"/>
      <c r="E213" s="24"/>
    </row>
    <row r="214" spans="1:5" ht="15.75" x14ac:dyDescent="0.25">
      <c r="A214" s="25"/>
      <c r="B214" s="24"/>
      <c r="D214" s="25"/>
      <c r="E214" s="24"/>
    </row>
    <row r="215" spans="1:5" ht="15.75" x14ac:dyDescent="0.25">
      <c r="A215" s="25"/>
      <c r="B215" s="24"/>
      <c r="D215" s="25"/>
      <c r="E215" s="24"/>
    </row>
    <row r="216" spans="1:5" ht="15.75" x14ac:dyDescent="0.25">
      <c r="A216" s="25"/>
      <c r="B216" s="24"/>
      <c r="D216" s="25"/>
      <c r="E216" s="24"/>
    </row>
    <row r="217" spans="1:5" ht="15.75" x14ac:dyDescent="0.25">
      <c r="A217" s="25"/>
      <c r="B217" s="24"/>
      <c r="D217" s="25"/>
      <c r="E217" s="24"/>
    </row>
    <row r="218" spans="1:5" ht="15.75" x14ac:dyDescent="0.25">
      <c r="A218" s="25"/>
      <c r="B218" s="24"/>
      <c r="D218" s="25"/>
      <c r="E218" s="24"/>
    </row>
    <row r="219" spans="1:5" ht="15.75" x14ac:dyDescent="0.25">
      <c r="A219" s="25"/>
      <c r="B219" s="24"/>
      <c r="D219" s="25"/>
      <c r="E219" s="24"/>
    </row>
    <row r="220" spans="1:5" ht="15.75" x14ac:dyDescent="0.25">
      <c r="A220" s="25"/>
      <c r="B220" s="24"/>
      <c r="D220" s="25"/>
      <c r="E220" s="24"/>
    </row>
    <row r="221" spans="1:5" ht="15.75" x14ac:dyDescent="0.25">
      <c r="A221" s="25"/>
      <c r="B221" s="24"/>
      <c r="D221" s="25"/>
      <c r="E221" s="24"/>
    </row>
    <row r="222" spans="1:5" ht="15.75" x14ac:dyDescent="0.25">
      <c r="A222" s="25"/>
      <c r="B222" s="24"/>
      <c r="D222" s="25"/>
      <c r="E222" s="24"/>
    </row>
    <row r="223" spans="1:5" ht="15.75" x14ac:dyDescent="0.25">
      <c r="A223" s="25"/>
      <c r="B223" s="24"/>
      <c r="D223" s="25"/>
      <c r="E223" s="24"/>
    </row>
    <row r="224" spans="1:5" ht="15.75" x14ac:dyDescent="0.25">
      <c r="A224" s="25"/>
      <c r="B224" s="24"/>
      <c r="D224" s="25"/>
      <c r="E224" s="24"/>
    </row>
    <row r="225" spans="1:5" ht="15.75" x14ac:dyDescent="0.25">
      <c r="A225" s="25"/>
      <c r="B225" s="24"/>
      <c r="D225" s="25"/>
      <c r="E225" s="24"/>
    </row>
    <row r="226" spans="1:5" ht="15.75" x14ac:dyDescent="0.25">
      <c r="A226" s="25"/>
      <c r="B226" s="24"/>
      <c r="D226" s="25"/>
      <c r="E226" s="24"/>
    </row>
    <row r="227" spans="1:5" ht="15.75" x14ac:dyDescent="0.25">
      <c r="A227" s="25"/>
      <c r="B227" s="24"/>
      <c r="D227" s="25"/>
      <c r="E227" s="24"/>
    </row>
    <row r="228" spans="1:5" ht="15.75" x14ac:dyDescent="0.25">
      <c r="A228" s="25"/>
      <c r="B228" s="24"/>
      <c r="D228" s="25"/>
      <c r="E228" s="24"/>
    </row>
    <row r="229" spans="1:5" ht="15.75" x14ac:dyDescent="0.25">
      <c r="A229" s="25"/>
      <c r="B229" s="24"/>
      <c r="D229" s="25"/>
      <c r="E229" s="24"/>
    </row>
    <row r="230" spans="1:5" ht="15.75" x14ac:dyDescent="0.25">
      <c r="A230" s="25"/>
      <c r="B230" s="24"/>
      <c r="D230" s="25"/>
      <c r="E230" s="24"/>
    </row>
    <row r="231" spans="1:5" ht="15.75" x14ac:dyDescent="0.25">
      <c r="A231" s="25"/>
      <c r="B231" s="24"/>
      <c r="D231" s="25"/>
      <c r="E231" s="24"/>
    </row>
    <row r="232" spans="1:5" ht="15.75" x14ac:dyDescent="0.25">
      <c r="A232" s="25"/>
      <c r="B232" s="24"/>
      <c r="D232" s="25"/>
      <c r="E232" s="24"/>
    </row>
    <row r="233" spans="1:5" ht="15.75" x14ac:dyDescent="0.25">
      <c r="A233" s="25"/>
      <c r="B233" s="24"/>
      <c r="D233" s="25"/>
      <c r="E233" s="24"/>
    </row>
    <row r="234" spans="1:5" ht="15.75" x14ac:dyDescent="0.25">
      <c r="A234" s="25"/>
      <c r="B234" s="24"/>
      <c r="D234" s="25"/>
      <c r="E234" s="24"/>
    </row>
    <row r="235" spans="1:5" ht="15.75" x14ac:dyDescent="0.25">
      <c r="A235" s="25"/>
      <c r="B235" s="24"/>
      <c r="D235" s="25"/>
      <c r="E235" s="24"/>
    </row>
    <row r="236" spans="1:5" ht="15.75" x14ac:dyDescent="0.25">
      <c r="A236" s="25"/>
      <c r="B236" s="24"/>
      <c r="D236" s="25"/>
      <c r="E236" s="24"/>
    </row>
    <row r="237" spans="1:5" ht="15.75" x14ac:dyDescent="0.25">
      <c r="A237" s="25"/>
      <c r="B237" s="24"/>
      <c r="D237" s="25"/>
      <c r="E237" s="24"/>
    </row>
    <row r="238" spans="1:5" ht="15.75" x14ac:dyDescent="0.25">
      <c r="A238" s="25"/>
      <c r="B238" s="24"/>
      <c r="D238" s="25"/>
      <c r="E238" s="24"/>
    </row>
    <row r="239" spans="1:5" ht="15.75" x14ac:dyDescent="0.25">
      <c r="A239" s="25"/>
      <c r="B239" s="24"/>
      <c r="D239" s="25"/>
      <c r="E239" s="24"/>
    </row>
    <row r="240" spans="1:5" ht="15.75" x14ac:dyDescent="0.25">
      <c r="A240" s="25"/>
      <c r="B240" s="24"/>
      <c r="D240" s="25"/>
      <c r="E240" s="24"/>
    </row>
    <row r="241" spans="1:5" ht="15.75" x14ac:dyDescent="0.25">
      <c r="A241" s="25"/>
      <c r="B241" s="24"/>
      <c r="D241" s="25"/>
      <c r="E241" s="24"/>
    </row>
    <row r="242" spans="1:5" ht="15.75" x14ac:dyDescent="0.25">
      <c r="B242" s="26"/>
      <c r="D242" s="25"/>
      <c r="E242" s="24"/>
    </row>
    <row r="243" spans="1:5" ht="15.75" x14ac:dyDescent="0.25">
      <c r="B243" s="26"/>
      <c r="D243" s="25"/>
      <c r="E243" s="24"/>
    </row>
    <row r="244" spans="1:5" ht="15.75" x14ac:dyDescent="0.25">
      <c r="B244" s="26"/>
      <c r="D244" s="25"/>
      <c r="E244" s="24"/>
    </row>
    <row r="245" spans="1:5" ht="15.75" x14ac:dyDescent="0.25">
      <c r="B245" s="26"/>
      <c r="D245" s="25"/>
      <c r="E245" s="24"/>
    </row>
    <row r="246" spans="1:5" x14ac:dyDescent="0.25">
      <c r="B246" s="26"/>
      <c r="E246" s="26"/>
    </row>
    <row r="247" spans="1:5" x14ac:dyDescent="0.25">
      <c r="B247" s="26"/>
      <c r="E247" s="26"/>
    </row>
    <row r="248" spans="1:5" x14ac:dyDescent="0.25">
      <c r="E248" s="26"/>
    </row>
    <row r="249" spans="1:5" x14ac:dyDescent="0.25">
      <c r="E249" s="26"/>
    </row>
    <row r="250" spans="1:5" x14ac:dyDescent="0.25">
      <c r="E250" s="26"/>
    </row>
    <row r="251" spans="1:5" x14ac:dyDescent="0.25">
      <c r="E251" s="26"/>
    </row>
  </sheetData>
  <mergeCells count="7">
    <mergeCell ref="D48:D49"/>
    <mergeCell ref="A2:B2"/>
    <mergeCell ref="D2:E2"/>
    <mergeCell ref="A3:B3"/>
    <mergeCell ref="D3:E3"/>
    <mergeCell ref="D28:D29"/>
    <mergeCell ref="A44:A45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472DE5-A6BD-4D9D-A83E-0A8E00ED00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24</vt:i4>
      </vt:variant>
      <vt:variant>
        <vt:lpstr>Intervalos Nomeados</vt:lpstr>
      </vt:variant>
      <vt:variant>
        <vt:i4>22</vt:i4>
      </vt:variant>
    </vt:vector>
  </HeadingPairs>
  <TitlesOfParts>
    <vt:vector size="46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matriz</vt:lpstr>
      <vt:lpstr>BASE</vt:lpstr>
      <vt:lpstr>endereço filiais</vt:lpstr>
      <vt:lpstr>'01'!Area_de_impressao</vt:lpstr>
      <vt:lpstr>'02'!Area_de_impressao</vt:lpstr>
      <vt:lpstr>'03'!Area_de_impressao</vt:lpstr>
      <vt:lpstr>'04'!Area_de_impressao</vt:lpstr>
      <vt:lpstr>'05'!Area_de_impressao</vt:lpstr>
      <vt:lpstr>'06'!Area_de_impressao</vt:lpstr>
      <vt:lpstr>'07'!Area_de_impressao</vt:lpstr>
      <vt:lpstr>'08'!Area_de_impressao</vt:lpstr>
      <vt:lpstr>'09'!Area_de_impressao</vt:lpstr>
      <vt:lpstr>'10'!Area_de_impressao</vt:lpstr>
      <vt:lpstr>'11'!Area_de_impressao</vt:lpstr>
      <vt:lpstr>'12'!Area_de_impressao</vt:lpstr>
      <vt:lpstr>'13'!Area_de_impressao</vt:lpstr>
      <vt:lpstr>'14'!Area_de_impressao</vt:lpstr>
      <vt:lpstr>'15'!Area_de_impressao</vt:lpstr>
      <vt:lpstr>'16'!Area_de_impressao</vt:lpstr>
      <vt:lpstr>'17'!Area_de_impressao</vt:lpstr>
      <vt:lpstr>'18'!Area_de_impressao</vt:lpstr>
      <vt:lpstr>'19'!Area_de_impressao</vt:lpstr>
      <vt:lpstr>'20'!Area_de_impressao</vt:lpstr>
      <vt:lpstr>'21'!Area_de_impressao</vt:lpstr>
      <vt:lpstr>matriz!Area_de_impressao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WIliam  Souza Cortes dso Santos</dc:creator>
  <cp:lastModifiedBy>WIliam  Souza Cortes dso Santos</cp:lastModifiedBy>
  <dcterms:created xsi:type="dcterms:W3CDTF">2026-02-14T02:07:13Z</dcterms:created>
  <dcterms:modified xsi:type="dcterms:W3CDTF">2026-05-21T09:06:01Z</dcterms:modified>
</cp:coreProperties>
</file>