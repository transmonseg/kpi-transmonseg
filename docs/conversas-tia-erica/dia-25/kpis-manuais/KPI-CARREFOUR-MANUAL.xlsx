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TRANSMONSEG\BENASSI\KPIS\Maio\"/>
    </mc:Choice>
  </mc:AlternateContent>
  <xr:revisionPtr revIDLastSave="0" documentId="13_ncr:1_{36666087-2AB3-4B5C-8B53-47800F296FE7}" xr6:coauthVersionLast="47" xr6:coauthVersionMax="47" xr10:uidLastSave="{00000000-0000-0000-0000-000000000000}"/>
  <bookViews>
    <workbookView xWindow="14295" yWindow="0" windowWidth="14610" windowHeight="15585" firstSheet="10" activeTab="20" xr2:uid="{F63E6018-D765-4769-AA45-1518F94AC87F}"/>
  </bookViews>
  <sheets>
    <sheet name="02" sheetId="16" r:id="rId1"/>
    <sheet name="04" sheetId="17" r:id="rId2"/>
    <sheet name="05" sheetId="18" r:id="rId3"/>
    <sheet name="06" sheetId="19" r:id="rId4"/>
    <sheet name="07" sheetId="20" r:id="rId5"/>
    <sheet name="08" sheetId="21" r:id="rId6"/>
    <sheet name="09" sheetId="22" r:id="rId7"/>
    <sheet name="11" sheetId="23" r:id="rId8"/>
    <sheet name="12" sheetId="24" r:id="rId9"/>
    <sheet name="13" sheetId="25" r:id="rId10"/>
    <sheet name="14" sheetId="26" r:id="rId11"/>
    <sheet name="15" sheetId="27" r:id="rId12"/>
    <sheet name="16" sheetId="28" r:id="rId13"/>
    <sheet name="18" sheetId="29" r:id="rId14"/>
    <sheet name="19" sheetId="30" r:id="rId15"/>
    <sheet name="20" sheetId="31" r:id="rId16"/>
    <sheet name="21" sheetId="32" r:id="rId17"/>
    <sheet name="22" sheetId="33" r:id="rId18"/>
    <sheet name="23" sheetId="34" r:id="rId19"/>
    <sheet name="25" sheetId="35" r:id="rId20"/>
    <sheet name="26" sheetId="36" r:id="rId21"/>
    <sheet name="matriz" sheetId="15" r:id="rId22"/>
  </sheets>
  <definedNames>
    <definedName name="_xlnm._FilterDatabase" localSheetId="0" hidden="1">'02'!$A$3:$M$15</definedName>
    <definedName name="_xlnm._FilterDatabase" localSheetId="1" hidden="1">'04'!$A$3:$M$15</definedName>
    <definedName name="_xlnm._FilterDatabase" localSheetId="2" hidden="1">'05'!$A$3:$M$15</definedName>
    <definedName name="_xlnm._FilterDatabase" localSheetId="3" hidden="1">'06'!$A$3:$M$15</definedName>
    <definedName name="_xlnm._FilterDatabase" localSheetId="4" hidden="1">'07'!$A$3:$M$15</definedName>
    <definedName name="_xlnm._FilterDatabase" localSheetId="5" hidden="1">'08'!$A$3:$M$15</definedName>
    <definedName name="_xlnm._FilterDatabase" localSheetId="6" hidden="1">'09'!$A$3:$M$15</definedName>
    <definedName name="_xlnm._FilterDatabase" localSheetId="7" hidden="1">'11'!$A$3:$M$15</definedName>
    <definedName name="_xlnm._FilterDatabase" localSheetId="8" hidden="1">'12'!$A$3:$M$15</definedName>
    <definedName name="_xlnm._FilterDatabase" localSheetId="9" hidden="1">'13'!$A$3:$M$15</definedName>
    <definedName name="_xlnm._FilterDatabase" localSheetId="10" hidden="1">'14'!$A$3:$M$15</definedName>
    <definedName name="_xlnm._FilterDatabase" localSheetId="11" hidden="1">'15'!$A$3:$M$15</definedName>
    <definedName name="_xlnm._FilterDatabase" localSheetId="12" hidden="1">'16'!$A$3:$M$15</definedName>
    <definedName name="_xlnm._FilterDatabase" localSheetId="13" hidden="1">'18'!$A$3:$M$15</definedName>
    <definedName name="_xlnm._FilterDatabase" localSheetId="14" hidden="1">'19'!$A$3:$M$15</definedName>
    <definedName name="_xlnm._FilterDatabase" localSheetId="15" hidden="1">'20'!$A$3:$M$15</definedName>
    <definedName name="_xlnm._FilterDatabase" localSheetId="16" hidden="1">'21'!$A$3:$M$15</definedName>
    <definedName name="_xlnm._FilterDatabase" localSheetId="17" hidden="1">'22'!$A$3:$M$15</definedName>
    <definedName name="_xlnm._FilterDatabase" localSheetId="18" hidden="1">'23'!$A$3:$M$15</definedName>
    <definedName name="_xlnm._FilterDatabase" localSheetId="19" hidden="1">'25'!$A$3:$M$15</definedName>
    <definedName name="_xlnm._FilterDatabase" localSheetId="20" hidden="1">'26'!$A$3:$M$15</definedName>
    <definedName name="_xlnm._FilterDatabase" localSheetId="21" hidden="1">matriz!$A$3:$M$15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36" l="1"/>
  <c r="O15" i="36" l="1"/>
  <c r="N15" i="36"/>
  <c r="O14" i="36"/>
  <c r="N14" i="36"/>
  <c r="O13" i="36"/>
  <c r="N13" i="36"/>
  <c r="O12" i="36"/>
  <c r="N12" i="36"/>
  <c r="O11" i="36"/>
  <c r="O10" i="36"/>
  <c r="N10" i="36"/>
  <c r="O9" i="36"/>
  <c r="N9" i="36"/>
  <c r="O8" i="36"/>
  <c r="N8" i="36"/>
  <c r="O7" i="36"/>
  <c r="N7" i="36"/>
  <c r="O6" i="36"/>
  <c r="N6" i="36"/>
  <c r="O5" i="36"/>
  <c r="N5" i="36"/>
  <c r="O15" i="35" l="1"/>
  <c r="N15" i="35"/>
  <c r="O14" i="35"/>
  <c r="N14" i="35"/>
  <c r="O13" i="35"/>
  <c r="N13" i="35"/>
  <c r="O12" i="35"/>
  <c r="N12" i="35"/>
  <c r="O11" i="35"/>
  <c r="N11" i="35"/>
  <c r="O10" i="35"/>
  <c r="N10" i="35"/>
  <c r="O9" i="35"/>
  <c r="N9" i="35"/>
  <c r="O8" i="35"/>
  <c r="N8" i="35"/>
  <c r="O7" i="35"/>
  <c r="N7" i="35"/>
  <c r="O6" i="35"/>
  <c r="N6" i="35"/>
  <c r="O5" i="35"/>
  <c r="N5" i="35"/>
  <c r="O15" i="34" l="1"/>
  <c r="N15" i="34"/>
  <c r="O14" i="34"/>
  <c r="N14" i="34"/>
  <c r="O13" i="34"/>
  <c r="N13" i="34"/>
  <c r="O12" i="34"/>
  <c r="N12" i="34"/>
  <c r="O11" i="34"/>
  <c r="N11" i="34"/>
  <c r="O10" i="34"/>
  <c r="N10" i="34"/>
  <c r="O9" i="34"/>
  <c r="N9" i="34"/>
  <c r="O8" i="34"/>
  <c r="N8" i="34"/>
  <c r="O7" i="34"/>
  <c r="N7" i="34"/>
  <c r="O6" i="34"/>
  <c r="N6" i="34"/>
  <c r="O5" i="34"/>
  <c r="N5" i="34"/>
  <c r="O15" i="33" l="1"/>
  <c r="N15" i="33"/>
  <c r="O14" i="33"/>
  <c r="N14" i="33"/>
  <c r="O13" i="33"/>
  <c r="N13" i="33"/>
  <c r="O12" i="33"/>
  <c r="N12" i="33"/>
  <c r="O11" i="33"/>
  <c r="N11" i="33"/>
  <c r="O10" i="33"/>
  <c r="N10" i="33"/>
  <c r="O9" i="33"/>
  <c r="N9" i="33"/>
  <c r="O8" i="33"/>
  <c r="N8" i="33"/>
  <c r="O7" i="33"/>
  <c r="N7" i="33"/>
  <c r="O6" i="33"/>
  <c r="N6" i="33"/>
  <c r="O5" i="33"/>
  <c r="N5" i="33"/>
  <c r="O15" i="32" l="1"/>
  <c r="N15" i="32"/>
  <c r="O14" i="32"/>
  <c r="N14" i="32"/>
  <c r="O13" i="32"/>
  <c r="N13" i="32"/>
  <c r="O12" i="32"/>
  <c r="N12" i="32"/>
  <c r="O11" i="32"/>
  <c r="N11" i="32"/>
  <c r="O10" i="32"/>
  <c r="N10" i="32"/>
  <c r="O9" i="32"/>
  <c r="N9" i="32"/>
  <c r="O8" i="32"/>
  <c r="N8" i="32"/>
  <c r="O7" i="32"/>
  <c r="N7" i="32"/>
  <c r="O6" i="32"/>
  <c r="N6" i="32"/>
  <c r="O5" i="32"/>
  <c r="N5" i="32"/>
  <c r="O14" i="31" l="1"/>
  <c r="N14" i="31"/>
  <c r="O13" i="31"/>
  <c r="N13" i="31"/>
  <c r="O12" i="31"/>
  <c r="N12" i="31"/>
  <c r="O11" i="31"/>
  <c r="N11" i="31"/>
  <c r="O10" i="31"/>
  <c r="N10" i="31"/>
  <c r="O9" i="31"/>
  <c r="N9" i="31"/>
  <c r="O8" i="31"/>
  <c r="N8" i="31"/>
  <c r="O7" i="31"/>
  <c r="N7" i="31"/>
  <c r="O6" i="31"/>
  <c r="N6" i="31"/>
  <c r="O5" i="31"/>
  <c r="N5" i="31"/>
  <c r="O15" i="30" l="1"/>
  <c r="N15" i="30"/>
  <c r="O14" i="30"/>
  <c r="N14" i="30"/>
  <c r="O13" i="30"/>
  <c r="N13" i="30"/>
  <c r="O12" i="30"/>
  <c r="N12" i="30"/>
  <c r="O11" i="30"/>
  <c r="N11" i="30"/>
  <c r="O10" i="30"/>
  <c r="N10" i="30"/>
  <c r="O9" i="30"/>
  <c r="N9" i="30"/>
  <c r="O8" i="30"/>
  <c r="N8" i="30"/>
  <c r="O7" i="30"/>
  <c r="N7" i="30"/>
  <c r="O6" i="30"/>
  <c r="N6" i="30"/>
  <c r="O5" i="30"/>
  <c r="N5" i="30"/>
  <c r="O15" i="29" l="1"/>
  <c r="N15" i="29"/>
  <c r="O14" i="29"/>
  <c r="N14" i="29"/>
  <c r="O13" i="29"/>
  <c r="N13" i="29"/>
  <c r="O12" i="29"/>
  <c r="N12" i="29"/>
  <c r="O11" i="29"/>
  <c r="N11" i="29"/>
  <c r="O10" i="29"/>
  <c r="N10" i="29"/>
  <c r="O9" i="29"/>
  <c r="N9" i="29"/>
  <c r="O8" i="29"/>
  <c r="N8" i="29"/>
  <c r="O7" i="29"/>
  <c r="N7" i="29"/>
  <c r="O6" i="29"/>
  <c r="N6" i="29"/>
  <c r="O5" i="29"/>
  <c r="N5" i="29"/>
  <c r="O15" i="28" l="1"/>
  <c r="N15" i="28"/>
  <c r="O14" i="28"/>
  <c r="N14" i="28"/>
  <c r="O13" i="28"/>
  <c r="N13" i="28"/>
  <c r="O12" i="28"/>
  <c r="N12" i="28"/>
  <c r="O11" i="28"/>
  <c r="N11" i="28"/>
  <c r="O10" i="28"/>
  <c r="N10" i="28"/>
  <c r="O9" i="28"/>
  <c r="N9" i="28"/>
  <c r="O8" i="28"/>
  <c r="N8" i="28"/>
  <c r="O7" i="28"/>
  <c r="N7" i="28"/>
  <c r="O6" i="28"/>
  <c r="N6" i="28"/>
  <c r="O5" i="28"/>
  <c r="N5" i="28"/>
  <c r="O15" i="27" l="1"/>
  <c r="N15" i="27"/>
  <c r="O14" i="27"/>
  <c r="N14" i="27"/>
  <c r="O13" i="27"/>
  <c r="N13" i="27"/>
  <c r="O12" i="27"/>
  <c r="N12" i="27"/>
  <c r="O11" i="27"/>
  <c r="N11" i="27"/>
  <c r="O10" i="27"/>
  <c r="N10" i="27"/>
  <c r="O9" i="27"/>
  <c r="N9" i="27"/>
  <c r="O8" i="27"/>
  <c r="N8" i="27"/>
  <c r="O7" i="27"/>
  <c r="N7" i="27"/>
  <c r="O6" i="27"/>
  <c r="N6" i="27"/>
  <c r="O5" i="27"/>
  <c r="N5" i="27"/>
  <c r="O15" i="26" l="1"/>
  <c r="N15" i="26"/>
  <c r="O14" i="26"/>
  <c r="N14" i="26"/>
  <c r="O13" i="26"/>
  <c r="N13" i="26"/>
  <c r="O12" i="26"/>
  <c r="N12" i="26"/>
  <c r="O11" i="26"/>
  <c r="N11" i="26"/>
  <c r="O10" i="26"/>
  <c r="N10" i="26"/>
  <c r="O9" i="26"/>
  <c r="N9" i="26"/>
  <c r="O8" i="26"/>
  <c r="N8" i="26"/>
  <c r="O7" i="26"/>
  <c r="N7" i="26"/>
  <c r="O6" i="26"/>
  <c r="N6" i="26"/>
  <c r="O5" i="26"/>
  <c r="N5" i="26"/>
  <c r="O15" i="25" l="1"/>
  <c r="N15" i="25"/>
  <c r="O14" i="25"/>
  <c r="N14" i="25"/>
  <c r="O13" i="25"/>
  <c r="N13" i="25"/>
  <c r="O12" i="25"/>
  <c r="N12" i="25"/>
  <c r="O11" i="25"/>
  <c r="N11" i="25"/>
  <c r="O10" i="25"/>
  <c r="N10" i="25"/>
  <c r="O9" i="25"/>
  <c r="N9" i="25"/>
  <c r="O8" i="25"/>
  <c r="N8" i="25"/>
  <c r="O7" i="25"/>
  <c r="N7" i="25"/>
  <c r="O6" i="25"/>
  <c r="N6" i="25"/>
  <c r="O5" i="25"/>
  <c r="N5" i="25"/>
  <c r="O15" i="24" l="1"/>
  <c r="N15" i="24"/>
  <c r="O14" i="24"/>
  <c r="N14" i="24"/>
  <c r="O13" i="24"/>
  <c r="N13" i="24"/>
  <c r="O12" i="24"/>
  <c r="N12" i="24"/>
  <c r="O11" i="24"/>
  <c r="N11" i="24"/>
  <c r="O10" i="24"/>
  <c r="N10" i="24"/>
  <c r="O9" i="24"/>
  <c r="N9" i="24"/>
  <c r="O8" i="24"/>
  <c r="N8" i="24"/>
  <c r="O7" i="24"/>
  <c r="N7" i="24"/>
  <c r="O6" i="24"/>
  <c r="N6" i="24"/>
  <c r="O5" i="24"/>
  <c r="N5" i="24"/>
  <c r="O15" i="23" l="1"/>
  <c r="N15" i="23"/>
  <c r="O14" i="23"/>
  <c r="N14" i="23"/>
  <c r="O13" i="23"/>
  <c r="N13" i="23"/>
  <c r="O12" i="23"/>
  <c r="N12" i="23"/>
  <c r="O11" i="23"/>
  <c r="N11" i="23"/>
  <c r="O10" i="23"/>
  <c r="N10" i="23"/>
  <c r="O9" i="23"/>
  <c r="N9" i="23"/>
  <c r="O8" i="23"/>
  <c r="N8" i="23"/>
  <c r="O7" i="23"/>
  <c r="N7" i="23"/>
  <c r="O6" i="23"/>
  <c r="N6" i="23"/>
  <c r="O5" i="23"/>
  <c r="N5" i="23"/>
  <c r="O15" i="22" l="1"/>
  <c r="N15" i="22"/>
  <c r="O14" i="22"/>
  <c r="N14" i="22"/>
  <c r="O13" i="22"/>
  <c r="N13" i="22"/>
  <c r="O12" i="22"/>
  <c r="N12" i="22"/>
  <c r="O11" i="22"/>
  <c r="N11" i="22"/>
  <c r="O10" i="22"/>
  <c r="N10" i="22"/>
  <c r="O9" i="22"/>
  <c r="N9" i="22"/>
  <c r="O8" i="22"/>
  <c r="N8" i="22"/>
  <c r="O7" i="22"/>
  <c r="N7" i="22"/>
  <c r="O6" i="22"/>
  <c r="N6" i="22"/>
  <c r="O5" i="22"/>
  <c r="N5" i="22"/>
  <c r="O15" i="21" l="1"/>
  <c r="N15" i="21"/>
  <c r="O14" i="21"/>
  <c r="N14" i="21"/>
  <c r="O13" i="21"/>
  <c r="N13" i="21"/>
  <c r="O12" i="21"/>
  <c r="N12" i="21"/>
  <c r="O11" i="21"/>
  <c r="N11" i="21"/>
  <c r="O10" i="21"/>
  <c r="N10" i="21"/>
  <c r="O9" i="21"/>
  <c r="N9" i="21"/>
  <c r="O8" i="21"/>
  <c r="N8" i="21"/>
  <c r="O7" i="21"/>
  <c r="N7" i="21"/>
  <c r="O6" i="21"/>
  <c r="N6" i="21"/>
  <c r="O5" i="21"/>
  <c r="N5" i="21"/>
  <c r="O15" i="20" l="1"/>
  <c r="N15" i="20"/>
  <c r="O14" i="20"/>
  <c r="N14" i="20"/>
  <c r="O13" i="20"/>
  <c r="N13" i="20"/>
  <c r="O12" i="20"/>
  <c r="N12" i="20"/>
  <c r="O11" i="20"/>
  <c r="N11" i="20"/>
  <c r="O10" i="20"/>
  <c r="N10" i="20"/>
  <c r="O9" i="20"/>
  <c r="N9" i="20"/>
  <c r="O8" i="20"/>
  <c r="N8" i="20"/>
  <c r="O7" i="20"/>
  <c r="N7" i="20"/>
  <c r="O6" i="20"/>
  <c r="N6" i="20"/>
  <c r="O5" i="20"/>
  <c r="N5" i="20"/>
  <c r="O15" i="19" l="1"/>
  <c r="N15" i="19"/>
  <c r="O14" i="19"/>
  <c r="N14" i="19"/>
  <c r="O13" i="19"/>
  <c r="N13" i="19"/>
  <c r="O12" i="19"/>
  <c r="N12" i="19"/>
  <c r="O11" i="19"/>
  <c r="N11" i="19"/>
  <c r="O10" i="19"/>
  <c r="N10" i="19"/>
  <c r="O9" i="19"/>
  <c r="N9" i="19"/>
  <c r="O8" i="19"/>
  <c r="N8" i="19"/>
  <c r="O7" i="19"/>
  <c r="N7" i="19"/>
  <c r="O6" i="19"/>
  <c r="N6" i="19"/>
  <c r="O5" i="19"/>
  <c r="N5" i="19"/>
  <c r="O15" i="18" l="1"/>
  <c r="N15" i="18"/>
  <c r="O14" i="18"/>
  <c r="N14" i="18"/>
  <c r="O13" i="18"/>
  <c r="N13" i="18"/>
  <c r="O12" i="18"/>
  <c r="N12" i="18"/>
  <c r="O11" i="18"/>
  <c r="N11" i="18"/>
  <c r="O10" i="18"/>
  <c r="N10" i="18"/>
  <c r="O9" i="18"/>
  <c r="N9" i="18"/>
  <c r="O8" i="18"/>
  <c r="N8" i="18"/>
  <c r="O7" i="18"/>
  <c r="N7" i="18"/>
  <c r="O6" i="18"/>
  <c r="N6" i="18"/>
  <c r="O5" i="18"/>
  <c r="N5" i="18"/>
  <c r="O15" i="17" l="1"/>
  <c r="N15" i="17"/>
  <c r="O14" i="17"/>
  <c r="N14" i="17"/>
  <c r="O13" i="17"/>
  <c r="N13" i="17"/>
  <c r="O12" i="17"/>
  <c r="N12" i="17"/>
  <c r="O11" i="17"/>
  <c r="N11" i="17"/>
  <c r="O10" i="17"/>
  <c r="N10" i="17"/>
  <c r="O9" i="17"/>
  <c r="N9" i="17"/>
  <c r="O8" i="17"/>
  <c r="N8" i="17"/>
  <c r="O7" i="17"/>
  <c r="N7" i="17"/>
  <c r="O6" i="17"/>
  <c r="N6" i="17"/>
  <c r="O5" i="17"/>
  <c r="N5" i="17"/>
  <c r="O15" i="16" l="1"/>
  <c r="N15" i="16"/>
  <c r="O14" i="16"/>
  <c r="N14" i="16"/>
  <c r="O13" i="16"/>
  <c r="N13" i="16"/>
  <c r="O12" i="16"/>
  <c r="N12" i="16"/>
  <c r="O11" i="16"/>
  <c r="N11" i="16"/>
  <c r="O10" i="16"/>
  <c r="N10" i="16"/>
  <c r="O9" i="16"/>
  <c r="N9" i="16"/>
  <c r="O8" i="16"/>
  <c r="N8" i="16"/>
  <c r="O7" i="16"/>
  <c r="N7" i="16"/>
  <c r="O6" i="16"/>
  <c r="N6" i="16"/>
  <c r="O5" i="16"/>
  <c r="N5" i="16"/>
  <c r="O15" i="15"/>
  <c r="N15" i="15"/>
  <c r="O14" i="15"/>
  <c r="N14" i="15"/>
  <c r="O13" i="15"/>
  <c r="N13" i="15"/>
  <c r="O12" i="15"/>
  <c r="N12" i="15"/>
  <c r="O11" i="15"/>
  <c r="N11" i="15"/>
  <c r="O10" i="15"/>
  <c r="N10" i="15"/>
  <c r="O9" i="15"/>
  <c r="N9" i="15"/>
  <c r="O8" i="15"/>
  <c r="N8" i="15"/>
  <c r="O7" i="15"/>
  <c r="N7" i="15"/>
  <c r="O6" i="15"/>
  <c r="N6" i="15"/>
  <c r="O5" i="15"/>
  <c r="N5" i="15"/>
</calcChain>
</file>

<file path=xl/sharedStrings.xml><?xml version="1.0" encoding="utf-8"?>
<sst xmlns="http://schemas.openxmlformats.org/spreadsheetml/2006/main" count="1031" uniqueCount="121">
  <si>
    <t>CARREFOUR 2º CARRO</t>
  </si>
  <si>
    <t>Carrefour - Alcântara</t>
  </si>
  <si>
    <t>Carrefour - Brigadeiro (Caxias)</t>
  </si>
  <si>
    <t xml:space="preserve">Carrefour - Sulacap </t>
  </si>
  <si>
    <t>REDES / FILIAIS</t>
  </si>
  <si>
    <t>MOTORISTA</t>
  </si>
  <si>
    <t>PLACA</t>
  </si>
  <si>
    <t>SAIDA CD</t>
  </si>
  <si>
    <t>SAIDA LOJA</t>
  </si>
  <si>
    <t>CARREFOUR 1º CARRO</t>
  </si>
  <si>
    <r>
      <t xml:space="preserve">RELATÓRIO KPI - Carrefour
</t>
    </r>
    <r>
      <rPr>
        <b/>
        <sz val="20"/>
        <color theme="0"/>
        <rFont val="Arial"/>
        <family val="2"/>
      </rPr>
      <t>BENASSI</t>
    </r>
  </si>
  <si>
    <t>Carrefour - Campos dos Goytacazes</t>
  </si>
  <si>
    <t>Carrefour - Macaé</t>
  </si>
  <si>
    <t>Carrefour - Juiz de Fora</t>
  </si>
  <si>
    <t>Carrefour - Espirito Santo</t>
  </si>
  <si>
    <t>Carrefour - Barra da Tijuca ●</t>
  </si>
  <si>
    <t>Carrefour - Campo Grande ●</t>
  </si>
  <si>
    <t>Carrefour - Norte Shopping ●</t>
  </si>
  <si>
    <t>Carrefour - Washington Luiz ●</t>
  </si>
  <si>
    <t>COD</t>
  </si>
  <si>
    <t>TEMPO EM LOJA 1</t>
  </si>
  <si>
    <t>TEMPO EM LOJA 2</t>
  </si>
  <si>
    <t>CHD LOJA</t>
  </si>
  <si>
    <t>FLÁVIO</t>
  </si>
  <si>
    <t>NSM-6D98</t>
  </si>
  <si>
    <t>RICARDO</t>
  </si>
  <si>
    <t>KXB-6E57</t>
  </si>
  <si>
    <t xml:space="preserve">LUÍZ ANTÔNIO </t>
  </si>
  <si>
    <t>KMY-5561</t>
  </si>
  <si>
    <t>WALLACE FERNANDES</t>
  </si>
  <si>
    <t>GBG-5C11</t>
  </si>
  <si>
    <t xml:space="preserve">RENAN </t>
  </si>
  <si>
    <t>KRW-8E86</t>
  </si>
  <si>
    <t>RAFAEL SOARES</t>
  </si>
  <si>
    <t>EYL-8B91</t>
  </si>
  <si>
    <t xml:space="preserve">EDMARIO </t>
  </si>
  <si>
    <t>CUC-6J83</t>
  </si>
  <si>
    <t>SÉRGIO</t>
  </si>
  <si>
    <t>LJS-2B72</t>
  </si>
  <si>
    <t>GORDO</t>
  </si>
  <si>
    <t>AMF-0325</t>
  </si>
  <si>
    <t>AGENOR</t>
  </si>
  <si>
    <t>KPN-4F36</t>
  </si>
  <si>
    <t>ROBERTO</t>
  </si>
  <si>
    <t>LSL-9670</t>
  </si>
  <si>
    <t>SEM</t>
  </si>
  <si>
    <t>RASTREADOR</t>
  </si>
  <si>
    <t>JOSUÉ</t>
  </si>
  <si>
    <t>BBH-1C94</t>
  </si>
  <si>
    <t xml:space="preserve">MARCIO </t>
  </si>
  <si>
    <t>KVH-9J42</t>
  </si>
  <si>
    <t>DOVAL</t>
  </si>
  <si>
    <t>KQV-1D80</t>
  </si>
  <si>
    <t xml:space="preserve">SIMÃO </t>
  </si>
  <si>
    <t>LSN-6I72</t>
  </si>
  <si>
    <t>GILSON</t>
  </si>
  <si>
    <t xml:space="preserve">JONATHAN MARCIO </t>
  </si>
  <si>
    <t>TML-7D21</t>
  </si>
  <si>
    <t>UBO5E05</t>
  </si>
  <si>
    <t>MILTON</t>
  </si>
  <si>
    <t>EAC-4D65</t>
  </si>
  <si>
    <t>ANTÔNIO FREITAS</t>
  </si>
  <si>
    <t>LNG-7110</t>
  </si>
  <si>
    <t>LQE5401</t>
  </si>
  <si>
    <t>674</t>
  </si>
  <si>
    <t>SIDNEY</t>
  </si>
  <si>
    <t>BRUNO</t>
  </si>
  <si>
    <t>UBF-5G33</t>
  </si>
  <si>
    <t xml:space="preserve">CELSO </t>
  </si>
  <si>
    <t>PVA1H61</t>
  </si>
  <si>
    <t>KANU</t>
  </si>
  <si>
    <t>KQR-2J11</t>
  </si>
  <si>
    <t xml:space="preserve">ADILSON </t>
  </si>
  <si>
    <t>KZU-4C37</t>
  </si>
  <si>
    <t xml:space="preserve">WALTER REGIS </t>
  </si>
  <si>
    <t>UBO-0B68</t>
  </si>
  <si>
    <t xml:space="preserve">WALLACE LEAL </t>
  </si>
  <si>
    <t>SFG-2F73</t>
  </si>
  <si>
    <t xml:space="preserve">WILLIAM </t>
  </si>
  <si>
    <t>INW-8A51</t>
  </si>
  <si>
    <t>RODRIGO</t>
  </si>
  <si>
    <t>QSO-8D04</t>
  </si>
  <si>
    <t>23:35</t>
  </si>
  <si>
    <t>23:45</t>
  </si>
  <si>
    <t>5:00</t>
  </si>
  <si>
    <t>LUIZ JR.</t>
  </si>
  <si>
    <t>AKZ-2745</t>
  </si>
  <si>
    <t>ANTONIO RODRIGUES</t>
  </si>
  <si>
    <t>MQV-9D14</t>
  </si>
  <si>
    <t>VALDEMIRIO</t>
  </si>
  <si>
    <t>QSU6I54</t>
  </si>
  <si>
    <t>JOSE MARTINS</t>
  </si>
  <si>
    <t>UBF-5G32</t>
  </si>
  <si>
    <t xml:space="preserve">VICTOR LUIZ </t>
  </si>
  <si>
    <t>TJQ6J26</t>
  </si>
  <si>
    <t>ZOZIMO</t>
  </si>
  <si>
    <t>KNS-8D26</t>
  </si>
  <si>
    <t xml:space="preserve">JOSE </t>
  </si>
  <si>
    <t>WANDERLEY</t>
  </si>
  <si>
    <t>AFY-7J99</t>
  </si>
  <si>
    <t xml:space="preserve">FELIPE DIEGO </t>
  </si>
  <si>
    <t>UGA-1D55</t>
  </si>
  <si>
    <t>KZJ0E14</t>
  </si>
  <si>
    <t>VANOR</t>
  </si>
  <si>
    <t>;40</t>
  </si>
  <si>
    <t>JOSE CARLOS</t>
  </si>
  <si>
    <t>LSE-1D35</t>
  </si>
  <si>
    <t>SIMÃO</t>
  </si>
  <si>
    <t>184846</t>
  </si>
  <si>
    <t>LSN6I72</t>
  </si>
  <si>
    <t>RENAN</t>
  </si>
  <si>
    <t>KRW8E06</t>
  </si>
  <si>
    <t>JULIO</t>
  </si>
  <si>
    <t>KNC-5J75</t>
  </si>
  <si>
    <t xml:space="preserve">VICTOR LINS </t>
  </si>
  <si>
    <t>QSY-2H32</t>
  </si>
  <si>
    <t>JOHN</t>
  </si>
  <si>
    <t>KVI-9088</t>
  </si>
  <si>
    <t>KVI9088</t>
  </si>
  <si>
    <t>772</t>
  </si>
  <si>
    <t xml:space="preserve">JOSE MARTINS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</si>
</sst>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theme="0"/>
      <name val="Arial"/>
      <family val="2"/>
    </font>
    <font>
      <b/>
      <sz val="12"/>
      <name val="Arial"/>
      <family val="2"/>
    </font>
    <font>
      <sz val="16"/>
      <name val="Arial"/>
      <family val="2"/>
    </font>
    <font>
      <sz val="18"/>
      <name val="Arial"/>
      <family val="2"/>
    </font>
    <font>
      <sz val="18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48"/>
      <color theme="0"/>
      <name val="Arial"/>
      <family val="2"/>
    </font>
    <font>
      <b/>
      <sz val="20"/>
      <color theme="0"/>
      <name val="Arial"/>
      <family val="2"/>
    </font>
    <font>
      <sz val="11"/>
      <color theme="1"/>
      <name val="Calibri"/>
      <family val="2"/>
      <scheme val="minor"/>
    </font>
    <font>
      <b/>
      <sz val="16"/>
      <color theme="0"/>
      <name val="Arial Narrow"/>
      <family val="2"/>
    </font>
    <font>
      <sz val="12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4">
    <xf numFmtId="0" fontId="0" fillId="0" borderId="0"/>
    <xf numFmtId="0" fontId="1" fillId="0" borderId="0"/>
    <xf numFmtId="0" fontId="10" fillId="2" borderId="2" applyNumberFormat="0" applyFont="0" applyAlignment="0" applyProtection="0"/>
    <xf numFmtId="0" fontId="13" fillId="0" borderId="0"/>
  </cellStyleXfs>
  <cellXfs count="19">
    <xf numFmtId="0" fontId="0" fillId="0" borderId="0" xfId="0"/>
    <xf numFmtId="0" fontId="5" fillId="0" borderId="0" xfId="1" applyFont="1" applyAlignment="1">
      <alignment horizontal="center"/>
    </xf>
    <xf numFmtId="0" fontId="7" fillId="0" borderId="0" xfId="0" applyFont="1"/>
    <xf numFmtId="164" fontId="0" fillId="0" borderId="0" xfId="0" applyNumberFormat="1"/>
    <xf numFmtId="0" fontId="3" fillId="0" borderId="0" xfId="1" applyFont="1" applyAlignment="1" applyProtection="1">
      <alignment vertical="center"/>
      <protection locked="0"/>
    </xf>
    <xf numFmtId="0" fontId="4" fillId="0" borderId="0" xfId="1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0" fontId="8" fillId="3" borderId="0" xfId="1" applyFont="1" applyFill="1" applyAlignment="1">
      <alignment horizontal="centerContinuous" vertical="center" wrapText="1"/>
    </xf>
    <xf numFmtId="165" fontId="12" fillId="2" borderId="3" xfId="2" applyNumberFormat="1" applyFont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165" fontId="12" fillId="2" borderId="3" xfId="2" applyNumberFormat="1" applyFont="1" applyBorder="1" applyAlignment="1">
      <alignment horizontal="left" vertical="center"/>
    </xf>
    <xf numFmtId="0" fontId="0" fillId="3" borderId="0" xfId="0" applyFill="1"/>
    <xf numFmtId="164" fontId="11" fillId="3" borderId="1" xfId="1" applyNumberFormat="1" applyFont="1" applyFill="1" applyBorder="1" applyAlignment="1">
      <alignment horizontal="center" vertical="center"/>
    </xf>
    <xf numFmtId="0" fontId="6" fillId="3" borderId="0" xfId="1" applyFont="1" applyFill="1" applyAlignment="1">
      <alignment horizontal="centerContinuous" vertical="center"/>
    </xf>
    <xf numFmtId="0" fontId="2" fillId="3" borderId="0" xfId="1" applyFont="1" applyFill="1" applyAlignment="1" applyProtection="1">
      <alignment horizontal="centerContinuous" vertical="center"/>
      <protection locked="0"/>
    </xf>
    <xf numFmtId="49" fontId="12" fillId="2" borderId="3" xfId="2" applyNumberFormat="1" applyFont="1" applyBorder="1" applyAlignment="1">
      <alignment horizontal="center" vertical="center"/>
    </xf>
    <xf numFmtId="164" fontId="12" fillId="2" borderId="3" xfId="2" applyNumberFormat="1" applyFont="1" applyBorder="1" applyAlignment="1">
      <alignment horizontal="center" vertical="center"/>
    </xf>
    <xf numFmtId="0" fontId="2" fillId="3" borderId="0" xfId="1" applyFont="1" applyFill="1" applyAlignment="1" applyProtection="1">
      <alignment horizontal="center" vertical="center"/>
      <protection locked="0"/>
    </xf>
    <xf numFmtId="164" fontId="5" fillId="0" borderId="0" xfId="1" applyNumberFormat="1" applyFont="1" applyAlignment="1">
      <alignment horizontal="center" vertical="center"/>
    </xf>
  </cellXfs>
  <cellStyles count="4">
    <cellStyle name="Normal" xfId="0" builtinId="0"/>
    <cellStyle name="Normal 2 2" xfId="3" xr:uid="{0BCD5FE0-D6EF-4FB4-9875-B16DB1DEC0DB}"/>
    <cellStyle name="Normal 2 2 3 2" xfId="1" xr:uid="{07C4071E-19DE-4E87-9939-DEDAD7E9CD0B}"/>
    <cellStyle name="Nota" xfId="2" builtinId="10"/>
  </cellStyles>
  <dxfs count="2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8925F49-FEA4-40B8-AC8E-6ACFC78D1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9D1A482-1E93-4C1A-BAE6-6B6C29603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D9B0E5E-22DF-4B87-9DE3-8415A5724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1364498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AFDC070-3253-43D6-8203-D5B6F6721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1720DFE-3AD6-4AB8-AAE7-8E8323B53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1399134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34C0AC0-5B3F-4F12-89F3-E43F9C338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03AAF6-A602-429B-B111-E95D2F362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1399135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1BBAEEE-99BE-4994-96FA-E46FF948C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F2D098A-7093-48CF-B4BB-20A9C9CDC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C81A947-A04C-48F5-BC2C-755570C20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1C18DE7-7256-4361-90B3-35B74A5DD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1399135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498CB50-4927-4170-84A2-0F9C58CBE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78C11F3-FB25-4869-80B6-8E4866D4D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1399135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389F1E4-8F45-4E69-AA17-D6E90B8B7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66EE731-A67F-4220-BE93-6BD524CD1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1399135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15A4BD9-15FE-4432-A882-35BA3228E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F952204-1E53-41B6-A417-4ED632121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1399135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5021F21-E77D-4476-952B-89D15AC24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3991209-2E09-4237-8A01-495A8EDE1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7AAF6CD-0087-491D-BE7D-DFE482FED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22EF3E6-1C59-4756-88DB-EC6E89DE6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1399135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1F20968-6781-492E-BE3F-FD44E1C22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ED0EF0D-1149-4F75-A815-85B8ACE1C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1399135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6379D0B-C478-436B-B214-995364658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F5C92B2-6504-4BDF-A557-F03CE0145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1364498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BFBF7A8-A60D-4151-8CD9-E721DF9FE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D4387B3-EB14-4ABC-ABA6-4EE34C6D4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1399135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4A09C3-0D59-4975-B5E1-6A649EC2D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37560AC-16D1-4BDE-8E58-6BFA39E72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1399135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E8BDC0A-EC1C-4E13-8151-9B795458C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186AF0B-61AE-4EA4-BC07-72ACBD691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1399135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EA5FBC2-A4C0-4496-9005-E9A821745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2EE753C-7DFE-41C4-BE59-A0E827A18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A7FF829-2F01-4521-B197-159C27FDB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0A14BD0-B37E-422D-A9DC-FAFC086AC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1399135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DB1C557-0BAA-4DD2-9BF1-1AAFE5BC6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866AE74-3157-4E82-B413-44D3E88D2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1399135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D205464-AB4B-43EA-82F7-262C3DF6A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89884DB-12F2-42BF-A5E6-0B8638F74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03BFB4B-8942-4A95-ABD6-BA3C380D4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05A3C2F-0C8D-44F4-B8C5-B41928A72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1399136</xdr:colOff>
      <xdr:row>0</xdr:row>
      <xdr:rowOff>1024937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2141DE9-FB48-46AC-9213-0CE86AAC6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0067" y="0"/>
          <a:ext cx="1416343" cy="102493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272143</xdr:colOff>
      <xdr:row>0</xdr:row>
      <xdr:rowOff>0</xdr:rowOff>
    </xdr:from>
    <xdr:to>
      <xdr:col>0</xdr:col>
      <xdr:colOff>1706496</xdr:colOff>
      <xdr:row>0</xdr:row>
      <xdr:rowOff>1033008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E01E991-6AAD-4E5A-B3DA-3A5A6EB22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434353" cy="1033008"/>
        </a:xfrm>
        <a:prstGeom prst="rect">
          <a:avLst/>
        </a:prstGeom>
      </xdr:spPr>
    </xdr:pic>
    <xdr:clientData/>
  </xdr:twoCellAnchor>
  <xdr:twoCellAnchor editAs="oneCell">
    <xdr:from>
      <xdr:col>13</xdr:col>
      <xdr:colOff>1649667</xdr:colOff>
      <xdr:row>0</xdr:row>
      <xdr:rowOff>0</xdr:rowOff>
    </xdr:from>
    <xdr:to>
      <xdr:col>14</xdr:col>
      <xdr:colOff>1399135</xdr:colOff>
      <xdr:row>0</xdr:row>
      <xdr:rowOff>1024937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E26BC52-8FE9-4A47-9656-7D7DB5DC9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75524" y="0"/>
          <a:ext cx="1423147" cy="1024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CE8-4052-4052-9F04-2ED8CA1EF617}">
  <dimension ref="A1:R30"/>
  <sheetViews>
    <sheetView showGridLines="0" zoomScale="70" zoomScaleNormal="70" workbookViewId="0">
      <pane ySplit="3" topLeftCell="A4" activePane="bottomLeft" state="frozen"/>
      <selection pane="bottomLeft" activeCell="E17" sqref="D17:E22"/>
    </sheetView>
  </sheetViews>
  <sheetFormatPr defaultRowHeight="15" x14ac:dyDescent="0.25"/>
  <cols>
    <col min="1" max="1" width="38.85546875" bestFit="1" customWidth="1"/>
    <col min="2" max="2" width="27.71093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0.21180555555555555</v>
      </c>
      <c r="F5" s="8">
        <v>0.25</v>
      </c>
      <c r="G5" s="8">
        <v>0.27083333333333331</v>
      </c>
      <c r="H5" s="15" t="s">
        <v>25</v>
      </c>
      <c r="I5" s="15">
        <v>775</v>
      </c>
      <c r="J5" s="15" t="s">
        <v>26</v>
      </c>
      <c r="K5" s="8" t="s">
        <v>45</v>
      </c>
      <c r="L5" s="8" t="s">
        <v>46</v>
      </c>
      <c r="M5" s="8"/>
      <c r="N5" s="8">
        <f>MOD(G5-F5, 1)</f>
        <v>2.0833333333333315E-2</v>
      </c>
      <c r="O5" s="8" t="e">
        <f>MOD(M5-L5, 1)</f>
        <v>#VALUE!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0.2326388888888889</v>
      </c>
      <c r="F6" s="8">
        <v>0.25694444444444442</v>
      </c>
      <c r="G6" s="8">
        <v>0.3298611111111111</v>
      </c>
      <c r="H6" s="15"/>
      <c r="I6" s="15"/>
      <c r="J6" s="15"/>
      <c r="K6" s="8"/>
      <c r="L6" s="8"/>
      <c r="M6" s="8"/>
      <c r="N6" s="8">
        <f t="shared" ref="N6:N15" si="0">MOD(G6-F6, 1)</f>
        <v>7.2916666666666685E-2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29</v>
      </c>
      <c r="C7" s="15">
        <v>294</v>
      </c>
      <c r="D7" s="15" t="s">
        <v>30</v>
      </c>
      <c r="E7" s="8">
        <v>0.24652777777777779</v>
      </c>
      <c r="F7" s="8">
        <v>0.39930555555555558</v>
      </c>
      <c r="G7" s="8">
        <v>0.28472222222222221</v>
      </c>
      <c r="H7" s="15"/>
      <c r="I7" s="15"/>
      <c r="J7" s="15"/>
      <c r="K7" s="8"/>
      <c r="L7" s="8"/>
      <c r="M7" s="8"/>
      <c r="N7" s="8">
        <f t="shared" si="0"/>
        <v>0.88541666666666663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0.2361111111111111</v>
      </c>
      <c r="F8" s="8">
        <v>0.26041666666666669</v>
      </c>
      <c r="G8" s="8">
        <v>0.28819444444444442</v>
      </c>
      <c r="H8" s="15" t="s">
        <v>33</v>
      </c>
      <c r="I8" s="15">
        <v>184502</v>
      </c>
      <c r="J8" s="15" t="s">
        <v>34</v>
      </c>
      <c r="K8" s="8">
        <v>0.2326388888888889</v>
      </c>
      <c r="L8" s="8">
        <v>0.25347222222222221</v>
      </c>
      <c r="M8" s="8">
        <v>0.28125</v>
      </c>
      <c r="N8" s="8">
        <f t="shared" si="0"/>
        <v>2.7777777777777735E-2</v>
      </c>
      <c r="O8" s="8">
        <f t="shared" si="1"/>
        <v>2.777777777777779E-2</v>
      </c>
    </row>
    <row r="9" spans="1:18" s="2" customFormat="1" ht="23.25" customHeight="1" x14ac:dyDescent="0.25">
      <c r="A9" s="10" t="s">
        <v>17</v>
      </c>
      <c r="B9" s="15" t="s">
        <v>35</v>
      </c>
      <c r="C9" s="15">
        <v>353</v>
      </c>
      <c r="D9" s="15" t="s">
        <v>36</v>
      </c>
      <c r="E9" s="8">
        <v>0.21180555555555555</v>
      </c>
      <c r="F9" s="8">
        <v>0.22569444444444445</v>
      </c>
      <c r="G9" s="8">
        <v>0.30902777777777779</v>
      </c>
      <c r="H9" s="15"/>
      <c r="I9" s="15"/>
      <c r="J9" s="15"/>
      <c r="K9" s="8"/>
      <c r="L9" s="8"/>
      <c r="M9" s="8"/>
      <c r="N9" s="8">
        <f t="shared" si="0"/>
        <v>8.3333333333333343E-2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37</v>
      </c>
      <c r="C10" s="15">
        <v>598</v>
      </c>
      <c r="D10" s="15" t="s">
        <v>38</v>
      </c>
      <c r="E10" s="8">
        <v>0.22222222222222221</v>
      </c>
      <c r="F10" s="8">
        <v>0.25694444444444442</v>
      </c>
      <c r="G10" s="8">
        <v>0.29166666666666669</v>
      </c>
      <c r="H10" s="15"/>
      <c r="I10" s="15"/>
      <c r="J10" s="15"/>
      <c r="K10" s="8"/>
      <c r="L10" s="8"/>
      <c r="M10" s="8"/>
      <c r="N10" s="8">
        <f t="shared" si="0"/>
        <v>3.4722222222222265E-2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0.21527777777777779</v>
      </c>
      <c r="F11" s="8">
        <v>0.22569444444444445</v>
      </c>
      <c r="G11" s="8">
        <v>0.33680555555555558</v>
      </c>
      <c r="H11" s="15"/>
      <c r="I11" s="15"/>
      <c r="J11" s="15"/>
      <c r="K11" s="8"/>
      <c r="L11" s="8"/>
      <c r="M11" s="8"/>
      <c r="N11" s="8">
        <f t="shared" si="0"/>
        <v>0.11111111111111113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 t="s">
        <v>41</v>
      </c>
      <c r="C12" s="15">
        <v>61</v>
      </c>
      <c r="D12" s="15" t="s">
        <v>42</v>
      </c>
      <c r="E12" s="8">
        <v>3.472222222222222E-3</v>
      </c>
      <c r="F12" s="8">
        <v>0.1388888888888889</v>
      </c>
      <c r="G12" s="8">
        <v>0.28125</v>
      </c>
      <c r="H12" s="15"/>
      <c r="I12" s="15"/>
      <c r="J12" s="15"/>
      <c r="K12" s="8"/>
      <c r="L12" s="8"/>
      <c r="M12" s="8"/>
      <c r="N12" s="8">
        <f t="shared" si="0"/>
        <v>0.1423611111111111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 t="s">
        <v>41</v>
      </c>
      <c r="C13" s="15">
        <v>61</v>
      </c>
      <c r="D13" s="15" t="s">
        <v>42</v>
      </c>
      <c r="E13" s="8">
        <v>3.472222222222222E-3</v>
      </c>
      <c r="F13" s="8">
        <v>0.37152777777777779</v>
      </c>
      <c r="G13" s="8">
        <v>0.39583333333333331</v>
      </c>
      <c r="H13" s="15"/>
      <c r="I13" s="15"/>
      <c r="J13" s="15"/>
      <c r="K13" s="8"/>
      <c r="L13" s="8"/>
      <c r="M13" s="8"/>
      <c r="N13" s="8">
        <f t="shared" si="0"/>
        <v>2.4305555555555525E-2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 t="s">
        <v>43</v>
      </c>
      <c r="C14" s="15">
        <v>516</v>
      </c>
      <c r="D14" s="15" t="s">
        <v>44</v>
      </c>
      <c r="E14" s="8">
        <v>0.98611111111111116</v>
      </c>
      <c r="F14" s="8">
        <v>0.2326388888888889</v>
      </c>
      <c r="G14" s="8">
        <v>0.34027777777777779</v>
      </c>
      <c r="H14" s="15"/>
      <c r="I14" s="15"/>
      <c r="J14" s="15"/>
      <c r="K14" s="8"/>
      <c r="L14" s="8"/>
      <c r="M14" s="8"/>
      <c r="N14" s="8">
        <f t="shared" si="0"/>
        <v>0.1076388888888889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8"/>
      <c r="O16" s="8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0AE67-486D-45ED-B217-153A0154B79E}">
  <dimension ref="A1:R31"/>
  <sheetViews>
    <sheetView showGridLines="0" zoomScale="55" zoomScaleNormal="55" workbookViewId="0">
      <pane ySplit="3" topLeftCell="A4" activePane="bottomLeft" state="frozen"/>
      <selection pane="bottomLeft" activeCell="D28" sqref="D28"/>
    </sheetView>
  </sheetViews>
  <sheetFormatPr defaultRowHeight="15" x14ac:dyDescent="0.25"/>
  <cols>
    <col min="1" max="1" width="42.42578125" bestFit="1" customWidth="1"/>
    <col min="2" max="2" width="26.42578125" bestFit="1" customWidth="1"/>
    <col min="3" max="3" width="15.7109375" bestFit="1" customWidth="1"/>
    <col min="4" max="4" width="18.85546875" bestFit="1" customWidth="1"/>
    <col min="5" max="5" width="22.42578125" style="3" customWidth="1"/>
    <col min="6" max="6" width="23" bestFit="1" customWidth="1"/>
    <col min="7" max="7" width="25.85546875" bestFit="1" customWidth="1"/>
    <col min="8" max="8" width="26.42578125" bestFit="1" customWidth="1"/>
    <col min="9" max="9" width="15.7109375" bestFit="1" customWidth="1"/>
    <col min="10" max="10" width="18.85546875" bestFit="1" customWidth="1"/>
    <col min="11" max="11" width="22.42578125" bestFit="1" customWidth="1"/>
    <col min="12" max="12" width="23" bestFit="1" customWidth="1"/>
    <col min="13" max="13" width="25.85546875" bestFit="1" customWidth="1"/>
    <col min="14" max="15" width="25.57031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0.2013888888888889</v>
      </c>
      <c r="F5" s="8">
        <v>0.23958333333333334</v>
      </c>
      <c r="G5" s="8">
        <v>0.27430555555555558</v>
      </c>
      <c r="H5" s="15"/>
      <c r="I5" s="15"/>
      <c r="J5" s="15"/>
      <c r="K5" s="8"/>
      <c r="L5" s="8"/>
      <c r="M5" s="8"/>
      <c r="N5" s="8">
        <f>MOD(G5-F5, 1)</f>
        <v>3.4722222222222238E-2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47</v>
      </c>
      <c r="C6" s="15">
        <v>714</v>
      </c>
      <c r="D6" s="15" t="s">
        <v>48</v>
      </c>
      <c r="E6" s="8">
        <v>0.2013888888888889</v>
      </c>
      <c r="F6" s="8">
        <v>0.22916666666666666</v>
      </c>
      <c r="G6" s="8">
        <v>0.2951388888888889</v>
      </c>
      <c r="H6" s="15"/>
      <c r="I6" s="15"/>
      <c r="J6" s="15"/>
      <c r="K6" s="8"/>
      <c r="L6" s="8"/>
      <c r="M6" s="8"/>
      <c r="N6" s="8">
        <f t="shared" ref="N6:N15" si="0">MOD(G6-F6, 1)</f>
        <v>6.5972222222222238E-2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49</v>
      </c>
      <c r="C7" s="15">
        <v>576</v>
      </c>
      <c r="D7" s="15" t="s">
        <v>50</v>
      </c>
      <c r="E7" s="8">
        <v>0.21875</v>
      </c>
      <c r="F7" s="8">
        <v>0.2326388888888889</v>
      </c>
      <c r="G7" s="8">
        <v>0.28125</v>
      </c>
      <c r="H7" s="15"/>
      <c r="I7" s="15"/>
      <c r="J7" s="15"/>
      <c r="K7" s="8"/>
      <c r="L7" s="8"/>
      <c r="M7" s="8"/>
      <c r="N7" s="8">
        <f t="shared" si="0"/>
        <v>4.8611111111111105E-2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0.23958333333333334</v>
      </c>
      <c r="F8" s="8">
        <v>0.2638888888888889</v>
      </c>
      <c r="G8" s="8">
        <v>0.28472222222222221</v>
      </c>
      <c r="H8" s="8" t="s">
        <v>33</v>
      </c>
      <c r="I8" s="8">
        <v>184502</v>
      </c>
      <c r="J8" s="8" t="s">
        <v>34</v>
      </c>
      <c r="K8" s="8">
        <v>0.21875</v>
      </c>
      <c r="L8" s="8">
        <v>0.25</v>
      </c>
      <c r="M8" s="8">
        <v>0.27777777777777779</v>
      </c>
      <c r="N8" s="8">
        <f t="shared" si="0"/>
        <v>2.0833333333333315E-2</v>
      </c>
      <c r="O8" s="8">
        <f t="shared" si="1"/>
        <v>2.777777777777779E-2</v>
      </c>
    </row>
    <row r="9" spans="1:18" s="2" customFormat="1" ht="23.25" customHeight="1" x14ac:dyDescent="0.25">
      <c r="A9" s="10" t="s">
        <v>17</v>
      </c>
      <c r="B9" s="15" t="s">
        <v>35</v>
      </c>
      <c r="C9" s="15">
        <v>353</v>
      </c>
      <c r="D9" s="15" t="s">
        <v>36</v>
      </c>
      <c r="E9" s="8">
        <v>0.21875</v>
      </c>
      <c r="F9" s="8">
        <v>0.24652777777777779</v>
      </c>
      <c r="G9" s="8">
        <v>0.2986111111111111</v>
      </c>
      <c r="H9" s="15"/>
      <c r="I9" s="15"/>
      <c r="J9" s="15"/>
      <c r="K9" s="8"/>
      <c r="L9" s="8"/>
      <c r="M9" s="8"/>
      <c r="N9" s="8">
        <f t="shared" si="0"/>
        <v>5.2083333333333315E-2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37</v>
      </c>
      <c r="C10" s="15">
        <v>598</v>
      </c>
      <c r="D10" s="15" t="s">
        <v>38</v>
      </c>
      <c r="E10" s="8">
        <v>0.19791666666666666</v>
      </c>
      <c r="F10" s="8">
        <v>0.21527777777777779</v>
      </c>
      <c r="G10" s="8">
        <v>0.2986111111111111</v>
      </c>
      <c r="H10" s="15"/>
      <c r="I10" s="15"/>
      <c r="J10" s="15"/>
      <c r="K10" s="8"/>
      <c r="L10" s="8"/>
      <c r="M10" s="8"/>
      <c r="N10" s="8">
        <f t="shared" si="0"/>
        <v>8.3333333333333315E-2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0.21875</v>
      </c>
      <c r="F11" s="8">
        <v>0.22916666666666666</v>
      </c>
      <c r="G11" s="8">
        <v>0.34722222222222221</v>
      </c>
      <c r="H11" s="15"/>
      <c r="I11" s="15"/>
      <c r="J11" s="15"/>
      <c r="K11" s="8"/>
      <c r="L11" s="8"/>
      <c r="M11" s="8"/>
      <c r="N11" s="8">
        <f t="shared" si="0"/>
        <v>0.11805555555555555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 t="s">
        <v>41</v>
      </c>
      <c r="C12" s="15">
        <v>61</v>
      </c>
      <c r="D12" s="15" t="s">
        <v>42</v>
      </c>
      <c r="E12" s="8">
        <v>1.7361111111111112E-2</v>
      </c>
      <c r="F12" s="8">
        <v>0.2638888888888889</v>
      </c>
      <c r="G12" s="8">
        <v>0.28472222222222221</v>
      </c>
      <c r="H12" s="15"/>
      <c r="I12" s="15"/>
      <c r="J12" s="15"/>
      <c r="K12" s="8"/>
      <c r="L12" s="8"/>
      <c r="M12" s="8"/>
      <c r="N12" s="8">
        <f t="shared" si="0"/>
        <v>2.0833333333333315E-2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 t="s">
        <v>41</v>
      </c>
      <c r="C13" s="15">
        <v>61</v>
      </c>
      <c r="D13" s="15" t="s">
        <v>42</v>
      </c>
      <c r="E13" s="8">
        <v>1.7361111111111112E-2</v>
      </c>
      <c r="F13" s="8">
        <v>0.36458333333333331</v>
      </c>
      <c r="G13" s="8">
        <v>0.42708333333333331</v>
      </c>
      <c r="H13" s="15"/>
      <c r="I13" s="15"/>
      <c r="J13" s="15"/>
      <c r="K13" s="8"/>
      <c r="L13" s="8"/>
      <c r="M13" s="8"/>
      <c r="N13" s="8">
        <f t="shared" si="0"/>
        <v>6.25E-2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 t="s">
        <v>51</v>
      </c>
      <c r="C14" s="15">
        <v>184095</v>
      </c>
      <c r="D14" s="15" t="s">
        <v>52</v>
      </c>
      <c r="E14" s="8">
        <v>7.6388888888888895E-2</v>
      </c>
      <c r="F14" s="8">
        <v>0.2326388888888889</v>
      </c>
      <c r="G14" s="8">
        <v>0.30555555555555558</v>
      </c>
      <c r="H14" s="15"/>
      <c r="I14" s="15"/>
      <c r="J14" s="15"/>
      <c r="K14" s="8"/>
      <c r="L14" s="8"/>
      <c r="M14" s="8"/>
      <c r="N14" s="8">
        <f t="shared" si="0"/>
        <v>7.2916666666666685E-2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s="1" customFormat="1" ht="23.25" customHeight="1" x14ac:dyDescent="0.3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8"/>
      <c r="O16" s="8"/>
    </row>
    <row r="19" spans="1:7" ht="15" customHeight="1" x14ac:dyDescent="0.25">
      <c r="A19" s="4"/>
      <c r="B19" s="4"/>
      <c r="C19" s="4"/>
      <c r="D19" s="5"/>
      <c r="E19" s="6"/>
      <c r="F19" s="6"/>
      <c r="G19" s="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  <row r="31" spans="1:7" x14ac:dyDescent="0.25">
      <c r="A31" s="3"/>
      <c r="E31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8">
    <cfRule type="cellIs" dxfId="20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7A316-81E4-4F26-8B1A-E6CE81193D8B}">
  <dimension ref="A1:R30"/>
  <sheetViews>
    <sheetView showGridLines="0" zoomScale="55" zoomScaleNormal="55" workbookViewId="0">
      <pane ySplit="3" topLeftCell="A4" activePane="bottomLeft" state="frozen"/>
      <selection pane="bottomLeft" activeCell="C17" sqref="C17"/>
    </sheetView>
  </sheetViews>
  <sheetFormatPr defaultRowHeight="15" x14ac:dyDescent="0.25"/>
  <cols>
    <col min="1" max="1" width="42.4257812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0.19791666666666666</v>
      </c>
      <c r="F5" s="8">
        <v>0.2326388888888889</v>
      </c>
      <c r="G5" s="8">
        <v>0.2638888888888889</v>
      </c>
      <c r="H5" s="15" t="s">
        <v>53</v>
      </c>
      <c r="I5" s="15">
        <v>184846</v>
      </c>
      <c r="J5" s="15" t="s">
        <v>54</v>
      </c>
      <c r="K5" s="8">
        <v>0.2326388888888889</v>
      </c>
      <c r="L5" s="8">
        <v>0.2951388888888889</v>
      </c>
      <c r="M5" s="8">
        <v>0.3298611111111111</v>
      </c>
      <c r="N5" s="8">
        <f>MOD(G5-F5, 1)</f>
        <v>3.125E-2</v>
      </c>
      <c r="O5" s="8">
        <f>MOD(M5-L5, 1)</f>
        <v>3.472222222222221E-2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0.22222222222222221</v>
      </c>
      <c r="F6" s="8">
        <v>0.25347222222222221</v>
      </c>
      <c r="G6" s="8">
        <v>0.30555555555555558</v>
      </c>
      <c r="H6" s="15"/>
      <c r="I6" s="15"/>
      <c r="J6" s="15"/>
      <c r="K6" s="8"/>
      <c r="L6" s="8"/>
      <c r="M6" s="8"/>
      <c r="N6" s="8">
        <f t="shared" ref="N6:N15" si="0">MOD(G6-F6, 1)</f>
        <v>5.208333333333337E-2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55</v>
      </c>
      <c r="C7" s="15">
        <v>353</v>
      </c>
      <c r="D7" s="15" t="s">
        <v>58</v>
      </c>
      <c r="E7" s="8">
        <v>0.17708333333333334</v>
      </c>
      <c r="F7" s="8">
        <v>0.19097222222222221</v>
      </c>
      <c r="G7" s="8">
        <v>0.2951388888888889</v>
      </c>
      <c r="H7" s="15"/>
      <c r="I7" s="15"/>
      <c r="J7" s="15"/>
      <c r="K7" s="8"/>
      <c r="L7" s="8"/>
      <c r="M7" s="8"/>
      <c r="N7" s="8">
        <f t="shared" si="0"/>
        <v>0.10416666666666669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0.20833333333333334</v>
      </c>
      <c r="F8" s="8">
        <v>0.23958333333333334</v>
      </c>
      <c r="G8" s="8">
        <v>0.30555555555555558</v>
      </c>
      <c r="H8" s="15" t="s">
        <v>33</v>
      </c>
      <c r="I8" s="15">
        <v>184502</v>
      </c>
      <c r="J8" s="15" t="s">
        <v>34</v>
      </c>
      <c r="K8" s="8">
        <v>0.20833333333333334</v>
      </c>
      <c r="L8" s="8">
        <v>0.23958333333333334</v>
      </c>
      <c r="M8" s="8">
        <v>0.27777777777777779</v>
      </c>
      <c r="N8" s="8">
        <f t="shared" si="0"/>
        <v>6.5972222222222238E-2</v>
      </c>
      <c r="O8" s="8">
        <f t="shared" si="1"/>
        <v>3.8194444444444448E-2</v>
      </c>
    </row>
    <row r="9" spans="1:18" s="2" customFormat="1" ht="23.25" customHeight="1" x14ac:dyDescent="0.25">
      <c r="A9" s="10" t="s">
        <v>17</v>
      </c>
      <c r="B9" s="15" t="s">
        <v>35</v>
      </c>
      <c r="C9" s="15">
        <v>353</v>
      </c>
      <c r="D9" s="15" t="s">
        <v>36</v>
      </c>
      <c r="E9" s="8">
        <v>0.21180555555555555</v>
      </c>
      <c r="F9" s="8">
        <v>0.2326388888888889</v>
      </c>
      <c r="G9" s="8">
        <v>0.2986111111111111</v>
      </c>
      <c r="H9" s="15"/>
      <c r="I9" s="15"/>
      <c r="J9" s="15"/>
      <c r="K9" s="8"/>
      <c r="L9" s="8"/>
      <c r="M9" s="8"/>
      <c r="N9" s="8">
        <f t="shared" si="0"/>
        <v>6.597222222222221E-2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56</v>
      </c>
      <c r="C10" s="15">
        <v>353</v>
      </c>
      <c r="D10" s="15" t="s">
        <v>57</v>
      </c>
      <c r="E10" s="8">
        <v>0.21875</v>
      </c>
      <c r="F10" s="8">
        <v>0.23958333333333334</v>
      </c>
      <c r="G10" s="8">
        <v>0.30208333333333331</v>
      </c>
      <c r="H10" s="15"/>
      <c r="I10" s="15"/>
      <c r="J10" s="15"/>
      <c r="K10" s="8"/>
      <c r="L10" s="8"/>
      <c r="M10" s="8"/>
      <c r="N10" s="8">
        <f t="shared" si="0"/>
        <v>6.2499999999999972E-2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0.2013888888888889</v>
      </c>
      <c r="F11" s="8">
        <v>0.21527777777777779</v>
      </c>
      <c r="G11" s="8">
        <v>0.3263888888888889</v>
      </c>
      <c r="H11" s="15"/>
      <c r="I11" s="15"/>
      <c r="J11" s="15"/>
      <c r="K11" s="8"/>
      <c r="L11" s="8"/>
      <c r="M11" s="8"/>
      <c r="N11" s="8">
        <f t="shared" si="0"/>
        <v>0.1111111111111111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/>
      <c r="C12" s="15"/>
      <c r="D12" s="15"/>
      <c r="E12" s="8"/>
      <c r="F12" s="8"/>
      <c r="G12" s="8"/>
      <c r="H12" s="15"/>
      <c r="I12" s="15"/>
      <c r="J12" s="15"/>
      <c r="K12" s="8"/>
      <c r="L12" s="8"/>
      <c r="M12" s="8"/>
      <c r="N12" s="8">
        <f t="shared" si="0"/>
        <v>0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/>
      <c r="C13" s="15"/>
      <c r="D13" s="15"/>
      <c r="E13" s="8"/>
      <c r="F13" s="8"/>
      <c r="G13" s="8"/>
      <c r="H13" s="15"/>
      <c r="I13" s="15"/>
      <c r="J13" s="15"/>
      <c r="K13" s="8"/>
      <c r="L13" s="8"/>
      <c r="M13" s="8"/>
      <c r="N13" s="8">
        <f t="shared" si="0"/>
        <v>0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/>
      <c r="C14" s="15"/>
      <c r="D14" s="15"/>
      <c r="E14" s="8"/>
      <c r="F14" s="8"/>
      <c r="G14" s="8"/>
      <c r="H14" s="15"/>
      <c r="I14" s="15"/>
      <c r="J14" s="15"/>
      <c r="K14" s="8"/>
      <c r="L14" s="8"/>
      <c r="M14" s="8"/>
      <c r="N14" s="8">
        <f t="shared" si="0"/>
        <v>0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8"/>
      <c r="O16" s="8"/>
    </row>
    <row r="17" spans="1:15" x14ac:dyDescent="0.25">
      <c r="A17" s="10"/>
      <c r="B17" s="15"/>
      <c r="C17" s="15"/>
      <c r="D17" s="15"/>
      <c r="E17" s="8"/>
      <c r="F17" s="8"/>
      <c r="G17" s="8"/>
      <c r="H17" s="15"/>
      <c r="I17" s="15"/>
      <c r="J17" s="15"/>
      <c r="K17" s="8"/>
      <c r="L17" s="8"/>
      <c r="M17" s="8"/>
      <c r="N17" s="8"/>
      <c r="O17" s="8"/>
    </row>
    <row r="18" spans="1:15" ht="15" customHeight="1" x14ac:dyDescent="0.25">
      <c r="A18" s="4"/>
      <c r="B18" s="4"/>
      <c r="C18" s="4"/>
      <c r="D18" s="5"/>
      <c r="E18" s="6"/>
      <c r="F18" s="6"/>
      <c r="G18" s="6"/>
    </row>
    <row r="26" spans="1:15" x14ac:dyDescent="0.25">
      <c r="A26" s="3"/>
      <c r="E26"/>
    </row>
    <row r="27" spans="1:15" x14ac:dyDescent="0.25">
      <c r="A27" s="3"/>
      <c r="E27"/>
    </row>
    <row r="28" spans="1:15" x14ac:dyDescent="0.25">
      <c r="A28" s="3"/>
      <c r="E28"/>
    </row>
    <row r="29" spans="1:15" x14ac:dyDescent="0.25">
      <c r="A29" s="3"/>
      <c r="E29"/>
    </row>
    <row r="30" spans="1:15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7">
    <cfRule type="cellIs" dxfId="19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95803-36F1-4893-B328-3ECC3064F5FD}">
  <dimension ref="A1:R30"/>
  <sheetViews>
    <sheetView showGridLines="0" zoomScale="70" zoomScaleNormal="70" workbookViewId="0">
      <pane ySplit="3" topLeftCell="A4" activePane="bottomLeft" state="frozen"/>
      <selection pane="bottomLeft" activeCell="C22" sqref="C22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0.2048611111111111</v>
      </c>
      <c r="F5" s="8">
        <v>0.24652777777777779</v>
      </c>
      <c r="G5" s="8">
        <v>0.28125</v>
      </c>
      <c r="H5" s="15"/>
      <c r="I5" s="15"/>
      <c r="J5" s="15"/>
      <c r="K5" s="8"/>
      <c r="L5" s="8"/>
      <c r="M5" s="8"/>
      <c r="N5" s="8">
        <f>MOD(G5-F5, 1)</f>
        <v>3.472222222222221E-2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0.22222222222222221</v>
      </c>
      <c r="F6" s="8">
        <v>0.26041666666666669</v>
      </c>
      <c r="G6" s="8">
        <v>0.31597222222222221</v>
      </c>
      <c r="H6" s="15"/>
      <c r="I6" s="15"/>
      <c r="J6" s="15"/>
      <c r="K6" s="8"/>
      <c r="L6" s="8"/>
      <c r="M6" s="8"/>
      <c r="N6" s="8">
        <f t="shared" ref="N6:N15" si="0">MOD(G6-F6, 1)</f>
        <v>5.5555555555555525E-2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59</v>
      </c>
      <c r="C7" s="15">
        <v>752</v>
      </c>
      <c r="D7" s="15" t="s">
        <v>60</v>
      </c>
      <c r="E7" s="8">
        <v>0.21180555555555555</v>
      </c>
      <c r="F7" s="8">
        <v>0.22569444444444445</v>
      </c>
      <c r="G7" s="8">
        <v>0.2951388888888889</v>
      </c>
      <c r="H7" s="15"/>
      <c r="I7" s="15"/>
      <c r="J7" s="15"/>
      <c r="K7" s="8"/>
      <c r="L7" s="8"/>
      <c r="M7" s="8"/>
      <c r="N7" s="8">
        <f t="shared" si="0"/>
        <v>6.9444444444444448E-2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0.22916666666666666</v>
      </c>
      <c r="F8" s="8">
        <v>0.25694444444444442</v>
      </c>
      <c r="G8" s="8">
        <v>0.28819444444444442</v>
      </c>
      <c r="H8" s="15"/>
      <c r="I8" s="15"/>
      <c r="J8" s="15"/>
      <c r="K8" s="8"/>
      <c r="L8" s="8"/>
      <c r="M8" s="8"/>
      <c r="N8" s="8">
        <f t="shared" si="0"/>
        <v>3.125E-2</v>
      </c>
      <c r="O8" s="8">
        <f t="shared" si="1"/>
        <v>0</v>
      </c>
    </row>
    <row r="9" spans="1:18" s="2" customFormat="1" ht="23.25" customHeight="1" x14ac:dyDescent="0.25">
      <c r="A9" s="10" t="s">
        <v>17</v>
      </c>
      <c r="B9" s="15" t="s">
        <v>35</v>
      </c>
      <c r="C9" s="15">
        <v>353</v>
      </c>
      <c r="D9" s="15" t="s">
        <v>36</v>
      </c>
      <c r="E9" s="8">
        <v>0.21180555555555555</v>
      </c>
      <c r="F9" s="8">
        <v>0.25</v>
      </c>
      <c r="G9" s="8">
        <v>0.2951388888888889</v>
      </c>
      <c r="H9" s="15"/>
      <c r="I9" s="15"/>
      <c r="J9" s="15"/>
      <c r="K9" s="8"/>
      <c r="L9" s="8"/>
      <c r="M9" s="8"/>
      <c r="N9" s="8">
        <f t="shared" si="0"/>
        <v>4.5138888888888895E-2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61</v>
      </c>
      <c r="C10" s="15">
        <v>16</v>
      </c>
      <c r="D10" s="15" t="s">
        <v>62</v>
      </c>
      <c r="E10" s="8">
        <v>0.25347222222222221</v>
      </c>
      <c r="F10" s="8">
        <v>0.27083333333333331</v>
      </c>
      <c r="G10" s="8">
        <v>0.30902777777777779</v>
      </c>
      <c r="H10" s="15"/>
      <c r="I10" s="15"/>
      <c r="J10" s="15"/>
      <c r="K10" s="8"/>
      <c r="L10" s="8"/>
      <c r="M10" s="8"/>
      <c r="N10" s="8">
        <f t="shared" si="0"/>
        <v>3.8194444444444475E-2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65</v>
      </c>
      <c r="C11" s="15" t="s">
        <v>64</v>
      </c>
      <c r="D11" s="15" t="s">
        <v>63</v>
      </c>
      <c r="E11" s="8">
        <v>0.27777777777777779</v>
      </c>
      <c r="F11" s="8">
        <v>0.30555555555555558</v>
      </c>
      <c r="G11" s="8">
        <v>0.3298611111111111</v>
      </c>
      <c r="H11" s="15"/>
      <c r="I11" s="15"/>
      <c r="J11" s="15"/>
      <c r="K11" s="8"/>
      <c r="L11" s="8"/>
      <c r="M11" s="8"/>
      <c r="N11" s="8">
        <f t="shared" si="0"/>
        <v>2.4305555555555525E-2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 t="s">
        <v>41</v>
      </c>
      <c r="C12" s="15">
        <v>61</v>
      </c>
      <c r="D12" s="15" t="s">
        <v>42</v>
      </c>
      <c r="E12" s="8">
        <v>2.7777777777777776E-2</v>
      </c>
      <c r="F12" s="8">
        <v>0.2638888888888889</v>
      </c>
      <c r="G12" s="8">
        <v>0.28125</v>
      </c>
      <c r="H12" s="15"/>
      <c r="I12" s="15"/>
      <c r="J12" s="15"/>
      <c r="K12" s="8"/>
      <c r="L12" s="8"/>
      <c r="M12" s="8"/>
      <c r="N12" s="8">
        <f t="shared" si="0"/>
        <v>1.7361111111111105E-2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 t="s">
        <v>41</v>
      </c>
      <c r="C13" s="15">
        <v>61</v>
      </c>
      <c r="D13" s="15" t="s">
        <v>42</v>
      </c>
      <c r="E13" s="8">
        <v>2.7777777777777776E-2</v>
      </c>
      <c r="F13" s="8">
        <v>0.3611111111111111</v>
      </c>
      <c r="G13" s="8">
        <v>0.41666666666666669</v>
      </c>
      <c r="H13" s="15"/>
      <c r="I13" s="15"/>
      <c r="J13" s="15"/>
      <c r="K13" s="8"/>
      <c r="L13" s="8"/>
      <c r="M13" s="8"/>
      <c r="N13" s="8">
        <f t="shared" si="0"/>
        <v>5.555555555555558E-2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 t="s">
        <v>43</v>
      </c>
      <c r="C14" s="15">
        <v>516</v>
      </c>
      <c r="D14" s="15" t="s">
        <v>44</v>
      </c>
      <c r="E14" s="8">
        <v>2.7777777777777776E-2</v>
      </c>
      <c r="F14" s="8">
        <v>0.26041666666666669</v>
      </c>
      <c r="G14" s="8">
        <v>0.3298611111111111</v>
      </c>
      <c r="H14" s="15"/>
      <c r="I14" s="15"/>
      <c r="J14" s="15"/>
      <c r="K14" s="8"/>
      <c r="L14" s="8"/>
      <c r="M14" s="8"/>
      <c r="N14" s="8">
        <f t="shared" si="0"/>
        <v>6.944444444444442E-2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8"/>
      <c r="O16" s="8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6">
    <cfRule type="cellIs" dxfId="18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A540A-7593-4529-B55D-09B717686DE6}">
  <dimension ref="A1:R30"/>
  <sheetViews>
    <sheetView showGridLines="0" zoomScale="70" zoomScaleNormal="70" workbookViewId="0">
      <pane ySplit="3" topLeftCell="A4" activePane="bottomLeft" state="frozen"/>
      <selection pane="bottomLeft" activeCell="A32" sqref="A32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0.19444444444444445</v>
      </c>
      <c r="F5" s="8">
        <v>0.2326388888888889</v>
      </c>
      <c r="G5" s="8">
        <v>0.31944444444444442</v>
      </c>
      <c r="H5" s="15"/>
      <c r="I5" s="15"/>
      <c r="J5" s="15"/>
      <c r="K5" s="8"/>
      <c r="L5" s="8"/>
      <c r="M5" s="8"/>
      <c r="N5" s="8">
        <f>MOD(G5-F5, 1)</f>
        <v>8.6805555555555525E-2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0.22222222222222221</v>
      </c>
      <c r="F6" s="8">
        <v>0.25694444444444442</v>
      </c>
      <c r="G6" s="8">
        <v>0.30555555555555558</v>
      </c>
      <c r="H6" s="15"/>
      <c r="I6" s="15"/>
      <c r="J6" s="15"/>
      <c r="K6" s="8"/>
      <c r="L6" s="8"/>
      <c r="M6" s="8"/>
      <c r="N6" s="8">
        <f t="shared" ref="N6:N15" si="0">MOD(G6-F6, 1)</f>
        <v>4.861111111111116E-2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66</v>
      </c>
      <c r="C7" s="15">
        <v>353</v>
      </c>
      <c r="D7" s="15" t="s">
        <v>67</v>
      </c>
      <c r="E7" s="8">
        <v>0.19444444444444445</v>
      </c>
      <c r="F7" s="8">
        <v>0.20833333333333334</v>
      </c>
      <c r="G7" s="8">
        <v>0.28125</v>
      </c>
      <c r="H7" s="15"/>
      <c r="I7" s="15"/>
      <c r="J7" s="15"/>
      <c r="K7" s="8"/>
      <c r="L7" s="8"/>
      <c r="M7" s="8"/>
      <c r="N7" s="8">
        <f t="shared" si="0"/>
        <v>7.2916666666666657E-2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0.2326388888888889</v>
      </c>
      <c r="F8" s="8">
        <v>0.25694444444444442</v>
      </c>
      <c r="G8" s="8">
        <v>0.30555555555555558</v>
      </c>
      <c r="H8" s="15"/>
      <c r="I8" s="15"/>
      <c r="J8" s="15"/>
      <c r="K8" s="8"/>
      <c r="L8" s="8"/>
      <c r="M8" s="8"/>
      <c r="N8" s="8">
        <f t="shared" si="0"/>
        <v>4.861111111111116E-2</v>
      </c>
      <c r="O8" s="8">
        <f t="shared" si="1"/>
        <v>0</v>
      </c>
    </row>
    <row r="9" spans="1:18" s="2" customFormat="1" ht="23.25" customHeight="1" x14ac:dyDescent="0.25">
      <c r="A9" s="10" t="s">
        <v>17</v>
      </c>
      <c r="B9" s="15" t="s">
        <v>68</v>
      </c>
      <c r="C9" s="15">
        <v>294</v>
      </c>
      <c r="D9" s="15" t="s">
        <v>69</v>
      </c>
      <c r="E9" s="8">
        <v>0.2326388888888889</v>
      </c>
      <c r="F9" s="8">
        <v>0.26041666666666669</v>
      </c>
      <c r="G9" s="8">
        <v>0.28472222222222221</v>
      </c>
      <c r="H9" s="15"/>
      <c r="I9" s="15"/>
      <c r="J9" s="15"/>
      <c r="K9" s="8"/>
      <c r="L9" s="8"/>
      <c r="M9" s="8"/>
      <c r="N9" s="8">
        <f t="shared" si="0"/>
        <v>2.4305555555555525E-2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33</v>
      </c>
      <c r="C10" s="15">
        <v>184502</v>
      </c>
      <c r="D10" s="15" t="s">
        <v>34</v>
      </c>
      <c r="E10" s="8">
        <v>0.2326388888888889</v>
      </c>
      <c r="F10" s="8">
        <v>0.25</v>
      </c>
      <c r="G10" s="8">
        <v>0.3125</v>
      </c>
      <c r="H10" s="15"/>
      <c r="I10" s="15"/>
      <c r="J10" s="15"/>
      <c r="K10" s="8"/>
      <c r="L10" s="8"/>
      <c r="M10" s="8"/>
      <c r="N10" s="8">
        <f t="shared" si="0"/>
        <v>6.25E-2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0.21875</v>
      </c>
      <c r="F11" s="8">
        <v>0.2361111111111111</v>
      </c>
      <c r="G11" s="8">
        <v>0.34027777777777779</v>
      </c>
      <c r="H11" s="15"/>
      <c r="I11" s="15"/>
      <c r="J11" s="15"/>
      <c r="K11" s="8"/>
      <c r="L11" s="8"/>
      <c r="M11" s="8"/>
      <c r="N11" s="8">
        <f t="shared" si="0"/>
        <v>0.10416666666666669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/>
      <c r="C12" s="15"/>
      <c r="D12" s="15"/>
      <c r="E12" s="8"/>
      <c r="F12" s="8"/>
      <c r="G12" s="8"/>
      <c r="H12" s="15"/>
      <c r="I12" s="15"/>
      <c r="J12" s="15"/>
      <c r="K12" s="8"/>
      <c r="L12" s="8"/>
      <c r="M12" s="8"/>
      <c r="N12" s="8">
        <f t="shared" si="0"/>
        <v>0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/>
      <c r="C13" s="15"/>
      <c r="D13" s="15"/>
      <c r="E13" s="8"/>
      <c r="F13" s="8"/>
      <c r="G13" s="8"/>
      <c r="H13" s="15"/>
      <c r="I13" s="15"/>
      <c r="J13" s="15"/>
      <c r="K13" s="8"/>
      <c r="L13" s="8"/>
      <c r="M13" s="8"/>
      <c r="N13" s="8">
        <f t="shared" si="0"/>
        <v>0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/>
      <c r="C14" s="15"/>
      <c r="D14" s="15"/>
      <c r="E14" s="8"/>
      <c r="F14" s="8"/>
      <c r="G14" s="8"/>
      <c r="H14" s="15"/>
      <c r="I14" s="15"/>
      <c r="J14" s="15"/>
      <c r="K14" s="8"/>
      <c r="L14" s="8"/>
      <c r="M14" s="8"/>
      <c r="N14" s="8">
        <f t="shared" si="0"/>
        <v>0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10"/>
      <c r="G16" s="15"/>
      <c r="H16" s="15"/>
      <c r="I16" s="15"/>
      <c r="J16" s="8"/>
      <c r="K16" s="10"/>
      <c r="L16" s="15"/>
      <c r="M16" s="15"/>
      <c r="N16" s="15"/>
      <c r="O16" s="8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17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BCDD-3869-47B5-803B-3A6838B42949}">
  <dimension ref="A1:R30"/>
  <sheetViews>
    <sheetView showGridLines="0" zoomScale="70" zoomScaleNormal="70" workbookViewId="0">
      <pane ySplit="3" topLeftCell="A4" activePane="bottomLeft" state="frozen"/>
      <selection pane="bottomLeft" activeCell="G15" sqref="G15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0.19791666666666666</v>
      </c>
      <c r="F5" s="8">
        <v>0.25347222222222221</v>
      </c>
      <c r="G5" s="8">
        <v>0.27777777777777779</v>
      </c>
      <c r="H5" s="15"/>
      <c r="I5" s="15"/>
      <c r="J5" s="15"/>
      <c r="K5" s="8"/>
      <c r="L5" s="8"/>
      <c r="M5" s="8"/>
      <c r="N5" s="8">
        <f>MOD(G5-F5, 1)</f>
        <v>2.430555555555558E-2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0.22916666666666666</v>
      </c>
      <c r="F6" s="8">
        <v>0.27430555555555558</v>
      </c>
      <c r="G6" s="8">
        <v>0.33333333333333331</v>
      </c>
      <c r="H6" s="15"/>
      <c r="I6" s="15"/>
      <c r="J6" s="15"/>
      <c r="K6" s="8"/>
      <c r="L6" s="8"/>
      <c r="M6" s="8"/>
      <c r="N6" s="8">
        <f t="shared" ref="N6:N15" si="0">MOD(G6-F6, 1)</f>
        <v>5.9027777777777735E-2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70</v>
      </c>
      <c r="C7" s="15">
        <v>738</v>
      </c>
      <c r="D7" s="15" t="s">
        <v>71</v>
      </c>
      <c r="E7" s="8">
        <v>0.21527777777777779</v>
      </c>
      <c r="F7" s="8">
        <v>0.2326388888888889</v>
      </c>
      <c r="G7" s="8">
        <v>0.28819444444444442</v>
      </c>
      <c r="H7" s="15"/>
      <c r="I7" s="15"/>
      <c r="J7" s="15"/>
      <c r="K7" s="8"/>
      <c r="L7" s="8"/>
      <c r="M7" s="8"/>
      <c r="N7" s="8">
        <f t="shared" si="0"/>
        <v>5.5555555555555525E-2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0.2361111111111111</v>
      </c>
      <c r="F8" s="8">
        <v>0.2638888888888889</v>
      </c>
      <c r="G8" s="8">
        <v>0.2951388888888889</v>
      </c>
      <c r="H8" s="15"/>
      <c r="I8" s="15"/>
      <c r="J8" s="15"/>
      <c r="K8" s="8"/>
      <c r="L8" s="8"/>
      <c r="M8" s="8"/>
      <c r="N8" s="8">
        <f t="shared" si="0"/>
        <v>3.125E-2</v>
      </c>
      <c r="O8" s="8">
        <f t="shared" si="1"/>
        <v>0</v>
      </c>
    </row>
    <row r="9" spans="1:18" s="2" customFormat="1" ht="23.25" customHeight="1" x14ac:dyDescent="0.25">
      <c r="A9" s="10" t="s">
        <v>17</v>
      </c>
      <c r="B9" s="15" t="s">
        <v>29</v>
      </c>
      <c r="C9" s="15">
        <v>294</v>
      </c>
      <c r="D9" s="15" t="s">
        <v>30</v>
      </c>
      <c r="E9" s="8">
        <v>0.21875</v>
      </c>
      <c r="F9" s="8">
        <v>0.24652777777777779</v>
      </c>
      <c r="G9" s="8">
        <v>0.30208333333333331</v>
      </c>
      <c r="H9" s="15"/>
      <c r="I9" s="15"/>
      <c r="J9" s="15"/>
      <c r="K9" s="8"/>
      <c r="L9" s="8"/>
      <c r="M9" s="8"/>
      <c r="N9" s="8">
        <f t="shared" si="0"/>
        <v>5.5555555555555525E-2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37</v>
      </c>
      <c r="C10" s="15">
        <v>598</v>
      </c>
      <c r="D10" s="15" t="s">
        <v>38</v>
      </c>
      <c r="E10" s="8">
        <v>0.21875</v>
      </c>
      <c r="F10" s="8">
        <v>0.23958333333333334</v>
      </c>
      <c r="G10" s="8">
        <v>0.2986111111111111</v>
      </c>
      <c r="H10" s="15"/>
      <c r="I10" s="15"/>
      <c r="J10" s="15"/>
      <c r="K10" s="8"/>
      <c r="L10" s="8"/>
      <c r="M10" s="8"/>
      <c r="N10" s="8">
        <f t="shared" si="0"/>
        <v>5.9027777777777762E-2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0.24652777777777779</v>
      </c>
      <c r="F11" s="8">
        <v>0.2638888888888889</v>
      </c>
      <c r="G11" s="8">
        <v>0.36805555555555558</v>
      </c>
      <c r="H11" s="15"/>
      <c r="I11" s="15"/>
      <c r="J11" s="15"/>
      <c r="K11" s="8"/>
      <c r="L11" s="8"/>
      <c r="M11" s="8"/>
      <c r="N11" s="8">
        <f t="shared" si="0"/>
        <v>0.10416666666666669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 t="s">
        <v>41</v>
      </c>
      <c r="C12" s="15">
        <v>61</v>
      </c>
      <c r="D12" s="15" t="s">
        <v>42</v>
      </c>
      <c r="E12" s="8">
        <v>5.2083333333333336E-2</v>
      </c>
      <c r="F12" s="8">
        <v>0.27083333333333331</v>
      </c>
      <c r="G12" s="8">
        <v>0.28819444444444442</v>
      </c>
      <c r="H12" s="15"/>
      <c r="I12" s="15"/>
      <c r="J12" s="15"/>
      <c r="K12" s="8"/>
      <c r="L12" s="8"/>
      <c r="M12" s="8"/>
      <c r="N12" s="8">
        <f t="shared" si="0"/>
        <v>1.7361111111111105E-2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 t="s">
        <v>41</v>
      </c>
      <c r="C13" s="15">
        <v>61</v>
      </c>
      <c r="D13" s="15" t="s">
        <v>42</v>
      </c>
      <c r="E13" s="8">
        <v>5.2083333333333336E-2</v>
      </c>
      <c r="F13" s="8">
        <v>0.36458333333333331</v>
      </c>
      <c r="G13" s="8">
        <v>0.44444444444444442</v>
      </c>
      <c r="H13" s="15"/>
      <c r="I13" s="15"/>
      <c r="J13" s="15"/>
      <c r="K13" s="8"/>
      <c r="L13" s="8"/>
      <c r="M13" s="8"/>
      <c r="N13" s="8">
        <f t="shared" si="0"/>
        <v>7.9861111111111105E-2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 t="s">
        <v>43</v>
      </c>
      <c r="C14" s="15">
        <v>516</v>
      </c>
      <c r="D14" s="15" t="s">
        <v>44</v>
      </c>
      <c r="E14" s="8">
        <v>5.2083333333333336E-2</v>
      </c>
      <c r="F14" s="8">
        <v>0.28472222222222221</v>
      </c>
      <c r="G14" s="8">
        <v>0.31597222222222221</v>
      </c>
      <c r="H14" s="15"/>
      <c r="I14" s="15"/>
      <c r="J14" s="15"/>
      <c r="K14" s="8"/>
      <c r="L14" s="8"/>
      <c r="M14" s="8"/>
      <c r="N14" s="8">
        <f t="shared" si="0"/>
        <v>3.125E-2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16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2A33A-84BF-4D8B-91C4-55DBBC1182D0}">
  <dimension ref="A1:R30"/>
  <sheetViews>
    <sheetView showGridLines="0" zoomScale="55" zoomScaleNormal="55" workbookViewId="0">
      <pane ySplit="3" topLeftCell="A4" activePane="bottomLeft" state="frozen"/>
      <selection pane="bottomLeft" activeCell="G11" sqref="G11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72</v>
      </c>
      <c r="C5" s="15">
        <v>91</v>
      </c>
      <c r="D5" s="15" t="s">
        <v>73</v>
      </c>
      <c r="E5" s="8">
        <v>0.21180555555555555</v>
      </c>
      <c r="F5" s="8">
        <v>0.26041666666666669</v>
      </c>
      <c r="G5" s="8">
        <v>0.35069444444444442</v>
      </c>
      <c r="H5" s="15"/>
      <c r="I5" s="15"/>
      <c r="J5" s="15"/>
      <c r="K5" s="8"/>
      <c r="L5" s="8"/>
      <c r="M5" s="8"/>
      <c r="N5" s="8">
        <f>MOD(G5-F5, 1)</f>
        <v>9.0277777777777735E-2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74</v>
      </c>
      <c r="C6" s="15">
        <v>353</v>
      </c>
      <c r="D6" s="15" t="s">
        <v>75</v>
      </c>
      <c r="E6" s="8">
        <v>0.25</v>
      </c>
      <c r="F6" s="8">
        <v>0.28125</v>
      </c>
      <c r="G6" s="8">
        <v>0.3298611111111111</v>
      </c>
      <c r="H6" s="15"/>
      <c r="I6" s="15"/>
      <c r="J6" s="15"/>
      <c r="K6" s="8"/>
      <c r="L6" s="8"/>
      <c r="M6" s="8"/>
      <c r="N6" s="8">
        <f t="shared" ref="N6:N15" si="0">MOD(G6-F6, 1)</f>
        <v>4.8611111111111105E-2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59</v>
      </c>
      <c r="C7" s="15">
        <v>752</v>
      </c>
      <c r="D7" s="15" t="s">
        <v>60</v>
      </c>
      <c r="E7" s="8">
        <v>0.21180555555555555</v>
      </c>
      <c r="F7" s="8">
        <v>0.22222222222222221</v>
      </c>
      <c r="G7" s="8">
        <v>0.30208333333333331</v>
      </c>
      <c r="H7" s="15"/>
      <c r="I7" s="15"/>
      <c r="J7" s="15"/>
      <c r="K7" s="8"/>
      <c r="L7" s="8"/>
      <c r="M7" s="8"/>
      <c r="N7" s="8">
        <f t="shared" si="0"/>
        <v>7.9861111111111105E-2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0.24305555555555555</v>
      </c>
      <c r="F8" s="8">
        <v>0.2638888888888889</v>
      </c>
      <c r="G8" s="8">
        <v>0.30902777777777779</v>
      </c>
      <c r="H8" s="15"/>
      <c r="I8" s="15"/>
      <c r="J8" s="15"/>
      <c r="K8" s="8"/>
      <c r="L8" s="8"/>
      <c r="M8" s="8"/>
      <c r="N8" s="8">
        <f t="shared" si="0"/>
        <v>4.5138888888888895E-2</v>
      </c>
      <c r="O8" s="8">
        <f t="shared" si="1"/>
        <v>0</v>
      </c>
    </row>
    <row r="9" spans="1:18" s="2" customFormat="1" ht="23.25" customHeight="1" x14ac:dyDescent="0.25">
      <c r="A9" s="10" t="s">
        <v>17</v>
      </c>
      <c r="B9" s="15" t="s">
        <v>76</v>
      </c>
      <c r="C9" s="15">
        <v>353</v>
      </c>
      <c r="D9" s="15" t="s">
        <v>77</v>
      </c>
      <c r="E9" s="8">
        <v>0.22569444444444445</v>
      </c>
      <c r="F9" s="8">
        <v>0.23958333333333334</v>
      </c>
      <c r="G9" s="8">
        <v>0.31597222222222221</v>
      </c>
      <c r="H9" s="15"/>
      <c r="I9" s="15"/>
      <c r="J9" s="15"/>
      <c r="K9" s="8"/>
      <c r="L9" s="8"/>
      <c r="M9" s="8"/>
      <c r="N9" s="8">
        <f t="shared" si="0"/>
        <v>7.6388888888888867E-2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37</v>
      </c>
      <c r="C10" s="15">
        <v>598</v>
      </c>
      <c r="D10" s="15" t="s">
        <v>38</v>
      </c>
      <c r="E10" s="8">
        <v>0.19791666666666666</v>
      </c>
      <c r="F10" s="8">
        <v>0.2326388888888889</v>
      </c>
      <c r="G10" s="8">
        <v>0.30208333333333331</v>
      </c>
      <c r="H10" s="15"/>
      <c r="I10" s="15"/>
      <c r="J10" s="15"/>
      <c r="K10" s="8"/>
      <c r="L10" s="8"/>
      <c r="M10" s="8"/>
      <c r="N10" s="8">
        <f t="shared" si="0"/>
        <v>6.944444444444442E-2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0.23958333333333334</v>
      </c>
      <c r="F11" s="8">
        <v>0.25</v>
      </c>
      <c r="G11" s="8">
        <v>0.34027777777777779</v>
      </c>
      <c r="H11" s="15"/>
      <c r="I11" s="15"/>
      <c r="J11" s="15"/>
      <c r="K11" s="8"/>
      <c r="L11" s="8"/>
      <c r="M11" s="8"/>
      <c r="N11" s="8">
        <f t="shared" si="0"/>
        <v>9.027777777777779E-2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/>
      <c r="C12" s="15"/>
      <c r="D12" s="15"/>
      <c r="E12" s="8"/>
      <c r="F12" s="8"/>
      <c r="G12" s="8"/>
      <c r="H12" s="15"/>
      <c r="I12" s="15"/>
      <c r="J12" s="15"/>
      <c r="K12" s="8"/>
      <c r="L12" s="8"/>
      <c r="M12" s="8"/>
      <c r="N12" s="8">
        <f t="shared" si="0"/>
        <v>0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/>
      <c r="C13" s="15"/>
      <c r="D13" s="15"/>
      <c r="E13" s="8"/>
      <c r="F13" s="8"/>
      <c r="G13" s="8"/>
      <c r="H13" s="15"/>
      <c r="I13" s="15"/>
      <c r="J13" s="15"/>
      <c r="K13" s="8"/>
      <c r="L13" s="8"/>
      <c r="M13" s="8"/>
      <c r="N13" s="8">
        <f t="shared" si="0"/>
        <v>0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/>
      <c r="C14" s="15"/>
      <c r="D14" s="15"/>
      <c r="E14" s="8"/>
      <c r="F14" s="8"/>
      <c r="G14" s="8"/>
      <c r="H14" s="15"/>
      <c r="I14" s="15"/>
      <c r="J14" s="15"/>
      <c r="K14" s="8"/>
      <c r="L14" s="8"/>
      <c r="M14" s="8"/>
      <c r="N14" s="8">
        <f t="shared" si="0"/>
        <v>0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15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0CD14-3FFD-40C1-851C-DE4189FA1532}">
  <dimension ref="A1:R30"/>
  <sheetViews>
    <sheetView showGridLines="0" topLeftCell="E1" zoomScale="70" zoomScaleNormal="70" workbookViewId="0">
      <pane ySplit="3" topLeftCell="A4" activePane="bottomLeft" state="frozen"/>
      <selection pane="bottomLeft" activeCell="L10" sqref="L10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0.2048611111111111</v>
      </c>
      <c r="F5" s="8">
        <v>0.25694444444444442</v>
      </c>
      <c r="G5" s="8">
        <v>0.28472222222222221</v>
      </c>
      <c r="H5" s="15"/>
      <c r="I5" s="15"/>
      <c r="J5" s="15"/>
      <c r="K5" s="8"/>
      <c r="L5" s="8"/>
      <c r="M5" s="8"/>
      <c r="N5" s="8">
        <f>MOD(G5-F5, 1)</f>
        <v>2.777777777777779E-2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0.2361111111111111</v>
      </c>
      <c r="F6" s="8">
        <v>0.28472222222222221</v>
      </c>
      <c r="G6" s="8">
        <v>0.3263888888888889</v>
      </c>
      <c r="H6" s="15"/>
      <c r="I6" s="15"/>
      <c r="J6" s="15"/>
      <c r="K6" s="8"/>
      <c r="L6" s="8"/>
      <c r="M6" s="8"/>
      <c r="N6" s="8">
        <f t="shared" ref="N6:N15" si="0">MOD(G6-F6, 1)</f>
        <v>4.1666666666666685E-2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59</v>
      </c>
      <c r="C7" s="15">
        <v>752</v>
      </c>
      <c r="D7" s="15" t="s">
        <v>60</v>
      </c>
      <c r="E7" s="8" t="s">
        <v>84</v>
      </c>
      <c r="F7" s="8">
        <v>0.22222222222222221</v>
      </c>
      <c r="G7" s="8">
        <v>0.30902777777777779</v>
      </c>
      <c r="H7" s="15"/>
      <c r="I7" s="15"/>
      <c r="J7" s="15"/>
      <c r="K7" s="8"/>
      <c r="L7" s="8"/>
      <c r="M7" s="8"/>
      <c r="N7" s="8">
        <f t="shared" si="0"/>
        <v>8.680555555555558E-2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0.22916666666666666</v>
      </c>
      <c r="F8" s="8">
        <v>0.25694444444444442</v>
      </c>
      <c r="G8" s="8">
        <v>0.2986111111111111</v>
      </c>
      <c r="H8" s="15" t="s">
        <v>78</v>
      </c>
      <c r="I8" s="15">
        <v>496</v>
      </c>
      <c r="J8" s="15" t="s">
        <v>79</v>
      </c>
      <c r="K8" s="8">
        <v>0.21875</v>
      </c>
      <c r="L8" s="8">
        <v>0.24652777777777779</v>
      </c>
      <c r="M8" s="8">
        <v>0.28125</v>
      </c>
      <c r="N8" s="8">
        <f t="shared" si="0"/>
        <v>4.1666666666666685E-2</v>
      </c>
      <c r="O8" s="8">
        <f t="shared" si="1"/>
        <v>3.472222222222221E-2</v>
      </c>
    </row>
    <row r="9" spans="1:18" s="2" customFormat="1" ht="23.25" customHeight="1" x14ac:dyDescent="0.25">
      <c r="A9" s="10" t="s">
        <v>17</v>
      </c>
      <c r="B9" s="15" t="s">
        <v>37</v>
      </c>
      <c r="C9" s="15">
        <v>598</v>
      </c>
      <c r="D9" s="15" t="s">
        <v>38</v>
      </c>
      <c r="E9" s="8">
        <v>0.22222222222222221</v>
      </c>
      <c r="F9" s="8">
        <v>0.23958333333333334</v>
      </c>
      <c r="G9" s="8">
        <v>0.30208333333333331</v>
      </c>
      <c r="H9" s="15"/>
      <c r="I9" s="15"/>
      <c r="J9" s="15"/>
      <c r="K9" s="8"/>
      <c r="L9" s="8"/>
      <c r="M9" s="8"/>
      <c r="N9" s="8">
        <f t="shared" si="0"/>
        <v>6.2499999999999972E-2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80</v>
      </c>
      <c r="C10" s="15">
        <v>353</v>
      </c>
      <c r="D10" s="15" t="s">
        <v>81</v>
      </c>
      <c r="E10" s="8">
        <v>0.19444444444444445</v>
      </c>
      <c r="F10" s="8">
        <v>0.21527777777777779</v>
      </c>
      <c r="G10" s="8">
        <v>0.30902777777777779</v>
      </c>
      <c r="H10" s="15"/>
      <c r="I10" s="15"/>
      <c r="J10" s="15"/>
      <c r="K10" s="8"/>
      <c r="L10" s="8"/>
      <c r="M10" s="8"/>
      <c r="N10" s="8">
        <f t="shared" si="0"/>
        <v>9.375E-2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0.24305555555555555</v>
      </c>
      <c r="F11" s="8">
        <v>0.2638888888888889</v>
      </c>
      <c r="G11" s="8">
        <v>0.3576388888888889</v>
      </c>
      <c r="H11" s="15"/>
      <c r="I11" s="15"/>
      <c r="J11" s="15"/>
      <c r="K11" s="8"/>
      <c r="L11" s="8"/>
      <c r="M11" s="8"/>
      <c r="N11" s="8">
        <f t="shared" si="0"/>
        <v>9.375E-2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 t="s">
        <v>41</v>
      </c>
      <c r="C12" s="15">
        <v>61</v>
      </c>
      <c r="D12" s="15" t="s">
        <v>42</v>
      </c>
      <c r="E12" s="8" t="s">
        <v>83</v>
      </c>
      <c r="F12" s="8">
        <v>0.2638888888888889</v>
      </c>
      <c r="G12" s="8">
        <v>0.27777777777777779</v>
      </c>
      <c r="H12" s="15"/>
      <c r="I12" s="15"/>
      <c r="J12" s="15"/>
      <c r="K12" s="8"/>
      <c r="L12" s="8"/>
      <c r="M12" s="8"/>
      <c r="N12" s="8">
        <f t="shared" si="0"/>
        <v>1.3888888888888895E-2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 t="s">
        <v>41</v>
      </c>
      <c r="C13" s="15">
        <v>61</v>
      </c>
      <c r="D13" s="15" t="s">
        <v>42</v>
      </c>
      <c r="E13" s="8" t="s">
        <v>83</v>
      </c>
      <c r="F13" s="8">
        <v>0.36805555555555558</v>
      </c>
      <c r="G13" s="8">
        <v>0.40972222222222221</v>
      </c>
      <c r="H13" s="15"/>
      <c r="I13" s="15"/>
      <c r="J13" s="15"/>
      <c r="K13" s="8"/>
      <c r="L13" s="8"/>
      <c r="M13" s="8"/>
      <c r="N13" s="8">
        <f t="shared" si="0"/>
        <v>4.166666666666663E-2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 t="s">
        <v>43</v>
      </c>
      <c r="C14" s="15">
        <v>516</v>
      </c>
      <c r="D14" s="15" t="s">
        <v>44</v>
      </c>
      <c r="E14" s="8" t="s">
        <v>82</v>
      </c>
      <c r="F14" s="8">
        <v>0.2638888888888889</v>
      </c>
      <c r="G14" s="8">
        <v>0.31597222222222221</v>
      </c>
      <c r="H14" s="15"/>
      <c r="I14" s="15"/>
      <c r="J14" s="15"/>
      <c r="K14" s="8"/>
      <c r="L14" s="8"/>
      <c r="M14" s="8"/>
      <c r="N14" s="8">
        <f t="shared" si="0"/>
        <v>5.2083333333333315E-2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16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14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4152A-4653-43E6-AD9A-96593A34C237}">
  <dimension ref="A1:R30"/>
  <sheetViews>
    <sheetView showGridLines="0" zoomScale="70" zoomScaleNormal="70" workbookViewId="0">
      <pane ySplit="3" topLeftCell="A4" activePane="bottomLeft" state="frozen"/>
      <selection pane="bottomLeft" activeCell="G12" sqref="G12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85</v>
      </c>
      <c r="C5" s="15">
        <v>91</v>
      </c>
      <c r="D5" s="15" t="s">
        <v>86</v>
      </c>
      <c r="E5" s="8">
        <v>0.2013888888888889</v>
      </c>
      <c r="F5" s="8">
        <v>0.23958333333333334</v>
      </c>
      <c r="G5" s="8">
        <v>0.29166666666666669</v>
      </c>
      <c r="H5" s="15"/>
      <c r="I5" s="15"/>
      <c r="J5" s="15"/>
      <c r="K5" s="8"/>
      <c r="L5" s="8"/>
      <c r="M5" s="8"/>
      <c r="N5" s="8">
        <f>MOD(G5-F5, 1)</f>
        <v>5.2083333333333343E-2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0.22222222222222221</v>
      </c>
      <c r="F6" s="8">
        <v>0.2638888888888889</v>
      </c>
      <c r="G6" s="8">
        <v>0.31944444444444442</v>
      </c>
      <c r="H6" s="15"/>
      <c r="I6" s="15"/>
      <c r="J6" s="15"/>
      <c r="K6" s="8"/>
      <c r="L6" s="8"/>
      <c r="M6" s="8"/>
      <c r="N6" s="8">
        <f t="shared" ref="N6:N15" si="0">MOD(G6-F6, 1)</f>
        <v>5.5555555555555525E-2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59</v>
      </c>
      <c r="C7" s="15">
        <v>752</v>
      </c>
      <c r="D7" s="15" t="s">
        <v>60</v>
      </c>
      <c r="E7" s="8">
        <v>0.20833333333333334</v>
      </c>
      <c r="F7" s="8">
        <v>0.22569444444444445</v>
      </c>
      <c r="G7" s="8">
        <v>0.30555555555555558</v>
      </c>
      <c r="H7" s="15"/>
      <c r="I7" s="15"/>
      <c r="J7" s="15"/>
      <c r="K7" s="8"/>
      <c r="L7" s="8"/>
      <c r="M7" s="8"/>
      <c r="N7" s="8">
        <f t="shared" si="0"/>
        <v>7.9861111111111133E-2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43</v>
      </c>
      <c r="C8" s="15">
        <v>516</v>
      </c>
      <c r="D8" s="15" t="s">
        <v>44</v>
      </c>
      <c r="E8" s="8">
        <v>0.19444444444444445</v>
      </c>
      <c r="F8" s="8">
        <v>0.23958333333333334</v>
      </c>
      <c r="G8" s="8">
        <v>0.28472222222222221</v>
      </c>
      <c r="H8" s="15"/>
      <c r="I8" s="15"/>
      <c r="J8" s="15"/>
      <c r="K8" s="8"/>
      <c r="L8" s="8"/>
      <c r="M8" s="8"/>
      <c r="N8" s="8">
        <f t="shared" si="0"/>
        <v>4.5138888888888867E-2</v>
      </c>
      <c r="O8" s="8">
        <f t="shared" si="1"/>
        <v>0</v>
      </c>
    </row>
    <row r="9" spans="1:18" s="2" customFormat="1" ht="23.25" customHeight="1" x14ac:dyDescent="0.25">
      <c r="A9" s="10" t="s">
        <v>17</v>
      </c>
      <c r="B9" s="15" t="s">
        <v>87</v>
      </c>
      <c r="C9" s="15">
        <v>184016</v>
      </c>
      <c r="D9" s="15" t="s">
        <v>88</v>
      </c>
      <c r="E9" s="8" t="s">
        <v>45</v>
      </c>
      <c r="F9" s="8" t="s">
        <v>46</v>
      </c>
      <c r="G9" s="8"/>
      <c r="H9" s="15"/>
      <c r="I9" s="15"/>
      <c r="J9" s="15"/>
      <c r="K9" s="8"/>
      <c r="L9" s="8"/>
      <c r="M9" s="8"/>
      <c r="N9" s="8" t="e">
        <f t="shared" si="0"/>
        <v>#VALUE!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89</v>
      </c>
      <c r="C10" s="15">
        <v>353</v>
      </c>
      <c r="D10" s="15" t="s">
        <v>90</v>
      </c>
      <c r="E10" s="8">
        <v>0.21527777777777779</v>
      </c>
      <c r="F10" s="8">
        <v>0.32291666666666669</v>
      </c>
      <c r="G10" s="8">
        <v>0.38194444444444442</v>
      </c>
      <c r="H10" s="15"/>
      <c r="I10" s="15"/>
      <c r="J10" s="15"/>
      <c r="K10" s="8"/>
      <c r="L10" s="8"/>
      <c r="M10" s="8"/>
      <c r="N10" s="8">
        <f t="shared" si="0"/>
        <v>5.9027777777777735E-2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0.22222222222222221</v>
      </c>
      <c r="F11" s="8">
        <v>0.2361111111111111</v>
      </c>
      <c r="G11" s="8">
        <v>0.3611111111111111</v>
      </c>
      <c r="H11" s="15"/>
      <c r="I11" s="15"/>
      <c r="J11" s="15"/>
      <c r="K11" s="8"/>
      <c r="L11" s="8"/>
      <c r="M11" s="8"/>
      <c r="N11" s="8">
        <f t="shared" si="0"/>
        <v>0.125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/>
      <c r="C12" s="15"/>
      <c r="D12" s="15"/>
      <c r="E12" s="8"/>
      <c r="F12" s="8"/>
      <c r="G12" s="8"/>
      <c r="H12" s="15"/>
      <c r="I12" s="15"/>
      <c r="J12" s="15"/>
      <c r="K12" s="8"/>
      <c r="L12" s="8"/>
      <c r="M12" s="8"/>
      <c r="N12" s="8">
        <f t="shared" si="0"/>
        <v>0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/>
      <c r="C13" s="15"/>
      <c r="D13" s="15"/>
      <c r="E13" s="8"/>
      <c r="F13" s="8"/>
      <c r="G13" s="8"/>
      <c r="H13" s="15"/>
      <c r="I13" s="15"/>
      <c r="J13" s="15"/>
      <c r="K13" s="8"/>
      <c r="L13" s="8"/>
      <c r="M13" s="8"/>
      <c r="N13" s="8">
        <f t="shared" si="0"/>
        <v>0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/>
      <c r="C14" s="15"/>
      <c r="D14" s="15"/>
      <c r="E14" s="8"/>
      <c r="F14" s="8"/>
      <c r="G14" s="8"/>
      <c r="H14" s="15"/>
      <c r="I14" s="15"/>
      <c r="J14" s="15"/>
      <c r="K14" s="8"/>
      <c r="L14" s="8"/>
      <c r="M14" s="8"/>
      <c r="N14" s="8">
        <f t="shared" si="0"/>
        <v>0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13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05321-C42E-4755-AE30-FF5D9EF16906}">
  <dimension ref="A1:R30"/>
  <sheetViews>
    <sheetView showGridLines="0" zoomScale="70" zoomScaleNormal="70" workbookViewId="0">
      <pane ySplit="3" topLeftCell="A4" activePane="bottomLeft" state="frozen"/>
      <selection pane="bottomLeft" activeCell="B23" sqref="B23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0.19791666666666666</v>
      </c>
      <c r="F5" s="8">
        <v>0.2326388888888889</v>
      </c>
      <c r="G5" s="8">
        <v>0.27430555555555558</v>
      </c>
      <c r="H5" s="15"/>
      <c r="I5" s="15"/>
      <c r="J5" s="15"/>
      <c r="K5" s="8"/>
      <c r="L5" s="8"/>
      <c r="M5" s="8"/>
      <c r="N5" s="8">
        <f>MOD(G5-F5, 1)</f>
        <v>4.1666666666666685E-2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0.20833333333333334</v>
      </c>
      <c r="F6" s="8">
        <v>0.23958333333333334</v>
      </c>
      <c r="G6" s="8">
        <v>0.2951388888888889</v>
      </c>
      <c r="H6" s="15"/>
      <c r="I6" s="15"/>
      <c r="J6" s="15"/>
      <c r="K6" s="8"/>
      <c r="L6" s="8"/>
      <c r="M6" s="8"/>
      <c r="N6" s="8">
        <f t="shared" ref="N6:N15" si="0">MOD(G6-F6, 1)</f>
        <v>5.5555555555555552E-2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80</v>
      </c>
      <c r="C7" s="15">
        <v>353</v>
      </c>
      <c r="D7" s="15" t="s">
        <v>81</v>
      </c>
      <c r="E7" s="8">
        <v>0.19444444444444445</v>
      </c>
      <c r="F7" s="8">
        <v>0.21527777777777779</v>
      </c>
      <c r="G7" s="8">
        <v>0.28125</v>
      </c>
      <c r="H7" s="15"/>
      <c r="I7" s="15"/>
      <c r="J7" s="15"/>
      <c r="K7" s="8"/>
      <c r="L7" s="8"/>
      <c r="M7" s="8"/>
      <c r="N7" s="8">
        <f t="shared" si="0"/>
        <v>6.597222222222221E-2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0.22569444444444445</v>
      </c>
      <c r="F8" s="8">
        <v>0.24652777777777779</v>
      </c>
      <c r="G8" s="8">
        <v>0.28472222222222221</v>
      </c>
      <c r="H8" s="15"/>
      <c r="I8" s="15"/>
      <c r="J8" s="15"/>
      <c r="K8" s="8"/>
      <c r="L8" s="8"/>
      <c r="M8" s="8"/>
      <c r="N8" s="8">
        <f t="shared" si="0"/>
        <v>3.819444444444442E-2</v>
      </c>
      <c r="O8" s="8">
        <f t="shared" si="1"/>
        <v>0</v>
      </c>
    </row>
    <row r="9" spans="1:18" s="2" customFormat="1" ht="23.25" customHeight="1" x14ac:dyDescent="0.25">
      <c r="A9" s="10" t="s">
        <v>17</v>
      </c>
      <c r="B9" s="15" t="s">
        <v>37</v>
      </c>
      <c r="C9" s="15">
        <v>598</v>
      </c>
      <c r="D9" s="15" t="s">
        <v>38</v>
      </c>
      <c r="E9" s="8">
        <v>0.22916666666666666</v>
      </c>
      <c r="F9" s="8">
        <v>0.25347222222222221</v>
      </c>
      <c r="G9" s="8">
        <v>0.2986111111111111</v>
      </c>
      <c r="H9" s="15"/>
      <c r="I9" s="15"/>
      <c r="J9" s="15"/>
      <c r="K9" s="8"/>
      <c r="L9" s="8"/>
      <c r="M9" s="8"/>
      <c r="N9" s="8">
        <f t="shared" si="0"/>
        <v>4.5138888888888895E-2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59</v>
      </c>
      <c r="C10" s="15">
        <v>752</v>
      </c>
      <c r="D10" s="15" t="s">
        <v>60</v>
      </c>
      <c r="E10" s="8">
        <v>0.21875</v>
      </c>
      <c r="F10" s="8">
        <v>0.2361111111111111</v>
      </c>
      <c r="G10" s="8">
        <v>0.30902777777777779</v>
      </c>
      <c r="H10" s="15"/>
      <c r="I10" s="15"/>
      <c r="J10" s="15"/>
      <c r="K10" s="8"/>
      <c r="L10" s="8"/>
      <c r="M10" s="8"/>
      <c r="N10" s="8">
        <f t="shared" si="0"/>
        <v>7.2916666666666685E-2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0.22569444444444445</v>
      </c>
      <c r="F11" s="8">
        <v>0.24305555555555555</v>
      </c>
      <c r="G11" s="8">
        <v>0.35069444444444442</v>
      </c>
      <c r="H11" s="15"/>
      <c r="I11" s="15"/>
      <c r="J11" s="15"/>
      <c r="K11" s="8"/>
      <c r="L11" s="8"/>
      <c r="M11" s="8"/>
      <c r="N11" s="8">
        <f t="shared" si="0"/>
        <v>0.10763888888888887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 t="s">
        <v>41</v>
      </c>
      <c r="C12" s="15">
        <v>61</v>
      </c>
      <c r="D12" s="15" t="s">
        <v>42</v>
      </c>
      <c r="E12" s="8">
        <v>1.3888888888888888E-2</v>
      </c>
      <c r="F12" s="8">
        <v>0.26041666666666669</v>
      </c>
      <c r="G12" s="8">
        <v>0.28125</v>
      </c>
      <c r="H12" s="15"/>
      <c r="I12" s="15"/>
      <c r="J12" s="15"/>
      <c r="K12" s="8"/>
      <c r="L12" s="8"/>
      <c r="M12" s="8"/>
      <c r="N12" s="8">
        <f t="shared" si="0"/>
        <v>2.0833333333333315E-2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 t="s">
        <v>41</v>
      </c>
      <c r="C13" s="15">
        <v>61</v>
      </c>
      <c r="D13" s="15" t="s">
        <v>42</v>
      </c>
      <c r="E13" s="8">
        <v>1.3888888888888888E-2</v>
      </c>
      <c r="F13" s="8">
        <v>0.3576388888888889</v>
      </c>
      <c r="G13" s="8">
        <v>0.40625</v>
      </c>
      <c r="H13" s="15"/>
      <c r="I13" s="15"/>
      <c r="J13" s="15"/>
      <c r="K13" s="8"/>
      <c r="L13" s="8"/>
      <c r="M13" s="8"/>
      <c r="N13" s="8">
        <f t="shared" si="0"/>
        <v>4.8611111111111105E-2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 t="s">
        <v>43</v>
      </c>
      <c r="C14" s="15">
        <v>516</v>
      </c>
      <c r="D14" s="15" t="s">
        <v>44</v>
      </c>
      <c r="E14" s="8">
        <v>1.3888888888888888E-2</v>
      </c>
      <c r="F14" s="8">
        <v>0.27430555555555558</v>
      </c>
      <c r="G14" s="8">
        <v>0.31944444444444442</v>
      </c>
      <c r="H14" s="15"/>
      <c r="I14" s="15"/>
      <c r="J14" s="15"/>
      <c r="K14" s="8"/>
      <c r="L14" s="8"/>
      <c r="M14" s="8"/>
      <c r="N14" s="8">
        <f t="shared" si="0"/>
        <v>4.513888888888884E-2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12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F00C-3E96-4620-9892-BCF945660320}">
  <dimension ref="A1:R30"/>
  <sheetViews>
    <sheetView showGridLines="0" zoomScale="70" zoomScaleNormal="70" workbookViewId="0">
      <pane ySplit="3" topLeftCell="A4" activePane="bottomLeft" state="frozen"/>
      <selection pane="bottomLeft" activeCell="C17" sqref="C17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0.2048611111111111</v>
      </c>
      <c r="F5" s="8">
        <v>0.24305555555555555</v>
      </c>
      <c r="G5" s="8">
        <v>0.2638888888888889</v>
      </c>
      <c r="H5" s="15"/>
      <c r="I5" s="15"/>
      <c r="J5" s="15"/>
      <c r="K5" s="8"/>
      <c r="L5" s="8"/>
      <c r="M5" s="8"/>
      <c r="N5" s="8">
        <f>MOD(G5-F5, 1)</f>
        <v>2.0833333333333343E-2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0.2048611111111111</v>
      </c>
      <c r="F6" s="8">
        <v>0.2361111111111111</v>
      </c>
      <c r="G6" s="8">
        <v>0.2951388888888889</v>
      </c>
      <c r="H6" s="15"/>
      <c r="I6" s="15"/>
      <c r="J6" s="15"/>
      <c r="K6" s="8"/>
      <c r="L6" s="8"/>
      <c r="M6" s="8"/>
      <c r="N6" s="8">
        <f t="shared" ref="N6:N15" si="0">MOD(G6-F6, 1)</f>
        <v>5.902777777777779E-2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59</v>
      </c>
      <c r="C7" s="15">
        <v>752</v>
      </c>
      <c r="D7" s="15" t="s">
        <v>60</v>
      </c>
      <c r="E7" s="8">
        <v>0.21180555555555555</v>
      </c>
      <c r="F7" s="8">
        <v>0.22569444444444445</v>
      </c>
      <c r="G7" s="8">
        <v>0.31944444444444442</v>
      </c>
      <c r="H7" s="15"/>
      <c r="I7" s="15"/>
      <c r="J7" s="15"/>
      <c r="K7" s="8"/>
      <c r="L7" s="8"/>
      <c r="M7" s="8"/>
      <c r="N7" s="8">
        <f t="shared" si="0"/>
        <v>9.3749999999999972E-2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0.21180555555555555</v>
      </c>
      <c r="F8" s="8">
        <v>0.2326388888888889</v>
      </c>
      <c r="G8" s="8">
        <v>0.2951388888888889</v>
      </c>
      <c r="H8" s="15"/>
      <c r="I8" s="15"/>
      <c r="J8" s="15"/>
      <c r="K8" s="8"/>
      <c r="L8" s="8"/>
      <c r="M8" s="8"/>
      <c r="N8" s="8">
        <f t="shared" si="0"/>
        <v>6.25E-2</v>
      </c>
      <c r="O8" s="8">
        <f t="shared" si="1"/>
        <v>0</v>
      </c>
    </row>
    <row r="9" spans="1:18" s="2" customFormat="1" ht="23.25" customHeight="1" x14ac:dyDescent="0.25">
      <c r="A9" s="10" t="s">
        <v>17</v>
      </c>
      <c r="B9" s="15" t="s">
        <v>37</v>
      </c>
      <c r="C9" s="15">
        <v>598</v>
      </c>
      <c r="D9" s="15" t="s">
        <v>38</v>
      </c>
      <c r="E9" s="8">
        <v>0.22916666666666666</v>
      </c>
      <c r="F9" s="8">
        <v>0.25</v>
      </c>
      <c r="G9" s="8">
        <v>0.36458333333333331</v>
      </c>
      <c r="H9" s="15"/>
      <c r="I9" s="15"/>
      <c r="J9" s="15"/>
      <c r="K9" s="8"/>
      <c r="L9" s="8"/>
      <c r="M9" s="8"/>
      <c r="N9" s="8">
        <f t="shared" si="0"/>
        <v>0.11458333333333331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91</v>
      </c>
      <c r="C10" s="15">
        <v>353</v>
      </c>
      <c r="D10" s="15" t="s">
        <v>92</v>
      </c>
      <c r="E10" s="8">
        <v>0.20833333333333334</v>
      </c>
      <c r="F10" s="8">
        <v>0.22569444444444445</v>
      </c>
      <c r="G10" s="8">
        <v>0.27777777777777779</v>
      </c>
      <c r="H10" s="15"/>
      <c r="I10" s="15"/>
      <c r="J10" s="15"/>
      <c r="K10" s="8"/>
      <c r="L10" s="8"/>
      <c r="M10" s="8"/>
      <c r="N10" s="8">
        <f t="shared" si="0"/>
        <v>5.2083333333333343E-2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0.22569444444444445</v>
      </c>
      <c r="F11" s="8">
        <v>0.23958333333333334</v>
      </c>
      <c r="G11" s="8">
        <v>0.31944444444444442</v>
      </c>
      <c r="H11" s="15"/>
      <c r="I11" s="15"/>
      <c r="J11" s="15"/>
      <c r="K11" s="8"/>
      <c r="L11" s="8"/>
      <c r="M11" s="8"/>
      <c r="N11" s="8">
        <f t="shared" si="0"/>
        <v>7.9861111111111077E-2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/>
      <c r="C12" s="15"/>
      <c r="D12" s="15"/>
      <c r="E12" s="8"/>
      <c r="F12" s="8"/>
      <c r="G12" s="8"/>
      <c r="H12" s="15"/>
      <c r="I12" s="15"/>
      <c r="J12" s="15"/>
      <c r="K12" s="8"/>
      <c r="L12" s="8"/>
      <c r="M12" s="8"/>
      <c r="N12" s="8">
        <f t="shared" si="0"/>
        <v>0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/>
      <c r="C13" s="15"/>
      <c r="D13" s="15"/>
      <c r="E13" s="8"/>
      <c r="F13" s="8"/>
      <c r="G13" s="8"/>
      <c r="H13" s="15"/>
      <c r="I13" s="15"/>
      <c r="J13" s="15"/>
      <c r="K13" s="8"/>
      <c r="L13" s="8"/>
      <c r="M13" s="8"/>
      <c r="N13" s="8">
        <f t="shared" si="0"/>
        <v>0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/>
      <c r="C14" s="15"/>
      <c r="D14" s="15"/>
      <c r="E14" s="8"/>
      <c r="F14" s="8"/>
      <c r="G14" s="8"/>
      <c r="H14" s="15"/>
      <c r="I14" s="15"/>
      <c r="J14" s="15"/>
      <c r="K14" s="8"/>
      <c r="L14" s="8"/>
      <c r="M14" s="8"/>
      <c r="N14" s="8">
        <f t="shared" si="0"/>
        <v>0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11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7F1C-C2EC-4B2A-9D08-4D5A0D2F86C3}">
  <dimension ref="A1:R30"/>
  <sheetViews>
    <sheetView showGridLines="0" zoomScale="55" zoomScaleNormal="55" workbookViewId="0">
      <pane ySplit="3" topLeftCell="A4" activePane="bottomLeft" state="frozen"/>
      <selection pane="bottomLeft" activeCell="G15" sqref="G15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0.20833333333333334</v>
      </c>
      <c r="F5" s="8">
        <v>0.24652777777777779</v>
      </c>
      <c r="G5" s="8">
        <v>0.2673611111111111</v>
      </c>
      <c r="H5" s="15"/>
      <c r="I5" s="15"/>
      <c r="J5" s="15"/>
      <c r="K5" s="8"/>
      <c r="L5" s="8"/>
      <c r="M5" s="8"/>
      <c r="N5" s="8">
        <f>MOD(G5-F5, 1)</f>
        <v>2.0833333333333315E-2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0.21875</v>
      </c>
      <c r="F6" s="8">
        <v>0.25347222222222221</v>
      </c>
      <c r="G6" s="8">
        <v>0.30208333333333331</v>
      </c>
      <c r="H6" s="15"/>
      <c r="I6" s="15"/>
      <c r="J6" s="15"/>
      <c r="K6" s="8"/>
      <c r="L6" s="8"/>
      <c r="M6" s="8"/>
      <c r="N6" s="8">
        <f t="shared" ref="N6:N15" si="0">MOD(G6-F6, 1)</f>
        <v>4.8611111111111105E-2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59</v>
      </c>
      <c r="C7" s="15">
        <v>752</v>
      </c>
      <c r="D7" s="15" t="s">
        <v>60</v>
      </c>
      <c r="E7" s="8">
        <v>0.21180555555555555</v>
      </c>
      <c r="F7" s="8">
        <v>0.22222222222222221</v>
      </c>
      <c r="G7" s="8">
        <v>0.30555555555555558</v>
      </c>
      <c r="H7" s="15"/>
      <c r="I7" s="15"/>
      <c r="J7" s="15"/>
      <c r="K7" s="8"/>
      <c r="L7" s="8"/>
      <c r="M7" s="8"/>
      <c r="N7" s="8">
        <f t="shared" si="0"/>
        <v>8.333333333333337E-2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0.22916666666666666</v>
      </c>
      <c r="F8" s="8">
        <v>0.2638888888888889</v>
      </c>
      <c r="G8" s="8">
        <v>0.30902777777777779</v>
      </c>
      <c r="H8" s="15"/>
      <c r="I8" s="15"/>
      <c r="J8" s="15"/>
      <c r="K8" s="8"/>
      <c r="L8" s="8"/>
      <c r="M8" s="8"/>
      <c r="N8" s="8">
        <f t="shared" si="0"/>
        <v>4.5138888888888895E-2</v>
      </c>
      <c r="O8" s="8">
        <f t="shared" si="1"/>
        <v>0</v>
      </c>
    </row>
    <row r="9" spans="1:18" s="2" customFormat="1" ht="23.25" customHeight="1" x14ac:dyDescent="0.25">
      <c r="A9" s="10" t="s">
        <v>17</v>
      </c>
      <c r="B9" s="15" t="s">
        <v>37</v>
      </c>
      <c r="C9" s="15">
        <v>598</v>
      </c>
      <c r="D9" s="15" t="s">
        <v>38</v>
      </c>
      <c r="E9" s="8">
        <v>0.22916666666666666</v>
      </c>
      <c r="F9" s="8">
        <v>0.24652777777777779</v>
      </c>
      <c r="G9" s="8">
        <v>0.29166666666666669</v>
      </c>
      <c r="H9" s="15"/>
      <c r="I9" s="15"/>
      <c r="J9" s="15"/>
      <c r="K9" s="8"/>
      <c r="L9" s="8"/>
      <c r="M9" s="8"/>
      <c r="N9" s="8">
        <f t="shared" si="0"/>
        <v>4.5138888888888895E-2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93</v>
      </c>
      <c r="C10" s="15">
        <v>353</v>
      </c>
      <c r="D10" s="15" t="s">
        <v>94</v>
      </c>
      <c r="E10" s="8">
        <v>0.21875</v>
      </c>
      <c r="F10" s="8">
        <v>0.23958333333333334</v>
      </c>
      <c r="G10" s="8">
        <v>0.30902777777777779</v>
      </c>
      <c r="H10" s="15"/>
      <c r="I10" s="15"/>
      <c r="J10" s="15"/>
      <c r="K10" s="8"/>
      <c r="L10" s="8"/>
      <c r="M10" s="8"/>
      <c r="N10" s="8">
        <f t="shared" si="0"/>
        <v>6.9444444444444448E-2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0.21875</v>
      </c>
      <c r="F11" s="8">
        <v>0.22916666666666666</v>
      </c>
      <c r="G11" s="8">
        <v>0.3125</v>
      </c>
      <c r="H11" s="15"/>
      <c r="I11" s="15"/>
      <c r="J11" s="15"/>
      <c r="K11" s="8"/>
      <c r="L11" s="8"/>
      <c r="M11" s="8"/>
      <c r="N11" s="8">
        <f t="shared" si="0"/>
        <v>8.3333333333333343E-2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 t="s">
        <v>41</v>
      </c>
      <c r="C12" s="15">
        <v>61</v>
      </c>
      <c r="D12" s="15" t="s">
        <v>42</v>
      </c>
      <c r="E12" s="8">
        <v>3.125E-2</v>
      </c>
      <c r="F12" s="8">
        <v>0.26041666666666669</v>
      </c>
      <c r="G12" s="8">
        <v>0.28125</v>
      </c>
      <c r="H12" s="15"/>
      <c r="I12" s="15"/>
      <c r="J12" s="15"/>
      <c r="K12" s="8"/>
      <c r="L12" s="8"/>
      <c r="M12" s="8"/>
      <c r="N12" s="8">
        <f t="shared" si="0"/>
        <v>2.0833333333333315E-2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 t="s">
        <v>41</v>
      </c>
      <c r="C13" s="15">
        <v>61</v>
      </c>
      <c r="D13" s="15" t="s">
        <v>42</v>
      </c>
      <c r="E13" s="8">
        <v>3.125E-2</v>
      </c>
      <c r="F13" s="8">
        <v>0.3576388888888889</v>
      </c>
      <c r="G13" s="8">
        <v>0.39930555555555558</v>
      </c>
      <c r="H13" s="15"/>
      <c r="I13" s="15"/>
      <c r="J13" s="15"/>
      <c r="K13" s="8"/>
      <c r="L13" s="8"/>
      <c r="M13" s="8"/>
      <c r="N13" s="8">
        <f t="shared" si="0"/>
        <v>4.1666666666666685E-2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 t="s">
        <v>43</v>
      </c>
      <c r="C14" s="15">
        <v>516</v>
      </c>
      <c r="D14" s="15" t="s">
        <v>44</v>
      </c>
      <c r="E14" s="8">
        <v>3.125E-2</v>
      </c>
      <c r="F14" s="8">
        <v>0.24652777777777779</v>
      </c>
      <c r="G14" s="8">
        <v>0.3125</v>
      </c>
      <c r="H14" s="15"/>
      <c r="I14" s="15"/>
      <c r="J14" s="15"/>
      <c r="K14" s="8"/>
      <c r="L14" s="8"/>
      <c r="M14" s="8"/>
      <c r="N14" s="8">
        <f t="shared" si="0"/>
        <v>6.597222222222221E-2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10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9875C-3A43-481B-BEC6-DA8751A22293}">
  <dimension ref="A1:R30"/>
  <sheetViews>
    <sheetView showGridLines="0" zoomScale="55" zoomScaleNormal="55" workbookViewId="0">
      <pane ySplit="3" topLeftCell="A4" activePane="bottomLeft" state="frozen"/>
      <selection pane="bottomLeft" activeCell="C24" sqref="C24"/>
    </sheetView>
  </sheetViews>
  <sheetFormatPr defaultRowHeight="15" x14ac:dyDescent="0.25"/>
  <cols>
    <col min="1" max="1" width="42.42578125" bestFit="1" customWidth="1"/>
    <col min="2" max="2" width="26.42578125" bestFit="1" customWidth="1"/>
    <col min="3" max="3" width="15.7109375" bestFit="1" customWidth="1"/>
    <col min="4" max="4" width="18.85546875" bestFit="1" customWidth="1"/>
    <col min="5" max="5" width="22.42578125" style="3" bestFit="1" customWidth="1"/>
    <col min="6" max="6" width="23" bestFit="1" customWidth="1"/>
    <col min="7" max="7" width="25.85546875" bestFit="1" customWidth="1"/>
    <col min="8" max="8" width="26.42578125" bestFit="1" customWidth="1"/>
    <col min="9" max="9" width="15.7109375" bestFit="1" customWidth="1"/>
    <col min="10" max="10" width="18.85546875" bestFit="1" customWidth="1"/>
    <col min="11" max="11" width="22.42578125" bestFit="1" customWidth="1"/>
    <col min="12" max="12" width="23" bestFit="1" customWidth="1"/>
    <col min="13" max="13" width="25.85546875" bestFit="1" customWidth="1"/>
    <col min="14" max="15" width="25.57031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0.2048611111111111</v>
      </c>
      <c r="F5" s="8">
        <v>0.23958333333333334</v>
      </c>
      <c r="G5" s="8">
        <v>0.2673611111111111</v>
      </c>
      <c r="H5" s="8" t="s">
        <v>53</v>
      </c>
      <c r="I5" s="8">
        <v>184846</v>
      </c>
      <c r="J5" s="8" t="s">
        <v>54</v>
      </c>
      <c r="K5" s="8">
        <v>0.23958333333333334</v>
      </c>
      <c r="L5" s="8">
        <v>0.27777777777777779</v>
      </c>
      <c r="M5" s="8">
        <v>0.30208333333333331</v>
      </c>
      <c r="N5" s="8">
        <f>MOD(G5-F5, 1)</f>
        <v>2.7777777777777762E-2</v>
      </c>
      <c r="O5" s="8">
        <f>MOD(M5-L5, 1)</f>
        <v>2.4305555555555525E-2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0.2361111111111111</v>
      </c>
      <c r="F6" s="8">
        <v>0.26041666666666669</v>
      </c>
      <c r="G6" s="8">
        <v>0.33333333333333331</v>
      </c>
      <c r="H6" s="8"/>
      <c r="I6" s="8"/>
      <c r="J6" s="8"/>
      <c r="K6" s="8"/>
      <c r="L6" s="8"/>
      <c r="M6" s="8"/>
      <c r="N6" s="8">
        <f t="shared" ref="N6:N15" si="0">MOD(G6-F6, 1)</f>
        <v>7.291666666666663E-2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80</v>
      </c>
      <c r="C7" s="15">
        <v>353</v>
      </c>
      <c r="D7" s="15" t="s">
        <v>81</v>
      </c>
      <c r="E7" s="8">
        <v>0.2048611111111111</v>
      </c>
      <c r="F7" s="8">
        <v>0.21875</v>
      </c>
      <c r="G7" s="8">
        <v>0.29166666666666669</v>
      </c>
      <c r="H7" s="8"/>
      <c r="I7" s="8"/>
      <c r="J7" s="8"/>
      <c r="K7" s="8"/>
      <c r="L7" s="8"/>
      <c r="M7" s="8"/>
      <c r="N7" s="8">
        <f t="shared" si="0"/>
        <v>7.2916666666666685E-2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0.2361111111111111</v>
      </c>
      <c r="F8" s="8">
        <v>0.26041666666666669</v>
      </c>
      <c r="G8" s="8">
        <v>0.30902777777777779</v>
      </c>
      <c r="H8" s="8" t="s">
        <v>95</v>
      </c>
      <c r="I8" s="8">
        <v>816</v>
      </c>
      <c r="J8" s="8" t="s">
        <v>96</v>
      </c>
      <c r="K8" s="8">
        <v>0.22569444444444445</v>
      </c>
      <c r="L8" s="8">
        <v>0.25694444444444442</v>
      </c>
      <c r="M8" s="8">
        <v>0.31944444444444442</v>
      </c>
      <c r="N8" s="8">
        <f t="shared" si="0"/>
        <v>4.8611111111111105E-2</v>
      </c>
      <c r="O8" s="8">
        <f t="shared" si="1"/>
        <v>6.25E-2</v>
      </c>
    </row>
    <row r="9" spans="1:18" s="2" customFormat="1" ht="23.25" customHeight="1" x14ac:dyDescent="0.25">
      <c r="A9" s="10" t="s">
        <v>17</v>
      </c>
      <c r="B9" s="15" t="s">
        <v>37</v>
      </c>
      <c r="C9" s="15">
        <v>598</v>
      </c>
      <c r="D9" s="15" t="s">
        <v>38</v>
      </c>
      <c r="E9" s="8">
        <v>0.2326388888888889</v>
      </c>
      <c r="F9" s="8">
        <v>0.24652777777777779</v>
      </c>
      <c r="G9" s="8">
        <v>0.28819444444444442</v>
      </c>
      <c r="H9" s="8"/>
      <c r="I9" s="8"/>
      <c r="J9" s="8"/>
      <c r="K9" s="8"/>
      <c r="L9" s="8"/>
      <c r="M9" s="8"/>
      <c r="N9" s="8">
        <f t="shared" si="0"/>
        <v>4.166666666666663E-2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97</v>
      </c>
      <c r="C10" s="15">
        <v>353</v>
      </c>
      <c r="D10" s="15" t="s">
        <v>92</v>
      </c>
      <c r="E10" s="8">
        <v>0.20833333333333334</v>
      </c>
      <c r="F10" s="8">
        <v>0.22569444444444445</v>
      </c>
      <c r="G10" s="8">
        <v>0.29166666666666669</v>
      </c>
      <c r="H10" s="8" t="s">
        <v>25</v>
      </c>
      <c r="I10" s="8">
        <v>775</v>
      </c>
      <c r="J10" s="8" t="s">
        <v>26</v>
      </c>
      <c r="K10" s="8">
        <v>0.2326388888888889</v>
      </c>
      <c r="L10" s="8">
        <v>0.24652777777777779</v>
      </c>
      <c r="M10" s="8">
        <v>0.2951388888888889</v>
      </c>
      <c r="N10" s="8">
        <f t="shared" si="0"/>
        <v>6.5972222222222238E-2</v>
      </c>
      <c r="O10" s="8">
        <f t="shared" si="1"/>
        <v>4.8611111111111105E-2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0.22569444444444445</v>
      </c>
      <c r="F11" s="8">
        <v>0.2361111111111111</v>
      </c>
      <c r="G11" s="8">
        <v>0.35416666666666669</v>
      </c>
      <c r="H11" s="8"/>
      <c r="I11" s="8"/>
      <c r="J11" s="8"/>
      <c r="K11" s="8"/>
      <c r="L11" s="8"/>
      <c r="M11" s="8"/>
      <c r="N11" s="8">
        <f t="shared" si="0"/>
        <v>0.11805555555555558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/>
      <c r="C12" s="15"/>
      <c r="D12" s="15"/>
      <c r="E12" s="8"/>
      <c r="F12" s="8"/>
      <c r="G12" s="8"/>
      <c r="H12" s="8"/>
      <c r="I12" s="8"/>
      <c r="J12" s="8"/>
      <c r="K12" s="8"/>
      <c r="L12" s="8"/>
      <c r="M12" s="8"/>
      <c r="N12" s="8">
        <f t="shared" si="0"/>
        <v>0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/>
      <c r="C13" s="15"/>
      <c r="D13" s="15"/>
      <c r="E13" s="8"/>
      <c r="F13" s="8"/>
      <c r="G13" s="8"/>
      <c r="H13" s="15"/>
      <c r="I13" s="15"/>
      <c r="J13" s="15"/>
      <c r="K13" s="8"/>
      <c r="L13" s="8"/>
      <c r="M13" s="8"/>
      <c r="N13" s="8">
        <f t="shared" si="0"/>
        <v>0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/>
      <c r="C14" s="15"/>
      <c r="D14" s="15"/>
      <c r="E14" s="8"/>
      <c r="F14" s="8"/>
      <c r="G14" s="8"/>
      <c r="H14" s="15"/>
      <c r="I14" s="15"/>
      <c r="J14" s="15"/>
      <c r="K14" s="8"/>
      <c r="L14" s="8"/>
      <c r="M14" s="8"/>
      <c r="N14" s="8">
        <f t="shared" si="0"/>
        <v>0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9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890B8-983F-4A8A-94C6-98862D00A700}">
  <dimension ref="A1:R30"/>
  <sheetViews>
    <sheetView showGridLines="0" zoomScale="70" zoomScaleNormal="70" workbookViewId="0">
      <pane ySplit="3" topLeftCell="A4" activePane="bottomLeft" state="frozen"/>
      <selection pane="bottomLeft" activeCell="G15" sqref="G15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0.2013888888888889</v>
      </c>
      <c r="F5" s="8">
        <v>0.24305555555555555</v>
      </c>
      <c r="G5" s="8">
        <v>0.27083333333333331</v>
      </c>
      <c r="H5" s="15"/>
      <c r="I5" s="15"/>
      <c r="J5" s="15"/>
      <c r="K5" s="8"/>
      <c r="L5" s="8"/>
      <c r="M5" s="8"/>
      <c r="N5" s="8">
        <f>MOD(G5-F5, 1)</f>
        <v>2.7777777777777762E-2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0.21527777777777779</v>
      </c>
      <c r="F6" s="8" t="s">
        <v>104</v>
      </c>
      <c r="G6" s="8">
        <v>7</v>
      </c>
      <c r="H6" s="15"/>
      <c r="I6" s="15"/>
      <c r="J6" s="15"/>
      <c r="K6" s="8"/>
      <c r="L6" s="8"/>
      <c r="M6" s="8"/>
      <c r="N6" s="8" t="e">
        <f t="shared" ref="N6:N15" si="0">MOD(G6-F6, 1)</f>
        <v>#VALUE!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59</v>
      </c>
      <c r="C7" s="15">
        <v>752</v>
      </c>
      <c r="D7" s="15" t="s">
        <v>60</v>
      </c>
      <c r="E7" s="8">
        <v>0.21180555555555555</v>
      </c>
      <c r="F7" s="8">
        <v>0.2361111111111111</v>
      </c>
      <c r="G7" s="8">
        <v>0.28819444444444442</v>
      </c>
      <c r="H7" s="15"/>
      <c r="I7" s="15"/>
      <c r="J7" s="15"/>
      <c r="K7" s="8"/>
      <c r="L7" s="8"/>
      <c r="M7" s="8"/>
      <c r="N7" s="8">
        <f t="shared" si="0"/>
        <v>5.2083333333333315E-2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98</v>
      </c>
      <c r="C8" s="15">
        <v>782</v>
      </c>
      <c r="D8" s="15" t="s">
        <v>99</v>
      </c>
      <c r="E8" s="8">
        <v>0.19444444444444445</v>
      </c>
      <c r="F8" s="8">
        <v>0.21875</v>
      </c>
      <c r="G8" s="8">
        <v>0.28125</v>
      </c>
      <c r="H8" s="15"/>
      <c r="I8" s="15"/>
      <c r="J8" s="15"/>
      <c r="K8" s="8"/>
      <c r="L8" s="8"/>
      <c r="M8" s="8"/>
      <c r="N8" s="8">
        <f t="shared" si="0"/>
        <v>6.25E-2</v>
      </c>
      <c r="O8" s="8">
        <f t="shared" si="1"/>
        <v>0</v>
      </c>
    </row>
    <row r="9" spans="1:18" s="2" customFormat="1" ht="23.25" customHeight="1" x14ac:dyDescent="0.25">
      <c r="A9" s="10" t="s">
        <v>17</v>
      </c>
      <c r="B9" s="15" t="s">
        <v>37</v>
      </c>
      <c r="C9" s="15">
        <v>598</v>
      </c>
      <c r="D9" s="15" t="s">
        <v>38</v>
      </c>
      <c r="E9" s="8">
        <v>0.2326388888888889</v>
      </c>
      <c r="F9" s="8">
        <v>0.24652777777777779</v>
      </c>
      <c r="G9" s="8">
        <v>0.30555555555555558</v>
      </c>
      <c r="H9" s="15"/>
      <c r="I9" s="15"/>
      <c r="J9" s="15"/>
      <c r="K9" s="8"/>
      <c r="L9" s="8"/>
      <c r="M9" s="8"/>
      <c r="N9" s="8">
        <f t="shared" si="0"/>
        <v>5.902777777777779E-2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29</v>
      </c>
      <c r="C10" s="15">
        <v>294</v>
      </c>
      <c r="D10" s="15" t="s">
        <v>30</v>
      </c>
      <c r="E10" s="8">
        <v>0.24305555555555555</v>
      </c>
      <c r="F10" s="8">
        <v>0.27083333333333331</v>
      </c>
      <c r="G10" s="8">
        <v>0.33333333333333331</v>
      </c>
      <c r="H10" s="15"/>
      <c r="I10" s="15"/>
      <c r="J10" s="15"/>
      <c r="K10" s="8"/>
      <c r="L10" s="8"/>
      <c r="M10" s="8"/>
      <c r="N10" s="8">
        <f t="shared" si="0"/>
        <v>6.25E-2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0.20833333333333334</v>
      </c>
      <c r="F11" s="8">
        <v>0.22222222222222221</v>
      </c>
      <c r="G11" s="8">
        <v>0.34722222222222221</v>
      </c>
      <c r="H11" s="15"/>
      <c r="I11" s="15"/>
      <c r="J11" s="15"/>
      <c r="K11" s="8"/>
      <c r="L11" s="8"/>
      <c r="M11" s="8"/>
      <c r="N11" s="8">
        <f t="shared" si="0"/>
        <v>0.125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 t="s">
        <v>103</v>
      </c>
      <c r="C12" s="15">
        <v>61</v>
      </c>
      <c r="D12" s="15" t="s">
        <v>102</v>
      </c>
      <c r="E12" s="8">
        <v>0.95833333333333337</v>
      </c>
      <c r="F12" s="8">
        <v>0.15972222222222221</v>
      </c>
      <c r="G12" s="8">
        <v>0.28819444444444442</v>
      </c>
      <c r="H12" s="15"/>
      <c r="I12" s="15"/>
      <c r="J12" s="15"/>
      <c r="K12" s="8"/>
      <c r="L12" s="8"/>
      <c r="M12" s="8"/>
      <c r="N12" s="8">
        <f t="shared" si="0"/>
        <v>0.12847222222222221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 t="s">
        <v>103</v>
      </c>
      <c r="C13" s="15">
        <v>61</v>
      </c>
      <c r="D13" s="15" t="s">
        <v>102</v>
      </c>
      <c r="E13" s="8">
        <v>0.95833333333333337</v>
      </c>
      <c r="F13" s="8">
        <v>0.36805555555555558</v>
      </c>
      <c r="G13" s="8">
        <v>0.41319444444444442</v>
      </c>
      <c r="H13" s="15"/>
      <c r="I13" s="15"/>
      <c r="J13" s="15"/>
      <c r="K13" s="8"/>
      <c r="L13" s="8"/>
      <c r="M13" s="8"/>
      <c r="N13" s="8">
        <f t="shared" si="0"/>
        <v>4.513888888888884E-2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 t="s">
        <v>100</v>
      </c>
      <c r="C14" s="15">
        <v>353</v>
      </c>
      <c r="D14" s="15" t="s">
        <v>101</v>
      </c>
      <c r="E14" s="8">
        <v>0.10069444444444445</v>
      </c>
      <c r="F14" s="8">
        <v>0.21527777777777779</v>
      </c>
      <c r="G14" s="8">
        <v>0.31597222222222221</v>
      </c>
      <c r="H14" s="15"/>
      <c r="I14" s="15"/>
      <c r="J14" s="15"/>
      <c r="K14" s="8"/>
      <c r="L14" s="8"/>
      <c r="M14" s="8"/>
      <c r="N14" s="8">
        <f t="shared" si="0"/>
        <v>0.10069444444444442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8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DB83A-E77A-4782-A3A5-D7E5B6AA72B7}">
  <dimension ref="A1:R30"/>
  <sheetViews>
    <sheetView showGridLines="0" topLeftCell="I1" zoomScale="70" zoomScaleNormal="70" workbookViewId="0">
      <pane ySplit="3" topLeftCell="A4" activePane="bottomLeft" state="frozen"/>
      <selection pane="bottomLeft" activeCell="G20" sqref="G19:P20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>
        <v>0</v>
      </c>
      <c r="B5" s="15" t="s">
        <v>105</v>
      </c>
      <c r="C5" s="15">
        <v>573</v>
      </c>
      <c r="D5" s="15" t="s">
        <v>106</v>
      </c>
      <c r="E5" s="8">
        <v>0.22916666666666666</v>
      </c>
      <c r="F5" s="8">
        <v>0.25694444444444442</v>
      </c>
      <c r="G5" s="8">
        <v>0.32291666666666669</v>
      </c>
      <c r="H5" s="15"/>
      <c r="I5" s="15"/>
      <c r="J5" s="15"/>
      <c r="K5" s="8"/>
      <c r="L5" s="8"/>
      <c r="M5" s="8"/>
      <c r="N5" s="8">
        <f>MOD(G5-F5, 1)</f>
        <v>6.5972222222222265E-2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0.20833333333333334</v>
      </c>
      <c r="F6" s="8">
        <v>0.24305555555555555</v>
      </c>
      <c r="G6" s="8">
        <v>0.30555555555555558</v>
      </c>
      <c r="H6" s="15"/>
      <c r="I6" s="15"/>
      <c r="J6" s="15"/>
      <c r="K6" s="8"/>
      <c r="L6" s="8"/>
      <c r="M6" s="8"/>
      <c r="N6" s="8">
        <f t="shared" ref="N6:N15" si="0">MOD(G6-F6, 1)</f>
        <v>6.2500000000000028E-2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89</v>
      </c>
      <c r="C7" s="15">
        <v>353</v>
      </c>
      <c r="D7" s="15" t="s">
        <v>90</v>
      </c>
      <c r="E7" s="8">
        <v>0.19097222222222221</v>
      </c>
      <c r="F7" s="8">
        <v>0.2048611111111111</v>
      </c>
      <c r="G7" s="8">
        <v>0.30208333333333331</v>
      </c>
      <c r="H7" s="15"/>
      <c r="I7" s="15"/>
      <c r="J7" s="15"/>
      <c r="K7" s="8"/>
      <c r="L7" s="8"/>
      <c r="M7" s="8"/>
      <c r="N7" s="8">
        <f t="shared" si="0"/>
        <v>9.722222222222221E-2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107</v>
      </c>
      <c r="C8" s="15" t="s">
        <v>108</v>
      </c>
      <c r="D8" s="15" t="s">
        <v>109</v>
      </c>
      <c r="E8" s="8">
        <v>0.22569444444444445</v>
      </c>
      <c r="F8" s="8">
        <v>0.25347222222222221</v>
      </c>
      <c r="G8" s="8">
        <v>0.28125</v>
      </c>
      <c r="H8" s="8" t="s">
        <v>110</v>
      </c>
      <c r="I8" s="15">
        <v>184357</v>
      </c>
      <c r="J8" s="8" t="s">
        <v>111</v>
      </c>
      <c r="K8" s="8">
        <v>0.23958333333333334</v>
      </c>
      <c r="L8" s="8">
        <v>0.2673611111111111</v>
      </c>
      <c r="M8" s="8">
        <v>0.2951388888888889</v>
      </c>
      <c r="N8" s="8">
        <f t="shared" si="0"/>
        <v>2.777777777777779E-2</v>
      </c>
      <c r="O8" s="8">
        <f t="shared" si="1"/>
        <v>2.777777777777779E-2</v>
      </c>
    </row>
    <row r="9" spans="1:18" s="2" customFormat="1" ht="23.25" customHeight="1" x14ac:dyDescent="0.25">
      <c r="A9" s="10" t="s">
        <v>17</v>
      </c>
      <c r="B9" s="15" t="s">
        <v>37</v>
      </c>
      <c r="C9" s="15">
        <v>598</v>
      </c>
      <c r="D9" s="15" t="s">
        <v>38</v>
      </c>
      <c r="E9" s="8">
        <v>0.22916666666666666</v>
      </c>
      <c r="F9" s="8">
        <v>0.24652777777777779</v>
      </c>
      <c r="G9" s="8">
        <v>0.27430555555555558</v>
      </c>
      <c r="H9" s="15"/>
      <c r="I9" s="15"/>
      <c r="J9" s="15"/>
      <c r="K9" s="8"/>
      <c r="L9" s="8"/>
      <c r="M9" s="8"/>
      <c r="N9" s="8">
        <f t="shared" si="0"/>
        <v>2.777777777777779E-2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93</v>
      </c>
      <c r="C10" s="15">
        <v>353</v>
      </c>
      <c r="D10" s="15" t="s">
        <v>94</v>
      </c>
      <c r="E10" s="8">
        <v>0.24652777777777779</v>
      </c>
      <c r="F10" s="8">
        <v>0.2638888888888889</v>
      </c>
      <c r="G10" s="8">
        <v>0.30208333333333331</v>
      </c>
      <c r="H10" s="15"/>
      <c r="I10" s="15"/>
      <c r="J10" s="15"/>
      <c r="K10" s="8"/>
      <c r="L10" s="8"/>
      <c r="M10" s="8"/>
      <c r="N10" s="8">
        <f t="shared" si="0"/>
        <v>3.819444444444442E-2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0.21875</v>
      </c>
      <c r="F11" s="8">
        <v>0.2326388888888889</v>
      </c>
      <c r="G11" s="8">
        <v>0.34027777777777779</v>
      </c>
      <c r="H11" s="15"/>
      <c r="I11" s="15"/>
      <c r="J11" s="15"/>
      <c r="K11" s="8"/>
      <c r="L11" s="8"/>
      <c r="M11" s="8"/>
      <c r="N11" s="8">
        <f t="shared" si="0"/>
        <v>0.1076388888888889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/>
      <c r="C12" s="15"/>
      <c r="D12" s="15"/>
      <c r="E12" s="8"/>
      <c r="F12" s="8"/>
      <c r="G12" s="8"/>
      <c r="H12" s="15"/>
      <c r="I12" s="15"/>
      <c r="J12" s="15"/>
      <c r="K12" s="8"/>
      <c r="L12" s="8"/>
      <c r="M12" s="8"/>
      <c r="N12" s="8">
        <f t="shared" si="0"/>
        <v>0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/>
      <c r="C13" s="15"/>
      <c r="D13" s="15"/>
      <c r="E13" s="8"/>
      <c r="F13" s="8"/>
      <c r="G13" s="8"/>
      <c r="H13" s="15"/>
      <c r="I13" s="15"/>
      <c r="J13" s="15"/>
      <c r="K13" s="8"/>
      <c r="L13" s="8"/>
      <c r="M13" s="8"/>
      <c r="N13" s="8">
        <f t="shared" si="0"/>
        <v>0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/>
      <c r="C14" s="15"/>
      <c r="D14" s="15"/>
      <c r="E14" s="8"/>
      <c r="F14" s="8"/>
      <c r="G14" s="8"/>
      <c r="H14" s="15"/>
      <c r="I14" s="15"/>
      <c r="J14" s="15"/>
      <c r="K14" s="8"/>
      <c r="L14" s="8"/>
      <c r="M14" s="8"/>
      <c r="N14" s="8">
        <f t="shared" si="0"/>
        <v>0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7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B131-2917-41A6-8F02-C11776CC4364}">
  <dimension ref="A1:R30"/>
  <sheetViews>
    <sheetView showGridLines="0" zoomScale="70" zoomScaleNormal="70" workbookViewId="0">
      <pane ySplit="3" topLeftCell="A4" activePane="bottomLeft" state="frozen"/>
      <selection pane="bottomLeft" activeCell="G27" sqref="A26:G27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112</v>
      </c>
      <c r="C5" s="15">
        <v>184212</v>
      </c>
      <c r="D5" s="15" t="s">
        <v>113</v>
      </c>
      <c r="E5" s="8">
        <v>0.16666666666666666</v>
      </c>
      <c r="F5" s="8">
        <v>0.21180555555555555</v>
      </c>
      <c r="G5" s="8">
        <v>0.41666666666666669</v>
      </c>
      <c r="H5" s="15"/>
      <c r="I5" s="15"/>
      <c r="J5" s="15"/>
      <c r="K5" s="8"/>
      <c r="L5" s="8"/>
      <c r="M5" s="8"/>
      <c r="N5" s="8">
        <f>MOD(G5-F5, 1)</f>
        <v>0.20486111111111113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0.21180555555555555</v>
      </c>
      <c r="F6" s="8">
        <v>0.25</v>
      </c>
      <c r="G6" s="8">
        <v>0.30208333333333331</v>
      </c>
      <c r="H6" s="15"/>
      <c r="I6" s="15"/>
      <c r="J6" s="15"/>
      <c r="K6" s="8"/>
      <c r="L6" s="8"/>
      <c r="M6" s="8"/>
      <c r="N6" s="8">
        <f t="shared" ref="N6:N14" si="0">MOD(G6-F6, 1)</f>
        <v>5.2083333333333315E-2</v>
      </c>
      <c r="O6" s="8">
        <f t="shared" ref="O6:O14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59</v>
      </c>
      <c r="C7" s="15">
        <v>752</v>
      </c>
      <c r="D7" s="15" t="s">
        <v>60</v>
      </c>
      <c r="E7" s="8">
        <v>0.21180555555555555</v>
      </c>
      <c r="F7" s="8">
        <v>0.22569444444444445</v>
      </c>
      <c r="G7" s="8">
        <v>0.33333333333333331</v>
      </c>
      <c r="H7" s="15"/>
      <c r="I7" s="15"/>
      <c r="J7" s="15"/>
      <c r="K7" s="8"/>
      <c r="L7" s="8"/>
      <c r="M7" s="8"/>
      <c r="N7" s="8">
        <f t="shared" si="0"/>
        <v>0.10763888888888887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0.2326388888888889</v>
      </c>
      <c r="F8" s="8">
        <v>0.25694444444444442</v>
      </c>
      <c r="G8" s="8">
        <v>0.29166666666666669</v>
      </c>
      <c r="H8" s="15"/>
      <c r="I8" s="15"/>
      <c r="J8" s="15"/>
      <c r="K8" s="8"/>
      <c r="L8" s="8"/>
      <c r="M8" s="8"/>
      <c r="N8" s="8">
        <f t="shared" si="0"/>
        <v>3.4722222222222265E-2</v>
      </c>
      <c r="O8" s="8">
        <f t="shared" si="1"/>
        <v>0</v>
      </c>
    </row>
    <row r="9" spans="1:18" s="2" customFormat="1" ht="23.25" customHeight="1" x14ac:dyDescent="0.25">
      <c r="A9" s="10" t="s">
        <v>17</v>
      </c>
      <c r="B9" s="15" t="s">
        <v>37</v>
      </c>
      <c r="C9" s="15">
        <v>598</v>
      </c>
      <c r="D9" s="15" t="s">
        <v>38</v>
      </c>
      <c r="E9" s="8">
        <v>0.22916666666666666</v>
      </c>
      <c r="F9" s="8">
        <v>0.25</v>
      </c>
      <c r="G9" s="8">
        <v>0.2951388888888889</v>
      </c>
      <c r="H9" s="15"/>
      <c r="I9" s="15"/>
      <c r="J9" s="15"/>
      <c r="K9" s="8"/>
      <c r="L9" s="8"/>
      <c r="M9" s="8"/>
      <c r="N9" s="8">
        <f t="shared" si="0"/>
        <v>4.5138888888888895E-2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114</v>
      </c>
      <c r="C10" s="15">
        <v>353</v>
      </c>
      <c r="D10" s="15" t="s">
        <v>115</v>
      </c>
      <c r="E10" s="8">
        <v>0.1875</v>
      </c>
      <c r="F10" s="8">
        <v>0.2013888888888889</v>
      </c>
      <c r="G10" s="8">
        <v>0.30902777777777779</v>
      </c>
      <c r="H10" s="15"/>
      <c r="I10" s="15"/>
      <c r="J10" s="15"/>
      <c r="K10" s="8"/>
      <c r="L10" s="8"/>
      <c r="M10" s="8"/>
      <c r="N10" s="8">
        <f t="shared" si="0"/>
        <v>0.1076388888888889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0.20833333333333334</v>
      </c>
      <c r="F11" s="8">
        <v>0.21875</v>
      </c>
      <c r="G11" s="8">
        <v>0.3263888888888889</v>
      </c>
      <c r="H11" s="15"/>
      <c r="I11" s="15"/>
      <c r="J11" s="15"/>
      <c r="K11" s="8"/>
      <c r="L11" s="8"/>
      <c r="M11" s="8"/>
      <c r="N11" s="8">
        <f t="shared" si="0"/>
        <v>0.1076388888888889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 t="s">
        <v>41</v>
      </c>
      <c r="C12" s="15">
        <v>61</v>
      </c>
      <c r="D12" s="15" t="s">
        <v>42</v>
      </c>
      <c r="E12" s="8">
        <v>4.5138888888888888E-2</v>
      </c>
      <c r="F12" s="8">
        <v>0.2673611111111111</v>
      </c>
      <c r="G12" s="8">
        <v>0.29166666666666669</v>
      </c>
      <c r="H12" s="15"/>
      <c r="I12" s="15"/>
      <c r="J12" s="15"/>
      <c r="K12" s="8"/>
      <c r="L12" s="8"/>
      <c r="M12" s="8"/>
      <c r="N12" s="8">
        <f t="shared" si="0"/>
        <v>2.430555555555558E-2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 t="s">
        <v>41</v>
      </c>
      <c r="C13" s="15">
        <v>61</v>
      </c>
      <c r="D13" s="15" t="s">
        <v>42</v>
      </c>
      <c r="E13" s="8">
        <v>4.5138888888888888E-2</v>
      </c>
      <c r="F13" s="8">
        <v>0.37152777777777779</v>
      </c>
      <c r="G13" s="8">
        <v>0.40625</v>
      </c>
      <c r="H13" s="15"/>
      <c r="I13" s="15"/>
      <c r="J13" s="15"/>
      <c r="K13" s="8"/>
      <c r="L13" s="8"/>
      <c r="M13" s="8"/>
      <c r="N13" s="8">
        <f t="shared" si="0"/>
        <v>3.472222222222221E-2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 t="s">
        <v>43</v>
      </c>
      <c r="C14" s="15">
        <v>516</v>
      </c>
      <c r="D14" s="15" t="s">
        <v>44</v>
      </c>
      <c r="E14" s="8">
        <v>4.5138888888888888E-2</v>
      </c>
      <c r="F14" s="8">
        <v>0.27430555555555558</v>
      </c>
      <c r="G14" s="8">
        <v>0.3263888888888889</v>
      </c>
      <c r="H14" s="15"/>
      <c r="I14" s="15"/>
      <c r="J14" s="15"/>
      <c r="K14" s="8"/>
      <c r="L14" s="8"/>
      <c r="M14" s="8"/>
      <c r="N14" s="8">
        <f t="shared" si="0"/>
        <v>5.2083333333333315E-2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/>
      <c r="O15" s="8"/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6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DF43-6897-42E1-855E-9431B7585744}">
  <dimension ref="A1:R30"/>
  <sheetViews>
    <sheetView showGridLines="0" zoomScale="70" zoomScaleNormal="70" workbookViewId="0">
      <pane ySplit="3" topLeftCell="A4" activePane="bottomLeft" state="frozen"/>
      <selection pane="bottomLeft" activeCell="G12" sqref="G12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0.19791666666666666</v>
      </c>
      <c r="F5" s="8">
        <v>0.2361111111111111</v>
      </c>
      <c r="G5" s="8">
        <v>0.29166666666666669</v>
      </c>
      <c r="H5" s="15"/>
      <c r="I5" s="15"/>
      <c r="J5" s="15"/>
      <c r="K5" s="8"/>
      <c r="L5" s="8"/>
      <c r="M5" s="8"/>
      <c r="N5" s="8">
        <f>MOD(G5-F5, 1)</f>
        <v>5.555555555555558E-2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0.2013888888888889</v>
      </c>
      <c r="F6" s="8">
        <v>0.2326388888888889</v>
      </c>
      <c r="G6" s="8">
        <v>0.2951388888888889</v>
      </c>
      <c r="H6" s="15"/>
      <c r="I6" s="15"/>
      <c r="J6" s="15"/>
      <c r="K6" s="8"/>
      <c r="L6" s="8"/>
      <c r="M6" s="8"/>
      <c r="N6" s="8">
        <f t="shared" ref="N6:N15" si="0">MOD(G6-F6, 1)</f>
        <v>6.25E-2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53</v>
      </c>
      <c r="C7" s="15">
        <v>184846</v>
      </c>
      <c r="D7" s="15" t="s">
        <v>54</v>
      </c>
      <c r="E7" s="8">
        <v>0.24652777777777779</v>
      </c>
      <c r="F7" s="8">
        <v>0.2673611111111111</v>
      </c>
      <c r="G7" s="8">
        <v>0.28819444444444442</v>
      </c>
      <c r="H7" s="15"/>
      <c r="I7" s="15"/>
      <c r="J7" s="15"/>
      <c r="K7" s="8"/>
      <c r="L7" s="8"/>
      <c r="M7" s="8"/>
      <c r="N7" s="8">
        <f t="shared" si="0"/>
        <v>2.0833333333333315E-2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0.2326388888888889</v>
      </c>
      <c r="F8" s="8">
        <v>0.2638888888888889</v>
      </c>
      <c r="G8" s="8">
        <v>0.2986111111111111</v>
      </c>
      <c r="H8" s="15"/>
      <c r="I8" s="15"/>
      <c r="J8" s="15"/>
      <c r="K8" s="8"/>
      <c r="L8" s="8"/>
      <c r="M8" s="8"/>
      <c r="N8" s="8">
        <f t="shared" si="0"/>
        <v>3.472222222222221E-2</v>
      </c>
      <c r="O8" s="8">
        <f t="shared" si="1"/>
        <v>0</v>
      </c>
    </row>
    <row r="9" spans="1:18" s="2" customFormat="1" ht="23.25" customHeight="1" x14ac:dyDescent="0.25">
      <c r="A9" s="10" t="s">
        <v>17</v>
      </c>
      <c r="B9" s="15" t="s">
        <v>37</v>
      </c>
      <c r="C9" s="15">
        <v>598</v>
      </c>
      <c r="D9" s="15" t="s">
        <v>38</v>
      </c>
      <c r="E9" s="8">
        <v>0.22916666666666666</v>
      </c>
      <c r="F9" s="8">
        <v>0.24652777777777779</v>
      </c>
      <c r="G9" s="8">
        <v>0.30555555555555558</v>
      </c>
      <c r="H9" s="15"/>
      <c r="I9" s="15"/>
      <c r="J9" s="15"/>
      <c r="K9" s="8"/>
      <c r="L9" s="8"/>
      <c r="M9" s="8"/>
      <c r="N9" s="8">
        <f t="shared" si="0"/>
        <v>5.902777777777779E-2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116</v>
      </c>
      <c r="C10" s="15">
        <v>772</v>
      </c>
      <c r="D10" s="15" t="s">
        <v>117</v>
      </c>
      <c r="E10" s="8">
        <v>0.2013888888888889</v>
      </c>
      <c r="F10" s="8">
        <v>0.21875</v>
      </c>
      <c r="G10" s="8">
        <v>0.27430555555555558</v>
      </c>
      <c r="H10" s="15"/>
      <c r="I10" s="15"/>
      <c r="J10" s="15"/>
      <c r="K10" s="8"/>
      <c r="L10" s="8"/>
      <c r="M10" s="8"/>
      <c r="N10" s="8">
        <f t="shared" si="0"/>
        <v>5.555555555555558E-2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0.21180555555555555</v>
      </c>
      <c r="F11" s="8">
        <v>0.22569444444444445</v>
      </c>
      <c r="G11" s="8">
        <v>0.33333333333333331</v>
      </c>
      <c r="H11" s="15"/>
      <c r="I11" s="15"/>
      <c r="J11" s="15"/>
      <c r="K11" s="8"/>
      <c r="L11" s="8"/>
      <c r="M11" s="8"/>
      <c r="N11" s="8">
        <f t="shared" si="0"/>
        <v>0.10763888888888887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/>
      <c r="C12" s="15"/>
      <c r="D12" s="15"/>
      <c r="E12" s="8"/>
      <c r="F12" s="8"/>
      <c r="G12" s="8"/>
      <c r="H12" s="15"/>
      <c r="I12" s="15"/>
      <c r="J12" s="15"/>
      <c r="K12" s="8"/>
      <c r="L12" s="8"/>
      <c r="M12" s="8"/>
      <c r="N12" s="8">
        <f t="shared" si="0"/>
        <v>0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/>
      <c r="C13" s="15"/>
      <c r="D13" s="15"/>
      <c r="E13" s="8"/>
      <c r="F13" s="8"/>
      <c r="G13" s="8"/>
      <c r="H13" s="15"/>
      <c r="I13" s="15"/>
      <c r="J13" s="15"/>
      <c r="K13" s="8"/>
      <c r="L13" s="8"/>
      <c r="M13" s="8"/>
      <c r="N13" s="8">
        <f t="shared" si="0"/>
        <v>0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/>
      <c r="C14" s="15"/>
      <c r="D14" s="15"/>
      <c r="E14" s="8"/>
      <c r="F14" s="8"/>
      <c r="G14" s="8"/>
      <c r="H14" s="15"/>
      <c r="I14" s="15"/>
      <c r="J14" s="15"/>
      <c r="K14" s="8"/>
      <c r="L14" s="8"/>
      <c r="M14" s="8"/>
      <c r="N14" s="8">
        <f t="shared" si="0"/>
        <v>0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5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F16D-42F0-44F8-A24E-2B03A3A7B0AD}">
  <dimension ref="A1:R30"/>
  <sheetViews>
    <sheetView showGridLines="0" zoomScale="70" zoomScaleNormal="70" workbookViewId="0">
      <pane ySplit="3" topLeftCell="A4" activePane="bottomLeft" state="frozen"/>
      <selection pane="bottomLeft" activeCell="K21" sqref="A20:K21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0.19791666666666666</v>
      </c>
      <c r="F5" s="8">
        <v>0.2361111111111111</v>
      </c>
      <c r="G5" s="8">
        <v>0.26041666666666669</v>
      </c>
      <c r="H5" s="15"/>
      <c r="I5" s="15"/>
      <c r="J5" s="15"/>
      <c r="K5" s="8"/>
      <c r="L5" s="8"/>
      <c r="M5" s="8"/>
      <c r="N5" s="8">
        <f>MOD(G5-F5, 1)</f>
        <v>2.430555555555558E-2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0.21875</v>
      </c>
      <c r="F6" s="8">
        <v>0.26041666666666669</v>
      </c>
      <c r="G6" s="8">
        <v>0.29166666666666669</v>
      </c>
      <c r="H6" s="15"/>
      <c r="I6" s="15"/>
      <c r="J6" s="15"/>
      <c r="K6" s="8"/>
      <c r="L6" s="8"/>
      <c r="M6" s="8"/>
      <c r="N6" s="8">
        <f t="shared" ref="N6:N15" si="0">MOD(G6-F6, 1)</f>
        <v>3.125E-2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59</v>
      </c>
      <c r="C7" s="15">
        <v>752</v>
      </c>
      <c r="D7" s="15" t="s">
        <v>60</v>
      </c>
      <c r="E7" s="8">
        <v>0.21527777777777779</v>
      </c>
      <c r="F7" s="8">
        <v>0.2361111111111111</v>
      </c>
      <c r="G7" s="8">
        <v>0.30902777777777779</v>
      </c>
      <c r="H7" s="15"/>
      <c r="I7" s="15"/>
      <c r="J7" s="15"/>
      <c r="K7" s="8"/>
      <c r="L7" s="8"/>
      <c r="M7" s="8"/>
      <c r="N7" s="8">
        <f t="shared" si="0"/>
        <v>7.2916666666666685E-2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0.21527777777777779</v>
      </c>
      <c r="F8" s="8">
        <v>0.2361111111111111</v>
      </c>
      <c r="G8" s="8">
        <v>0.28472222222222221</v>
      </c>
      <c r="H8" s="15" t="s">
        <v>116</v>
      </c>
      <c r="I8" s="15" t="s">
        <v>119</v>
      </c>
      <c r="J8" s="15" t="s">
        <v>118</v>
      </c>
      <c r="K8" s="8">
        <v>0.1875</v>
      </c>
      <c r="L8" s="8">
        <v>0.31597222222222221</v>
      </c>
      <c r="M8" s="8">
        <v>0.34722222222222221</v>
      </c>
      <c r="N8" s="8">
        <f t="shared" si="0"/>
        <v>4.8611111111111105E-2</v>
      </c>
      <c r="O8" s="8">
        <f t="shared" si="1"/>
        <v>3.125E-2</v>
      </c>
    </row>
    <row r="9" spans="1:18" s="2" customFormat="1" ht="23.25" customHeight="1" x14ac:dyDescent="0.25">
      <c r="A9" s="10" t="s">
        <v>17</v>
      </c>
      <c r="B9" s="15" t="s">
        <v>37</v>
      </c>
      <c r="C9" s="15">
        <v>598</v>
      </c>
      <c r="D9" s="15" t="s">
        <v>38</v>
      </c>
      <c r="E9" s="8">
        <v>0.22916666666666666</v>
      </c>
      <c r="F9" s="8">
        <v>0.24305555555555555</v>
      </c>
      <c r="G9" s="8">
        <v>0.28819444444444442</v>
      </c>
      <c r="H9" s="15"/>
      <c r="I9" s="15"/>
      <c r="J9" s="15"/>
      <c r="K9" s="8"/>
      <c r="L9" s="8"/>
      <c r="M9" s="8"/>
      <c r="N9" s="8">
        <f t="shared" si="0"/>
        <v>4.5138888888888867E-2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112</v>
      </c>
      <c r="C10" s="15">
        <v>184212</v>
      </c>
      <c r="D10" s="15" t="s">
        <v>113</v>
      </c>
      <c r="E10" s="8">
        <v>0.22222222222222221</v>
      </c>
      <c r="F10" s="8">
        <v>0.24305555555555555</v>
      </c>
      <c r="G10" s="8">
        <v>0.2986111111111111</v>
      </c>
      <c r="H10" s="15"/>
      <c r="I10" s="15"/>
      <c r="J10" s="15"/>
      <c r="K10" s="8"/>
      <c r="L10" s="8"/>
      <c r="M10" s="8"/>
      <c r="N10" s="8">
        <f t="shared" si="0"/>
        <v>5.5555555555555552E-2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0.21180555555555555</v>
      </c>
      <c r="F11" s="8">
        <v>0.22569444444444445</v>
      </c>
      <c r="G11" s="8">
        <v>0.34027777777777779</v>
      </c>
      <c r="H11" s="15"/>
      <c r="I11" s="15"/>
      <c r="J11" s="15"/>
      <c r="K11" s="8"/>
      <c r="L11" s="8"/>
      <c r="M11" s="8"/>
      <c r="N11" s="8">
        <f t="shared" si="0"/>
        <v>0.11458333333333334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 t="s">
        <v>41</v>
      </c>
      <c r="C12" s="15">
        <v>61</v>
      </c>
      <c r="D12" s="15" t="s">
        <v>42</v>
      </c>
      <c r="E12" s="8">
        <v>0.98611111111111116</v>
      </c>
      <c r="F12" s="8">
        <v>0.2638888888888889</v>
      </c>
      <c r="G12" s="8">
        <v>0.28472222222222221</v>
      </c>
      <c r="H12" s="15"/>
      <c r="I12" s="15"/>
      <c r="J12" s="15"/>
      <c r="K12" s="8"/>
      <c r="L12" s="8"/>
      <c r="M12" s="8"/>
      <c r="N12" s="8">
        <f t="shared" si="0"/>
        <v>2.0833333333333315E-2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 t="s">
        <v>41</v>
      </c>
      <c r="C13" s="15">
        <v>61</v>
      </c>
      <c r="D13" s="15" t="s">
        <v>42</v>
      </c>
      <c r="E13" s="8">
        <v>0.98611111111111116</v>
      </c>
      <c r="F13" s="8">
        <v>0.3611111111111111</v>
      </c>
      <c r="G13" s="8">
        <v>0.40972222222222221</v>
      </c>
      <c r="H13" s="15"/>
      <c r="I13" s="15"/>
      <c r="J13" s="15"/>
      <c r="K13" s="8"/>
      <c r="L13" s="8"/>
      <c r="M13" s="8"/>
      <c r="N13" s="8">
        <f t="shared" si="0"/>
        <v>4.8611111111111105E-2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 t="s">
        <v>43</v>
      </c>
      <c r="C14" s="15">
        <v>516</v>
      </c>
      <c r="D14" s="15" t="s">
        <v>44</v>
      </c>
      <c r="E14" s="8">
        <v>0.98611111111111116</v>
      </c>
      <c r="F14" s="8">
        <v>0.2673611111111111</v>
      </c>
      <c r="G14" s="8">
        <v>0.3263888888888889</v>
      </c>
      <c r="H14" s="15"/>
      <c r="I14" s="15"/>
      <c r="J14" s="15"/>
      <c r="K14" s="8"/>
      <c r="L14" s="8"/>
      <c r="M14" s="8"/>
      <c r="N14" s="8">
        <f t="shared" si="0"/>
        <v>5.902777777777779E-2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4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EF50B-11AC-4072-901D-969EE9483E9C}">
  <dimension ref="A1:R30"/>
  <sheetViews>
    <sheetView showGridLines="0" zoomScale="70" zoomScaleNormal="70" workbookViewId="0">
      <pane ySplit="3" topLeftCell="A4" activePane="bottomLeft" state="frozen"/>
      <selection pane="bottomLeft" activeCell="E12" sqref="E12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0.2048611111111111</v>
      </c>
      <c r="F5" s="8">
        <v>0.2361111111111111</v>
      </c>
      <c r="G5" s="8">
        <v>0.2673611111111111</v>
      </c>
      <c r="H5" s="15"/>
      <c r="I5" s="15"/>
      <c r="J5" s="15"/>
      <c r="K5" s="8"/>
      <c r="L5" s="8"/>
      <c r="M5" s="8"/>
      <c r="N5" s="8">
        <f>MOD(G5-F5, 1)</f>
        <v>3.125E-2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0.21875</v>
      </c>
      <c r="F6" s="8">
        <v>0.24652777777777779</v>
      </c>
      <c r="G6" s="8">
        <v>0.29166666666666669</v>
      </c>
      <c r="H6" s="15"/>
      <c r="I6" s="15"/>
      <c r="J6" s="15"/>
      <c r="K6" s="8"/>
      <c r="L6" s="8"/>
      <c r="M6" s="8"/>
      <c r="N6" s="8">
        <f t="shared" ref="N6:N15" si="0">MOD(G6-F6, 1)</f>
        <v>4.5138888888888895E-2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59</v>
      </c>
      <c r="C7" s="15">
        <v>752</v>
      </c>
      <c r="D7" s="15" t="s">
        <v>60</v>
      </c>
      <c r="E7" s="8">
        <v>0.21180555555555555</v>
      </c>
      <c r="F7" s="8">
        <v>0.22222222222222221</v>
      </c>
      <c r="G7" s="8">
        <v>0.31597222222222221</v>
      </c>
      <c r="H7" s="15"/>
      <c r="I7" s="15"/>
      <c r="J7" s="15"/>
      <c r="K7" s="8"/>
      <c r="L7" s="8"/>
      <c r="M7" s="8"/>
      <c r="N7" s="8">
        <f t="shared" si="0"/>
        <v>9.375E-2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0.22916666666666666</v>
      </c>
      <c r="F8" s="8">
        <v>0.26041666666666669</v>
      </c>
      <c r="G8" s="8">
        <v>0.30555555555555558</v>
      </c>
      <c r="H8" s="15"/>
      <c r="I8" s="15"/>
      <c r="J8" s="15"/>
      <c r="K8" s="8"/>
      <c r="L8" s="8"/>
      <c r="M8" s="8"/>
      <c r="N8" s="8">
        <f t="shared" si="0"/>
        <v>4.5138888888888895E-2</v>
      </c>
      <c r="O8" s="8">
        <f t="shared" si="1"/>
        <v>0</v>
      </c>
    </row>
    <row r="9" spans="1:18" s="2" customFormat="1" ht="23.25" customHeight="1" x14ac:dyDescent="0.25">
      <c r="A9" s="10" t="s">
        <v>17</v>
      </c>
      <c r="B9" s="15" t="s">
        <v>37</v>
      </c>
      <c r="C9" s="15">
        <v>598</v>
      </c>
      <c r="D9" s="15" t="s">
        <v>38</v>
      </c>
      <c r="E9" s="8">
        <v>0.2326388888888889</v>
      </c>
      <c r="F9" s="8">
        <v>0.24305555555555555</v>
      </c>
      <c r="G9" s="8">
        <v>0.28819444444444442</v>
      </c>
      <c r="H9" s="15"/>
      <c r="I9" s="15"/>
      <c r="J9" s="15"/>
      <c r="K9" s="8"/>
      <c r="L9" s="8"/>
      <c r="M9" s="8"/>
      <c r="N9" s="8">
        <f t="shared" si="0"/>
        <v>4.5138888888888867E-2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112</v>
      </c>
      <c r="C10" s="15">
        <v>184212</v>
      </c>
      <c r="D10" s="15" t="s">
        <v>113</v>
      </c>
      <c r="E10" s="8">
        <v>0.21527777777777779</v>
      </c>
      <c r="F10" s="8">
        <v>0.22916666666666666</v>
      </c>
      <c r="G10" s="8">
        <v>0.30902777777777779</v>
      </c>
      <c r="H10" s="15"/>
      <c r="I10" s="15"/>
      <c r="J10" s="15"/>
      <c r="K10" s="8"/>
      <c r="L10" s="8"/>
      <c r="M10" s="8"/>
      <c r="N10" s="8">
        <f t="shared" si="0"/>
        <v>7.9861111111111133E-2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0.21180555555555555</v>
      </c>
      <c r="F11" s="8">
        <v>0.22569444444444445</v>
      </c>
      <c r="G11" s="8">
        <v>0.33680555555555558</v>
      </c>
      <c r="H11" s="15"/>
      <c r="I11" s="15"/>
      <c r="J11" s="15"/>
      <c r="K11" s="8"/>
      <c r="L11" s="8"/>
      <c r="M11" s="8"/>
      <c r="N11" s="8">
        <f t="shared" si="0"/>
        <v>0.11111111111111113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/>
      <c r="C12" s="15"/>
      <c r="D12" s="15"/>
      <c r="E12" s="8"/>
      <c r="F12" s="8"/>
      <c r="G12" s="8"/>
      <c r="H12" s="15"/>
      <c r="I12" s="15"/>
      <c r="J12" s="15"/>
      <c r="K12" s="8"/>
      <c r="L12" s="8"/>
      <c r="M12" s="8"/>
      <c r="N12" s="8">
        <f t="shared" si="0"/>
        <v>0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/>
      <c r="C13" s="15"/>
      <c r="D13" s="15"/>
      <c r="E13" s="8"/>
      <c r="F13" s="8"/>
      <c r="G13" s="8"/>
      <c r="H13" s="15"/>
      <c r="I13" s="15"/>
      <c r="J13" s="15"/>
      <c r="K13" s="8"/>
      <c r="L13" s="8"/>
      <c r="M13" s="8"/>
      <c r="N13" s="8">
        <f t="shared" si="0"/>
        <v>0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/>
      <c r="C14" s="15"/>
      <c r="D14" s="15"/>
      <c r="E14" s="8"/>
      <c r="F14" s="8"/>
      <c r="G14" s="8"/>
      <c r="H14" s="15"/>
      <c r="I14" s="15"/>
      <c r="J14" s="15"/>
      <c r="K14" s="8"/>
      <c r="L14" s="8"/>
      <c r="M14" s="8"/>
      <c r="N14" s="8">
        <f t="shared" si="0"/>
        <v>0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3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C8BE8-1A34-4D8D-B7BD-64F68B298EBB}">
  <dimension ref="A1:R30"/>
  <sheetViews>
    <sheetView showGridLines="0" zoomScale="70" zoomScaleNormal="70" workbookViewId="0">
      <pane ySplit="3" topLeftCell="A4" activePane="bottomLeft" state="frozen"/>
      <selection pane="bottomLeft" activeCell="G15" sqref="G15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0.19097222222222221</v>
      </c>
      <c r="F5" s="8">
        <v>0.22569444444444445</v>
      </c>
      <c r="G5" s="8">
        <v>0.27083333333333331</v>
      </c>
      <c r="H5" s="15"/>
      <c r="I5" s="15"/>
      <c r="J5" s="15"/>
      <c r="K5" s="8"/>
      <c r="L5" s="8"/>
      <c r="M5" s="8"/>
      <c r="N5" s="8">
        <f>MOD(G5-F5, 1)</f>
        <v>4.5138888888888867E-2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0.22222222222222221</v>
      </c>
      <c r="F6" s="8">
        <v>0.26041666666666669</v>
      </c>
      <c r="G6" s="8">
        <v>0.28819444444444442</v>
      </c>
      <c r="H6" s="15"/>
      <c r="I6" s="15"/>
      <c r="J6" s="15"/>
      <c r="K6" s="8"/>
      <c r="L6" s="8"/>
      <c r="M6" s="8"/>
      <c r="N6" s="8">
        <f t="shared" ref="N6:N15" si="0">MOD(G6-F6, 1)</f>
        <v>2.7777777777777735E-2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120</v>
      </c>
      <c r="C7" s="15">
        <v>353</v>
      </c>
      <c r="D7" s="15" t="s">
        <v>92</v>
      </c>
      <c r="E7" s="8">
        <v>0.19791666666666666</v>
      </c>
      <c r="F7" s="8">
        <v>0.21527777777777779</v>
      </c>
      <c r="G7" s="8">
        <v>0.2951388888888889</v>
      </c>
      <c r="H7" s="15"/>
      <c r="I7" s="15"/>
      <c r="J7" s="15"/>
      <c r="K7" s="8"/>
      <c r="L7" s="8"/>
      <c r="M7" s="8"/>
      <c r="N7" s="8">
        <f t="shared" si="0"/>
        <v>7.9861111111111105E-2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0.23958333333333334</v>
      </c>
      <c r="F8" s="8">
        <v>0.2638888888888889</v>
      </c>
      <c r="G8" s="8">
        <v>0.2951388888888889</v>
      </c>
      <c r="H8" s="15"/>
      <c r="I8" s="15"/>
      <c r="J8" s="15"/>
      <c r="K8" s="8"/>
      <c r="L8" s="8"/>
      <c r="M8" s="8"/>
      <c r="N8" s="8">
        <f t="shared" si="0"/>
        <v>3.125E-2</v>
      </c>
      <c r="O8" s="8">
        <f t="shared" si="1"/>
        <v>0</v>
      </c>
    </row>
    <row r="9" spans="1:18" s="2" customFormat="1" ht="23.25" customHeight="1" x14ac:dyDescent="0.25">
      <c r="A9" s="10" t="s">
        <v>17</v>
      </c>
      <c r="B9" s="15" t="s">
        <v>37</v>
      </c>
      <c r="C9" s="15">
        <v>598</v>
      </c>
      <c r="D9" s="15" t="s">
        <v>38</v>
      </c>
      <c r="E9" s="8">
        <v>0.2326388888888889</v>
      </c>
      <c r="F9" s="8">
        <v>0.25</v>
      </c>
      <c r="G9" s="8">
        <v>0.29166666666666669</v>
      </c>
      <c r="H9" s="15"/>
      <c r="I9" s="15"/>
      <c r="J9" s="15"/>
      <c r="K9" s="8"/>
      <c r="L9" s="8"/>
      <c r="M9" s="8"/>
      <c r="N9" s="8">
        <f t="shared" si="0"/>
        <v>4.1666666666666685E-2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66</v>
      </c>
      <c r="C10" s="15">
        <v>353</v>
      </c>
      <c r="D10" s="15" t="s">
        <v>67</v>
      </c>
      <c r="E10" s="8">
        <v>0.2013888888888889</v>
      </c>
      <c r="F10" s="8">
        <v>0.21875</v>
      </c>
      <c r="G10" s="8">
        <v>0.28819444444444442</v>
      </c>
      <c r="H10" s="15"/>
      <c r="I10" s="15"/>
      <c r="J10" s="15"/>
      <c r="K10" s="8"/>
      <c r="L10" s="8"/>
      <c r="M10" s="8"/>
      <c r="N10" s="8">
        <f t="shared" si="0"/>
        <v>6.944444444444442E-2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0.21180555555555555</v>
      </c>
      <c r="F11" s="8">
        <v>0.22222222222222221</v>
      </c>
      <c r="G11" s="8">
        <v>0.32291666666666669</v>
      </c>
      <c r="H11" s="15"/>
      <c r="I11" s="15"/>
      <c r="J11" s="15"/>
      <c r="K11" s="8"/>
      <c r="L11" s="8"/>
      <c r="M11" s="8"/>
      <c r="N11" s="8">
        <f t="shared" si="0"/>
        <v>0.10069444444444448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 t="s">
        <v>41</v>
      </c>
      <c r="C12" s="15">
        <v>61</v>
      </c>
      <c r="D12" s="15" t="s">
        <v>42</v>
      </c>
      <c r="E12" s="8">
        <v>0.97222222222222221</v>
      </c>
      <c r="F12" s="8">
        <v>0.2638888888888889</v>
      </c>
      <c r="G12" s="8">
        <v>0.27777777777777779</v>
      </c>
      <c r="H12" s="15"/>
      <c r="I12" s="15"/>
      <c r="J12" s="15"/>
      <c r="K12" s="8"/>
      <c r="L12" s="8"/>
      <c r="M12" s="8"/>
      <c r="N12" s="8">
        <f t="shared" si="0"/>
        <v>1.3888888888888895E-2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 t="s">
        <v>41</v>
      </c>
      <c r="C13" s="15">
        <v>61</v>
      </c>
      <c r="D13" s="15" t="s">
        <v>42</v>
      </c>
      <c r="E13" s="8">
        <v>0.97222222222222221</v>
      </c>
      <c r="F13" s="8">
        <v>0.33333333333333331</v>
      </c>
      <c r="G13" s="8">
        <v>0.40625</v>
      </c>
      <c r="H13" s="15"/>
      <c r="I13" s="15"/>
      <c r="J13" s="15"/>
      <c r="K13" s="8"/>
      <c r="L13" s="8"/>
      <c r="M13" s="8"/>
      <c r="N13" s="8">
        <f t="shared" si="0"/>
        <v>7.2916666666666685E-2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 t="s">
        <v>43</v>
      </c>
      <c r="C14" s="15">
        <v>516</v>
      </c>
      <c r="D14" s="15" t="s">
        <v>44</v>
      </c>
      <c r="E14" s="8">
        <v>0.97222222222222221</v>
      </c>
      <c r="F14" s="8">
        <v>0.27083333333333331</v>
      </c>
      <c r="G14" s="8">
        <v>0.30555555555555558</v>
      </c>
      <c r="H14" s="15"/>
      <c r="I14" s="15"/>
      <c r="J14" s="15"/>
      <c r="K14" s="8"/>
      <c r="L14" s="8"/>
      <c r="M14" s="8"/>
      <c r="N14" s="8">
        <f t="shared" si="0"/>
        <v>3.4722222222222265E-2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2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19EF-4BC9-4BAD-8F18-93AC01E85E70}">
  <dimension ref="A1:R30"/>
  <sheetViews>
    <sheetView showGridLines="0" tabSelected="1" zoomScale="70" zoomScaleNormal="70" workbookViewId="0">
      <pane ySplit="3" topLeftCell="A4" activePane="bottomLeft" state="frozen"/>
      <selection pane="bottomLeft" activeCell="F15" sqref="F15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hidden="1" customWidth="1"/>
    <col min="9" max="9" width="13.5703125" hidden="1" customWidth="1"/>
    <col min="10" max="10" width="16.7109375" hidden="1" customWidth="1"/>
    <col min="11" max="11" width="20.140625" hidden="1" customWidth="1"/>
    <col min="12" max="12" width="21" hidden="1" customWidth="1"/>
    <col min="13" max="13" width="23.5703125" hidden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 t="s">
        <v>23</v>
      </c>
      <c r="C5" s="15">
        <v>822</v>
      </c>
      <c r="D5" s="15" t="s">
        <v>24</v>
      </c>
      <c r="E5" s="8">
        <v>0.19791666666666666</v>
      </c>
      <c r="F5" s="8">
        <v>0.2361111111111111</v>
      </c>
      <c r="G5" s="8">
        <v>0.2638888888888889</v>
      </c>
      <c r="H5" s="15"/>
      <c r="I5" s="15"/>
      <c r="J5" s="15"/>
      <c r="K5" s="8"/>
      <c r="L5" s="8"/>
      <c r="M5" s="8"/>
      <c r="N5" s="8">
        <f>MOD(G5-F5, 1)</f>
        <v>2.777777777777779E-2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 t="s">
        <v>27</v>
      </c>
      <c r="C6" s="15">
        <v>184446</v>
      </c>
      <c r="D6" s="15" t="s">
        <v>28</v>
      </c>
      <c r="E6" s="8">
        <v>0.21527777777777779</v>
      </c>
      <c r="F6" s="8">
        <v>0.25</v>
      </c>
      <c r="G6" s="8">
        <v>0.3298611111111111</v>
      </c>
      <c r="H6" s="15"/>
      <c r="I6" s="15"/>
      <c r="J6" s="15"/>
      <c r="K6" s="8"/>
      <c r="L6" s="8"/>
      <c r="M6" s="8"/>
      <c r="N6" s="8">
        <f t="shared" ref="N6:N15" si="0">MOD(G6-F6, 1)</f>
        <v>7.9861111111111105E-2</v>
      </c>
      <c r="O6" s="8">
        <f t="shared" ref="O6:O15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 t="s">
        <v>105</v>
      </c>
      <c r="C7" s="15">
        <v>573</v>
      </c>
      <c r="D7" s="15" t="s">
        <v>106</v>
      </c>
      <c r="E7" s="8">
        <v>0.2673611111111111</v>
      </c>
      <c r="F7" s="8">
        <v>0.28472222222222221</v>
      </c>
      <c r="G7" s="8">
        <v>0.3263888888888889</v>
      </c>
      <c r="H7" s="15"/>
      <c r="I7" s="15"/>
      <c r="J7" s="15"/>
      <c r="K7" s="8"/>
      <c r="L7" s="8"/>
      <c r="M7" s="8"/>
      <c r="N7" s="8">
        <f t="shared" si="0"/>
        <v>4.1666666666666685E-2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 t="s">
        <v>31</v>
      </c>
      <c r="C8" s="15">
        <v>184357</v>
      </c>
      <c r="D8" s="15" t="s">
        <v>32</v>
      </c>
      <c r="E8" s="8">
        <v>0.23958333333333334</v>
      </c>
      <c r="F8" s="8">
        <v>0.2638888888888889</v>
      </c>
      <c r="G8" s="8">
        <v>0.30208333333333331</v>
      </c>
      <c r="H8" s="15"/>
      <c r="I8" s="15"/>
      <c r="J8" s="15"/>
      <c r="K8" s="8"/>
      <c r="L8" s="8"/>
      <c r="M8" s="8"/>
      <c r="N8" s="8">
        <f t="shared" si="0"/>
        <v>3.819444444444442E-2</v>
      </c>
      <c r="O8" s="8">
        <f t="shared" si="1"/>
        <v>0</v>
      </c>
    </row>
    <row r="9" spans="1:18" s="2" customFormat="1" ht="23.25" customHeight="1" x14ac:dyDescent="0.25">
      <c r="A9" s="10" t="s">
        <v>17</v>
      </c>
      <c r="B9" s="15" t="s">
        <v>37</v>
      </c>
      <c r="C9" s="15">
        <v>598</v>
      </c>
      <c r="D9" s="15" t="s">
        <v>38</v>
      </c>
      <c r="E9" s="8">
        <v>0.22916666666666666</v>
      </c>
      <c r="F9" s="8">
        <v>0.24305555555555555</v>
      </c>
      <c r="G9" s="8">
        <v>0.27083333333333331</v>
      </c>
      <c r="H9" s="15"/>
      <c r="I9" s="15"/>
      <c r="J9" s="15"/>
      <c r="K9" s="8"/>
      <c r="L9" s="8"/>
      <c r="M9" s="8"/>
      <c r="N9" s="8">
        <f t="shared" si="0"/>
        <v>2.7777777777777762E-2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 t="s">
        <v>112</v>
      </c>
      <c r="C10" s="15">
        <v>184212</v>
      </c>
      <c r="D10" s="15" t="s">
        <v>113</v>
      </c>
      <c r="E10" s="8">
        <v>0.22569444444444445</v>
      </c>
      <c r="F10" s="8">
        <v>0.24305555555555555</v>
      </c>
      <c r="G10" s="8">
        <v>0.30555555555555558</v>
      </c>
      <c r="H10" s="15"/>
      <c r="I10" s="15"/>
      <c r="J10" s="15"/>
      <c r="K10" s="8"/>
      <c r="L10" s="8"/>
      <c r="M10" s="8"/>
      <c r="N10" s="8">
        <f t="shared" si="0"/>
        <v>6.2500000000000028E-2</v>
      </c>
      <c r="O10" s="8">
        <f t="shared" si="1"/>
        <v>0</v>
      </c>
    </row>
    <row r="11" spans="1:18" s="2" customFormat="1" ht="23.25" customHeight="1" x14ac:dyDescent="0.25">
      <c r="A11" s="10" t="s">
        <v>18</v>
      </c>
      <c r="B11" s="15" t="s">
        <v>39</v>
      </c>
      <c r="C11" s="15">
        <v>274</v>
      </c>
      <c r="D11" s="15" t="s">
        <v>40</v>
      </c>
      <c r="E11" s="8">
        <v>0.21875</v>
      </c>
      <c r="F11" s="8">
        <v>0.24305555555555555</v>
      </c>
      <c r="G11" s="8">
        <v>0.31597222222222221</v>
      </c>
      <c r="H11" s="15"/>
      <c r="I11" s="15"/>
      <c r="J11" s="15"/>
      <c r="K11" s="8"/>
      <c r="L11" s="8"/>
      <c r="M11" s="8"/>
      <c r="N11" s="8">
        <f t="shared" si="0"/>
        <v>7.2916666666666657E-2</v>
      </c>
      <c r="O11" s="8">
        <f t="shared" si="1"/>
        <v>0</v>
      </c>
    </row>
    <row r="12" spans="1:18" s="2" customFormat="1" ht="23.25" customHeight="1" x14ac:dyDescent="0.25">
      <c r="A12" s="10" t="s">
        <v>11</v>
      </c>
      <c r="B12" s="15"/>
      <c r="C12" s="15"/>
      <c r="D12" s="15"/>
      <c r="E12" s="8"/>
      <c r="F12" s="8"/>
      <c r="G12" s="8"/>
      <c r="H12" s="15"/>
      <c r="I12" s="15"/>
      <c r="J12" s="15"/>
      <c r="K12" s="8"/>
      <c r="L12" s="8"/>
      <c r="M12" s="8"/>
      <c r="N12" s="8">
        <f t="shared" si="0"/>
        <v>0</v>
      </c>
      <c r="O12" s="8">
        <f t="shared" si="1"/>
        <v>0</v>
      </c>
    </row>
    <row r="13" spans="1:18" s="2" customFormat="1" ht="23.25" customHeight="1" x14ac:dyDescent="0.25">
      <c r="A13" s="10" t="s">
        <v>12</v>
      </c>
      <c r="B13" s="15"/>
      <c r="C13" s="15"/>
      <c r="D13" s="15"/>
      <c r="E13" s="8"/>
      <c r="F13" s="8"/>
      <c r="G13" s="8"/>
      <c r="H13" s="15"/>
      <c r="I13" s="15"/>
      <c r="J13" s="15"/>
      <c r="K13" s="8"/>
      <c r="L13" s="8"/>
      <c r="M13" s="8"/>
      <c r="N13" s="8">
        <f t="shared" si="0"/>
        <v>0</v>
      </c>
      <c r="O13" s="8">
        <f t="shared" si="1"/>
        <v>0</v>
      </c>
    </row>
    <row r="14" spans="1:18" s="2" customFormat="1" ht="23.25" customHeight="1" x14ac:dyDescent="0.25">
      <c r="A14" s="10" t="s">
        <v>13</v>
      </c>
      <c r="B14" s="15"/>
      <c r="C14" s="15"/>
      <c r="D14" s="15"/>
      <c r="E14" s="8"/>
      <c r="F14" s="8"/>
      <c r="G14" s="8"/>
      <c r="H14" s="15"/>
      <c r="I14" s="15"/>
      <c r="J14" s="15"/>
      <c r="K14" s="8"/>
      <c r="L14" s="8"/>
      <c r="M14" s="8"/>
      <c r="N14" s="8">
        <f t="shared" si="0"/>
        <v>0</v>
      </c>
      <c r="O14" s="8">
        <f t="shared" si="1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0"/>
        <v>0</v>
      </c>
      <c r="O15" s="8">
        <f t="shared" si="1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B2:G2"/>
    <mergeCell ref="H2:L2"/>
    <mergeCell ref="P5:R5"/>
    <mergeCell ref="P6:R6"/>
  </mergeCells>
  <conditionalFormatting sqref="N4:O15">
    <cfRule type="cellIs" dxfId="1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E50D5-C795-4035-87FB-8423A3956A97}">
  <dimension ref="A1:R30"/>
  <sheetViews>
    <sheetView showGridLines="0" zoomScale="70" zoomScaleNormal="70" workbookViewId="0">
      <pane ySplit="3" topLeftCell="A4" activePane="bottomLeft" state="frozen"/>
      <selection pane="bottomLeft" activeCell="A18" sqref="A18"/>
    </sheetView>
  </sheetViews>
  <sheetFormatPr defaultRowHeight="15" x14ac:dyDescent="0.25"/>
  <cols>
    <col min="1" max="1" width="38.85546875" bestFit="1" customWidth="1"/>
    <col min="2" max="2" width="23.85546875" bestFit="1" customWidth="1"/>
    <col min="3" max="3" width="13.5703125" bestFit="1" customWidth="1"/>
    <col min="4" max="4" width="16.7109375" bestFit="1" customWidth="1"/>
    <col min="5" max="5" width="20.140625" style="3" bestFit="1" customWidth="1"/>
    <col min="6" max="6" width="21" bestFit="1" customWidth="1"/>
    <col min="7" max="7" width="23.5703125" bestFit="1" customWidth="1"/>
    <col min="8" max="8" width="23.85546875" bestFit="1" customWidth="1"/>
    <col min="9" max="9" width="13.5703125" bestFit="1" customWidth="1"/>
    <col min="10" max="10" width="16.7109375" bestFit="1" customWidth="1"/>
    <col min="11" max="11" width="20.140625" bestFit="1" customWidth="1"/>
    <col min="12" max="12" width="21" bestFit="1" customWidth="1"/>
    <col min="13" max="13" width="23.5703125" bestFit="1" customWidth="1"/>
    <col min="14" max="15" width="25" bestFit="1" customWidth="1"/>
    <col min="16" max="16" width="15.140625" customWidth="1"/>
  </cols>
  <sheetData>
    <row r="1" spans="1:18" ht="86.25" x14ac:dyDescent="0.25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1"/>
      <c r="O1" s="11"/>
    </row>
    <row r="2" spans="1:18" ht="23.25" x14ac:dyDescent="0.25">
      <c r="A2" s="14"/>
      <c r="B2" s="17" t="s">
        <v>9</v>
      </c>
      <c r="C2" s="17"/>
      <c r="D2" s="17"/>
      <c r="E2" s="17"/>
      <c r="F2" s="17"/>
      <c r="G2" s="17"/>
      <c r="H2" s="17" t="s">
        <v>0</v>
      </c>
      <c r="I2" s="17"/>
      <c r="J2" s="17"/>
      <c r="K2" s="17"/>
      <c r="L2" s="17"/>
      <c r="M2" s="13"/>
      <c r="N2" s="11"/>
      <c r="O2" s="11"/>
    </row>
    <row r="3" spans="1:18" s="1" customFormat="1" ht="23.25" x14ac:dyDescent="0.35">
      <c r="A3" s="9" t="s">
        <v>4</v>
      </c>
      <c r="B3" s="9" t="s">
        <v>5</v>
      </c>
      <c r="C3" s="9" t="s">
        <v>19</v>
      </c>
      <c r="D3" s="9" t="s">
        <v>6</v>
      </c>
      <c r="E3" s="9" t="s">
        <v>7</v>
      </c>
      <c r="F3" s="9" t="s">
        <v>22</v>
      </c>
      <c r="G3" s="9" t="s">
        <v>8</v>
      </c>
      <c r="H3" s="9" t="s">
        <v>5</v>
      </c>
      <c r="I3" s="9" t="s">
        <v>19</v>
      </c>
      <c r="J3" s="9" t="s">
        <v>6</v>
      </c>
      <c r="K3" s="9" t="s">
        <v>7</v>
      </c>
      <c r="L3" s="9" t="s">
        <v>22</v>
      </c>
      <c r="M3" s="9" t="s">
        <v>8</v>
      </c>
      <c r="N3" s="12" t="s">
        <v>20</v>
      </c>
      <c r="O3" s="12" t="s">
        <v>21</v>
      </c>
    </row>
    <row r="4" spans="1:18" s="1" customFormat="1" ht="23.25" customHeight="1" x14ac:dyDescent="0.35">
      <c r="A4" s="10"/>
      <c r="B4" s="15"/>
      <c r="C4" s="15"/>
      <c r="D4" s="15"/>
      <c r="E4" s="8"/>
      <c r="F4" s="8"/>
      <c r="G4" s="8"/>
      <c r="H4" s="15"/>
      <c r="I4" s="15"/>
      <c r="J4" s="15"/>
      <c r="K4" s="8"/>
      <c r="L4" s="8"/>
      <c r="M4" s="8"/>
      <c r="N4" s="8"/>
      <c r="O4" s="8"/>
    </row>
    <row r="5" spans="1:18" s="2" customFormat="1" ht="23.25" customHeight="1" x14ac:dyDescent="0.25">
      <c r="A5" s="10" t="s">
        <v>1</v>
      </c>
      <c r="B5" s="15"/>
      <c r="C5" s="15"/>
      <c r="D5" s="15"/>
      <c r="E5" s="8"/>
      <c r="F5" s="8"/>
      <c r="G5" s="8"/>
      <c r="H5" s="15"/>
      <c r="I5" s="15"/>
      <c r="J5" s="15"/>
      <c r="K5" s="8"/>
      <c r="L5" s="8"/>
      <c r="M5" s="8"/>
      <c r="N5" s="8">
        <f>MOD(G5-F5, 1)</f>
        <v>0</v>
      </c>
      <c r="O5" s="8">
        <f>MOD(M5-L5, 1)</f>
        <v>0</v>
      </c>
      <c r="P5" s="18"/>
      <c r="Q5" s="18"/>
      <c r="R5" s="18"/>
    </row>
    <row r="6" spans="1:18" s="2" customFormat="1" ht="23.25" customHeight="1" x14ac:dyDescent="0.25">
      <c r="A6" s="10" t="s">
        <v>15</v>
      </c>
      <c r="B6" s="15"/>
      <c r="C6" s="15"/>
      <c r="D6" s="15"/>
      <c r="E6" s="8"/>
      <c r="F6" s="8"/>
      <c r="G6" s="8"/>
      <c r="H6" s="15"/>
      <c r="I6" s="15"/>
      <c r="J6" s="15"/>
      <c r="K6" s="8"/>
      <c r="L6" s="8"/>
      <c r="M6" s="8"/>
      <c r="N6" s="8">
        <f t="shared" ref="N6:N9" si="0">MOD(G6-F6, 1)</f>
        <v>0</v>
      </c>
      <c r="O6" s="8">
        <f t="shared" ref="O6:O9" si="1">MOD(M6-L6, 1)</f>
        <v>0</v>
      </c>
      <c r="P6" s="18"/>
      <c r="Q6" s="18"/>
      <c r="R6" s="18"/>
    </row>
    <row r="7" spans="1:18" s="2" customFormat="1" ht="23.25" customHeight="1" x14ac:dyDescent="0.25">
      <c r="A7" s="10" t="s">
        <v>2</v>
      </c>
      <c r="B7" s="15"/>
      <c r="C7" s="15"/>
      <c r="D7" s="15"/>
      <c r="E7" s="8"/>
      <c r="F7" s="8"/>
      <c r="G7" s="8"/>
      <c r="H7" s="15"/>
      <c r="I7" s="15"/>
      <c r="J7" s="15"/>
      <c r="K7" s="8"/>
      <c r="L7" s="8"/>
      <c r="M7" s="8"/>
      <c r="N7" s="8">
        <f t="shared" si="0"/>
        <v>0</v>
      </c>
      <c r="O7" s="8">
        <f t="shared" si="1"/>
        <v>0</v>
      </c>
    </row>
    <row r="8" spans="1:18" s="2" customFormat="1" ht="23.25" customHeight="1" x14ac:dyDescent="0.25">
      <c r="A8" s="10" t="s">
        <v>16</v>
      </c>
      <c r="B8" s="15"/>
      <c r="C8" s="15"/>
      <c r="D8" s="15"/>
      <c r="E8" s="8"/>
      <c r="F8" s="8"/>
      <c r="G8" s="8"/>
      <c r="H8" s="15"/>
      <c r="I8" s="15"/>
      <c r="J8" s="15"/>
      <c r="K8" s="8"/>
      <c r="L8" s="8"/>
      <c r="M8" s="8"/>
      <c r="N8" s="8">
        <f t="shared" si="0"/>
        <v>0</v>
      </c>
      <c r="O8" s="8">
        <f t="shared" si="1"/>
        <v>0</v>
      </c>
    </row>
    <row r="9" spans="1:18" s="2" customFormat="1" ht="23.25" customHeight="1" x14ac:dyDescent="0.25">
      <c r="A9" s="10" t="s">
        <v>17</v>
      </c>
      <c r="B9" s="15"/>
      <c r="C9" s="15"/>
      <c r="D9" s="15"/>
      <c r="E9" s="8"/>
      <c r="F9" s="8"/>
      <c r="G9" s="8"/>
      <c r="H9" s="15"/>
      <c r="I9" s="15"/>
      <c r="J9" s="15"/>
      <c r="K9" s="8"/>
      <c r="L9" s="8"/>
      <c r="M9" s="8"/>
      <c r="N9" s="8">
        <f t="shared" si="0"/>
        <v>0</v>
      </c>
      <c r="O9" s="8">
        <f t="shared" si="1"/>
        <v>0</v>
      </c>
    </row>
    <row r="10" spans="1:18" s="2" customFormat="1" ht="23.25" customHeight="1" x14ac:dyDescent="0.25">
      <c r="A10" s="10" t="s">
        <v>3</v>
      </c>
      <c r="B10" s="15"/>
      <c r="C10" s="15"/>
      <c r="D10" s="15"/>
      <c r="E10" s="8"/>
      <c r="F10" s="8"/>
      <c r="G10" s="8"/>
      <c r="H10" s="15"/>
      <c r="I10" s="15"/>
      <c r="J10" s="15"/>
      <c r="K10" s="8"/>
      <c r="L10" s="8"/>
      <c r="M10" s="8"/>
      <c r="N10" s="8">
        <f t="shared" ref="N10:N15" si="2">MOD(G10-F10, 1)</f>
        <v>0</v>
      </c>
      <c r="O10" s="8">
        <f t="shared" ref="O10:O15" si="3">MOD(M10-L10, 1)</f>
        <v>0</v>
      </c>
    </row>
    <row r="11" spans="1:18" s="2" customFormat="1" ht="23.25" customHeight="1" x14ac:dyDescent="0.25">
      <c r="A11" s="10" t="s">
        <v>18</v>
      </c>
      <c r="B11" s="15"/>
      <c r="C11" s="15"/>
      <c r="D11" s="15"/>
      <c r="E11" s="8"/>
      <c r="F11" s="8"/>
      <c r="G11" s="8"/>
      <c r="H11" s="15"/>
      <c r="I11" s="15"/>
      <c r="J11" s="15"/>
      <c r="K11" s="8"/>
      <c r="L11" s="8"/>
      <c r="M11" s="8"/>
      <c r="N11" s="8">
        <f t="shared" si="2"/>
        <v>0</v>
      </c>
      <c r="O11" s="8">
        <f t="shared" si="3"/>
        <v>0</v>
      </c>
    </row>
    <row r="12" spans="1:18" s="2" customFormat="1" ht="23.25" customHeight="1" x14ac:dyDescent="0.25">
      <c r="A12" s="10" t="s">
        <v>11</v>
      </c>
      <c r="B12" s="15"/>
      <c r="C12" s="15"/>
      <c r="D12" s="15"/>
      <c r="E12" s="8"/>
      <c r="F12" s="8"/>
      <c r="G12" s="8"/>
      <c r="H12" s="15"/>
      <c r="I12" s="15"/>
      <c r="J12" s="15"/>
      <c r="K12" s="8"/>
      <c r="L12" s="8"/>
      <c r="M12" s="8"/>
      <c r="N12" s="8">
        <f t="shared" si="2"/>
        <v>0</v>
      </c>
      <c r="O12" s="8">
        <f t="shared" si="3"/>
        <v>0</v>
      </c>
    </row>
    <row r="13" spans="1:18" s="2" customFormat="1" ht="23.25" customHeight="1" x14ac:dyDescent="0.25">
      <c r="A13" s="10" t="s">
        <v>12</v>
      </c>
      <c r="B13" s="15"/>
      <c r="C13" s="15"/>
      <c r="D13" s="15"/>
      <c r="E13" s="8"/>
      <c r="F13" s="8"/>
      <c r="G13" s="8"/>
      <c r="H13" s="15"/>
      <c r="I13" s="15"/>
      <c r="J13" s="15"/>
      <c r="K13" s="8"/>
      <c r="L13" s="8"/>
      <c r="M13" s="8"/>
      <c r="N13" s="8">
        <f t="shared" si="2"/>
        <v>0</v>
      </c>
      <c r="O13" s="8">
        <f t="shared" si="3"/>
        <v>0</v>
      </c>
    </row>
    <row r="14" spans="1:18" s="2" customFormat="1" ht="23.25" customHeight="1" x14ac:dyDescent="0.25">
      <c r="A14" s="10" t="s">
        <v>13</v>
      </c>
      <c r="B14" s="15"/>
      <c r="C14" s="15"/>
      <c r="D14" s="15"/>
      <c r="E14" s="8"/>
      <c r="F14" s="8"/>
      <c r="G14" s="8"/>
      <c r="H14" s="15"/>
      <c r="I14" s="15"/>
      <c r="J14" s="15"/>
      <c r="K14" s="8"/>
      <c r="L14" s="8"/>
      <c r="M14" s="8"/>
      <c r="N14" s="8">
        <f t="shared" si="2"/>
        <v>0</v>
      </c>
      <c r="O14" s="8">
        <f t="shared" si="3"/>
        <v>0</v>
      </c>
    </row>
    <row r="15" spans="1:18" s="2" customFormat="1" ht="23.25" customHeight="1" x14ac:dyDescent="0.25">
      <c r="A15" s="10" t="s">
        <v>14</v>
      </c>
      <c r="B15" s="15"/>
      <c r="C15" s="15"/>
      <c r="D15" s="15"/>
      <c r="E15" s="8"/>
      <c r="F15" s="8"/>
      <c r="G15" s="8"/>
      <c r="H15" s="15"/>
      <c r="I15" s="15"/>
      <c r="J15" s="15"/>
      <c r="K15" s="8"/>
      <c r="L15" s="8"/>
      <c r="M15" s="8"/>
      <c r="N15" s="8">
        <f t="shared" si="2"/>
        <v>0</v>
      </c>
      <c r="O15" s="8">
        <f t="shared" si="3"/>
        <v>0</v>
      </c>
    </row>
    <row r="16" spans="1:18" ht="23.25" customHeight="1" x14ac:dyDescent="0.25">
      <c r="A16" s="10"/>
      <c r="B16" s="15"/>
      <c r="C16" s="15"/>
      <c r="D16" s="15"/>
      <c r="E16" s="8"/>
      <c r="F16" s="8"/>
      <c r="G16" s="8"/>
      <c r="H16" s="15"/>
      <c r="I16" s="15"/>
      <c r="J16" s="15"/>
      <c r="K16" s="8"/>
      <c r="L16" s="8"/>
      <c r="M16" s="8"/>
      <c r="N16" s="10"/>
      <c r="O16" s="15"/>
    </row>
    <row r="18" spans="1:7" ht="15" customHeight="1" x14ac:dyDescent="0.25">
      <c r="A18" s="4"/>
      <c r="B18" s="4"/>
      <c r="C18" s="4"/>
      <c r="D18" s="5"/>
      <c r="E18" s="6"/>
      <c r="F18" s="6"/>
      <c r="G18" s="6"/>
    </row>
    <row r="26" spans="1:7" x14ac:dyDescent="0.25">
      <c r="A26" s="3"/>
      <c r="E26"/>
    </row>
    <row r="27" spans="1:7" x14ac:dyDescent="0.25">
      <c r="A27" s="3"/>
      <c r="E27"/>
    </row>
    <row r="28" spans="1:7" x14ac:dyDescent="0.25">
      <c r="A28" s="3"/>
      <c r="E28"/>
    </row>
    <row r="29" spans="1:7" x14ac:dyDescent="0.25">
      <c r="A29" s="3"/>
      <c r="E29"/>
    </row>
    <row r="30" spans="1:7" x14ac:dyDescent="0.25">
      <c r="A30" s="3"/>
      <c r="E30"/>
    </row>
  </sheetData>
  <autoFilter ref="A3:M15" xr:uid="{EC758A19-D570-4102-BA0F-75B7608AB055}"/>
  <mergeCells count="4">
    <mergeCell ref="P5:R5"/>
    <mergeCell ref="P6:R6"/>
    <mergeCell ref="H2:L2"/>
    <mergeCell ref="B2:G2"/>
  </mergeCells>
  <conditionalFormatting sqref="N4:O15">
    <cfRule type="cellIs" dxfId="0" priority="1" operator="greaterThan">
      <formula>0.000694444444444444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D6C70C-020E-43AF-B251-121EE7CE44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02</vt:lpstr>
      <vt:lpstr>04</vt:lpstr>
      <vt:lpstr>05</vt:lpstr>
      <vt:lpstr>06</vt:lpstr>
      <vt:lpstr>07</vt:lpstr>
      <vt:lpstr>08</vt:lpstr>
      <vt:lpstr>09</vt:lpstr>
      <vt:lpstr>11</vt:lpstr>
      <vt:lpstr>12</vt:lpstr>
      <vt:lpstr>13</vt:lpstr>
      <vt:lpstr>14</vt:lpstr>
      <vt:lpstr>15</vt:lpstr>
      <vt:lpstr>16</vt:lpstr>
      <vt:lpstr>18</vt:lpstr>
      <vt:lpstr>19</vt:lpstr>
      <vt:lpstr>20</vt:lpstr>
      <vt:lpstr>21</vt:lpstr>
      <vt:lpstr>22</vt:lpstr>
      <vt:lpstr>23</vt:lpstr>
      <vt:lpstr>25</vt:lpstr>
      <vt:lpstr>26</vt:lpstr>
      <vt:lpstr>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heckmann</dc:creator>
  <cp:lastModifiedBy>WIliam  Souza Cortes dso Santos</cp:lastModifiedBy>
  <dcterms:created xsi:type="dcterms:W3CDTF">2026-02-16T17:15:25Z</dcterms:created>
  <dcterms:modified xsi:type="dcterms:W3CDTF">2026-05-26T16:43:03Z</dcterms:modified>
</cp:coreProperties>
</file>