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AAA862DD-9C58-432C-A005-669725A2DA58}" xr6:coauthVersionLast="47" xr6:coauthVersionMax="47" xr10:uidLastSave="{00000000-0000-0000-0000-000000000000}"/>
  <bookViews>
    <workbookView xWindow="14295" yWindow="0" windowWidth="14610" windowHeight="15585" firstSheet="12" activeTab="20" xr2:uid="{F63E6018-D765-4769-AA45-1518F94AC87F}"/>
  </bookViews>
  <sheets>
    <sheet name="02" sheetId="16" r:id="rId1"/>
    <sheet name="04" sheetId="17" r:id="rId2"/>
    <sheet name="05" sheetId="18" r:id="rId3"/>
    <sheet name="06" sheetId="19" r:id="rId4"/>
    <sheet name="07" sheetId="20" r:id="rId5"/>
    <sheet name="08" sheetId="21" r:id="rId6"/>
    <sheet name="09" sheetId="22" r:id="rId7"/>
    <sheet name="11" sheetId="23" r:id="rId8"/>
    <sheet name="12" sheetId="24" r:id="rId9"/>
    <sheet name="13" sheetId="25" r:id="rId10"/>
    <sheet name="14" sheetId="26" r:id="rId11"/>
    <sheet name="15" sheetId="27" r:id="rId12"/>
    <sheet name="16" sheetId="28" r:id="rId13"/>
    <sheet name="18" sheetId="29" r:id="rId14"/>
    <sheet name="19" sheetId="30" r:id="rId15"/>
    <sheet name="20" sheetId="31" r:id="rId16"/>
    <sheet name="21" sheetId="32" r:id="rId17"/>
    <sheet name="22" sheetId="33" r:id="rId18"/>
    <sheet name="23" sheetId="34" r:id="rId19"/>
    <sheet name="25" sheetId="35" r:id="rId20"/>
    <sheet name="26" sheetId="36" r:id="rId21"/>
    <sheet name="matriz" sheetId="15" r:id="rId22"/>
  </sheets>
  <definedNames>
    <definedName name="_xlnm._FilterDatabase" localSheetId="0" hidden="1">'02'!$A$3:$M$12</definedName>
    <definedName name="_xlnm._FilterDatabase" localSheetId="1" hidden="1">'04'!$A$3:$M$12</definedName>
    <definedName name="_xlnm._FilterDatabase" localSheetId="2" hidden="1">'05'!$A$3:$M$12</definedName>
    <definedName name="_xlnm._FilterDatabase" localSheetId="3" hidden="1">'06'!$A$3:$M$12</definedName>
    <definedName name="_xlnm._FilterDatabase" localSheetId="4" hidden="1">'07'!$A$3:$M$12</definedName>
    <definedName name="_xlnm._FilterDatabase" localSheetId="5" hidden="1">'08'!$A$3:$M$12</definedName>
    <definedName name="_xlnm._FilterDatabase" localSheetId="6" hidden="1">'09'!$A$3:$M$12</definedName>
    <definedName name="_xlnm._FilterDatabase" localSheetId="7" hidden="1">'11'!$A$3:$M$12</definedName>
    <definedName name="_xlnm._FilterDatabase" localSheetId="8" hidden="1">'12'!$A$3:$M$12</definedName>
    <definedName name="_xlnm._FilterDatabase" localSheetId="9" hidden="1">'13'!$A$3:$M$12</definedName>
    <definedName name="_xlnm._FilterDatabase" localSheetId="10" hidden="1">'14'!$A$3:$M$12</definedName>
    <definedName name="_xlnm._FilterDatabase" localSheetId="11" hidden="1">'15'!$A$3:$M$12</definedName>
    <definedName name="_xlnm._FilterDatabase" localSheetId="12" hidden="1">'16'!$A$3:$M$12</definedName>
    <definedName name="_xlnm._FilterDatabase" localSheetId="13" hidden="1">'18'!$A$3:$M$12</definedName>
    <definedName name="_xlnm._FilterDatabase" localSheetId="14" hidden="1">'19'!$A$3:$M$12</definedName>
    <definedName name="_xlnm._FilterDatabase" localSheetId="15" hidden="1">'20'!$A$3:$M$12</definedName>
    <definedName name="_xlnm._FilterDatabase" localSheetId="16" hidden="1">'21'!$A$3:$M$12</definedName>
    <definedName name="_xlnm._FilterDatabase" localSheetId="17" hidden="1">'22'!$A$3:$M$12</definedName>
    <definedName name="_xlnm._FilterDatabase" localSheetId="18" hidden="1">'23'!$A$3:$M$12</definedName>
    <definedName name="_xlnm._FilterDatabase" localSheetId="19" hidden="1">'25'!$A$3:$M$12</definedName>
    <definedName name="_xlnm._FilterDatabase" localSheetId="20" hidden="1">'26'!$A$3:$M$12</definedName>
    <definedName name="_xlnm._FilterDatabase" localSheetId="21" hidden="1">matriz!$A$3:$M$12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6" l="1"/>
  <c r="N6" i="36"/>
  <c r="O5" i="36"/>
  <c r="N5" i="36"/>
  <c r="O6" i="35" l="1"/>
  <c r="N6" i="35"/>
  <c r="O5" i="35"/>
  <c r="N5" i="35"/>
  <c r="O6" i="34" l="1"/>
  <c r="N6" i="34"/>
  <c r="O5" i="34"/>
  <c r="N5" i="34"/>
  <c r="O6" i="33" l="1"/>
  <c r="N6" i="33"/>
  <c r="O5" i="33"/>
  <c r="N5" i="33"/>
  <c r="O6" i="32" l="1"/>
  <c r="N6" i="32"/>
  <c r="O5" i="32"/>
  <c r="N5" i="32"/>
  <c r="O6" i="31" l="1"/>
  <c r="N6" i="31"/>
  <c r="O5" i="31"/>
  <c r="N5" i="31"/>
  <c r="O6" i="30" l="1"/>
  <c r="N6" i="30"/>
  <c r="O5" i="30"/>
  <c r="N5" i="30"/>
  <c r="O6" i="29" l="1"/>
  <c r="N6" i="29"/>
  <c r="O5" i="29"/>
  <c r="N5" i="29"/>
  <c r="O6" i="28" l="1"/>
  <c r="N6" i="28"/>
  <c r="O5" i="28"/>
  <c r="N5" i="28"/>
  <c r="O6" i="27" l="1"/>
  <c r="N6" i="27"/>
  <c r="O5" i="27"/>
  <c r="N5" i="27"/>
  <c r="O6" i="26" l="1"/>
  <c r="N6" i="26"/>
  <c r="O5" i="26"/>
  <c r="N5" i="26"/>
  <c r="O6" i="25" l="1"/>
  <c r="N6" i="25"/>
  <c r="O5" i="25"/>
  <c r="N5" i="25"/>
  <c r="O6" i="24" l="1"/>
  <c r="N6" i="24"/>
  <c r="O5" i="24"/>
  <c r="N5" i="24"/>
  <c r="O6" i="23" l="1"/>
  <c r="N6" i="23"/>
  <c r="O5" i="23"/>
  <c r="N5" i="23"/>
  <c r="O6" i="22" l="1"/>
  <c r="N6" i="22"/>
  <c r="O5" i="22"/>
  <c r="N5" i="22"/>
  <c r="O6" i="21" l="1"/>
  <c r="N6" i="21"/>
  <c r="O5" i="21"/>
  <c r="N5" i="21"/>
  <c r="O6" i="20" l="1"/>
  <c r="N6" i="20"/>
  <c r="O5" i="20"/>
  <c r="N5" i="20"/>
  <c r="O6" i="19"/>
  <c r="N6" i="19"/>
  <c r="O5" i="19"/>
  <c r="N5" i="19"/>
  <c r="O6" i="18" l="1"/>
  <c r="N6" i="18"/>
  <c r="O5" i="18"/>
  <c r="N5" i="18"/>
  <c r="O6" i="17" l="1"/>
  <c r="N6" i="17"/>
  <c r="O5" i="17"/>
  <c r="N5" i="17"/>
  <c r="O6" i="16" l="1"/>
  <c r="N6" i="16"/>
  <c r="O5" i="16"/>
  <c r="N5" i="16"/>
  <c r="O6" i="15"/>
  <c r="N6" i="15"/>
  <c r="O5" i="15"/>
  <c r="N5" i="15"/>
</calcChain>
</file>

<file path=xl/sharedStrings.xml><?xml version="1.0" encoding="utf-8"?>
<sst xmlns="http://schemas.openxmlformats.org/spreadsheetml/2006/main" count="532" uniqueCount="61">
  <si>
    <t>CARREFOUR 2º CARRO</t>
  </si>
  <si>
    <t>REDES / FILIAIS</t>
  </si>
  <si>
    <t>MOTORISTA</t>
  </si>
  <si>
    <t>PLACA</t>
  </si>
  <si>
    <t>SAIDA CD</t>
  </si>
  <si>
    <t>SAIDA LOJA</t>
  </si>
  <si>
    <t>CARREFOUR 1º CARRO</t>
  </si>
  <si>
    <t>Atacadão - Manilha</t>
  </si>
  <si>
    <r>
      <t xml:space="preserve">RELATÓRIO KPI - Atacadão
</t>
    </r>
    <r>
      <rPr>
        <b/>
        <sz val="20"/>
        <color theme="0"/>
        <rFont val="Arial"/>
        <family val="2"/>
      </rPr>
      <t>BENASSI</t>
    </r>
  </si>
  <si>
    <t>COD</t>
  </si>
  <si>
    <t xml:space="preserve">Atacadão - Belford Roxo </t>
  </si>
  <si>
    <t>TEMPO EM LOJA 1</t>
  </si>
  <si>
    <t>TEMPO EM LOJA 2</t>
  </si>
  <si>
    <t>CHD LOJA</t>
  </si>
  <si>
    <t xml:space="preserve">CHD LOJA </t>
  </si>
  <si>
    <t xml:space="preserve">DANIEL CAVALCANTE </t>
  </si>
  <si>
    <t>QSZ-9A20</t>
  </si>
  <si>
    <t>Atacadão - Belford Roxo ●</t>
  </si>
  <si>
    <t xml:space="preserve">JOSE ROBERTO </t>
  </si>
  <si>
    <t>TML-3B11</t>
  </si>
  <si>
    <t>WALLACE FERNANDES</t>
  </si>
  <si>
    <t>GBG-5C11</t>
  </si>
  <si>
    <t>CELSO</t>
  </si>
  <si>
    <t>TML-5I70</t>
  </si>
  <si>
    <t>CLAUDIO</t>
  </si>
  <si>
    <t>FKY8H51</t>
  </si>
  <si>
    <t>BRUNO</t>
  </si>
  <si>
    <t>UBF-5G33</t>
  </si>
  <si>
    <t xml:space="preserve">EDMARIO </t>
  </si>
  <si>
    <t>CUC-6J83</t>
  </si>
  <si>
    <t>JOSE M</t>
  </si>
  <si>
    <t>UBF-5G32</t>
  </si>
  <si>
    <t>LUCIANO MATIAS</t>
  </si>
  <si>
    <t>QSS-1E48</t>
  </si>
  <si>
    <t xml:space="preserve">WALTER REGIS </t>
  </si>
  <si>
    <t>UBO-0B68</t>
  </si>
  <si>
    <t xml:space="preserve">VICTOR LUIZ </t>
  </si>
  <si>
    <t>TJQ6J26</t>
  </si>
  <si>
    <t>RODRIGO</t>
  </si>
  <si>
    <t>QSO-8D04</t>
  </si>
  <si>
    <t>GABRIEL</t>
  </si>
  <si>
    <t>KPR-9E13</t>
  </si>
  <si>
    <t>NÃO</t>
  </si>
  <si>
    <t>FOI  AO</t>
  </si>
  <si>
    <t>CLIENTE</t>
  </si>
  <si>
    <t>CARLINHOS</t>
  </si>
  <si>
    <t>KMZ7057</t>
  </si>
  <si>
    <t>MAGACIEL</t>
  </si>
  <si>
    <t>KWV-7E89</t>
  </si>
  <si>
    <t>UBF-5G34</t>
  </si>
  <si>
    <t>SEM</t>
  </si>
  <si>
    <t>RASTREADOR</t>
  </si>
  <si>
    <t xml:space="preserve">ALLAN </t>
  </si>
  <si>
    <t>PVA1H61</t>
  </si>
  <si>
    <t xml:space="preserve">FELIPE DIEGO </t>
  </si>
  <si>
    <t>UGA-1D55</t>
  </si>
  <si>
    <t>SIDNEI</t>
  </si>
  <si>
    <t>LQE5E01</t>
  </si>
  <si>
    <t/>
  </si>
  <si>
    <t>PAULO HENRIQUE</t>
  </si>
  <si>
    <t>DBB8D19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</si>
</sst>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theme="0"/>
      <name val="Arial"/>
      <family val="2"/>
    </font>
    <font>
      <u/>
      <sz val="18"/>
      <color theme="0"/>
      <name val="Arial"/>
      <family val="2"/>
    </font>
    <font>
      <sz val="18"/>
      <color theme="0"/>
      <name val="Arial"/>
      <family val="2"/>
    </font>
    <font>
      <b/>
      <sz val="18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4" fillId="2" borderId="3" applyNumberFormat="0" applyFont="0" applyAlignment="0" applyProtection="0"/>
  </cellStyleXfs>
  <cellXfs count="32">
    <xf numFmtId="0" fontId="0" fillId="0" borderId="0" xfId="0"/>
    <xf numFmtId="0" fontId="5" fillId="0" borderId="0" xfId="1" applyFont="1" applyAlignment="1">
      <alignment horizontal="center"/>
    </xf>
    <xf numFmtId="0" fontId="11" fillId="0" borderId="0" xfId="0" applyFont="1"/>
    <xf numFmtId="164" fontId="0" fillId="0" borderId="0" xfId="0" applyNumberFormat="1"/>
    <xf numFmtId="0" fontId="4" fillId="0" borderId="0" xfId="1" applyFont="1" applyAlignment="1" applyProtection="1">
      <alignment horizontal="left"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3" fillId="0" borderId="0" xfId="1" applyFont="1" applyAlignment="1" applyProtection="1">
      <alignment horizontal="left" vertical="center"/>
      <protection locked="0"/>
    </xf>
    <xf numFmtId="164" fontId="5" fillId="0" borderId="0" xfId="1" applyNumberFormat="1" applyFont="1" applyAlignment="1">
      <alignment vertical="center"/>
    </xf>
    <xf numFmtId="0" fontId="12" fillId="4" borderId="0" xfId="1" applyFont="1" applyFill="1" applyAlignment="1">
      <alignment horizontal="centerContinuous" vertical="center" wrapText="1"/>
    </xf>
    <xf numFmtId="0" fontId="2" fillId="4" borderId="1" xfId="1" applyFont="1" applyFill="1" applyBorder="1" applyAlignment="1" applyProtection="1">
      <alignment horizontal="centerContinuous" vertical="center"/>
      <protection locked="0"/>
    </xf>
    <xf numFmtId="0" fontId="3" fillId="4" borderId="1" xfId="1" applyFont="1" applyFill="1" applyBorder="1" applyAlignment="1" applyProtection="1">
      <alignment horizontal="centerContinuous" vertical="center"/>
      <protection locked="0"/>
    </xf>
    <xf numFmtId="0" fontId="4" fillId="4" borderId="1" xfId="1" applyFont="1" applyFill="1" applyBorder="1" applyAlignment="1" applyProtection="1">
      <alignment horizontal="centerContinuous" vertical="center"/>
      <protection locked="0"/>
    </xf>
    <xf numFmtId="0" fontId="5" fillId="4" borderId="1" xfId="1" applyFont="1" applyFill="1" applyBorder="1" applyAlignment="1">
      <alignment horizontal="centerContinuous" vertical="center"/>
    </xf>
    <xf numFmtId="0" fontId="5" fillId="4" borderId="2" xfId="1" applyFont="1" applyFill="1" applyBorder="1" applyAlignment="1">
      <alignment horizontal="centerContinuous" vertical="center"/>
    </xf>
    <xf numFmtId="0" fontId="6" fillId="4" borderId="1" xfId="1" applyFont="1" applyFill="1" applyBorder="1" applyAlignment="1">
      <alignment horizontal="centerContinuous" vertical="center"/>
    </xf>
    <xf numFmtId="0" fontId="7" fillId="4" borderId="1" xfId="1" applyFont="1" applyFill="1" applyBorder="1" applyAlignment="1">
      <alignment horizontal="centerContinuous" vertical="center"/>
    </xf>
    <xf numFmtId="0" fontId="8" fillId="4" borderId="1" xfId="1" applyFont="1" applyFill="1" applyBorder="1" applyAlignment="1">
      <alignment horizontal="centerContinuous" vertical="center"/>
    </xf>
    <xf numFmtId="0" fontId="9" fillId="4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/>
    </xf>
    <xf numFmtId="164" fontId="10" fillId="4" borderId="1" xfId="1" applyNumberFormat="1" applyFont="1" applyFill="1" applyBorder="1" applyAlignment="1">
      <alignment horizontal="center" vertical="center"/>
    </xf>
    <xf numFmtId="164" fontId="15" fillId="3" borderId="4" xfId="1" applyNumberFormat="1" applyFont="1" applyFill="1" applyBorder="1" applyAlignment="1">
      <alignment horizontal="center" vertical="center"/>
    </xf>
    <xf numFmtId="165" fontId="16" fillId="2" borderId="5" xfId="2" applyNumberFormat="1" applyFont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0" fontId="16" fillId="2" borderId="3" xfId="2" applyFont="1" applyAlignment="1">
      <alignment horizontal="left" vertical="center"/>
    </xf>
    <xf numFmtId="164" fontId="5" fillId="4" borderId="1" xfId="1" applyNumberFormat="1" applyFont="1" applyFill="1" applyBorder="1" applyAlignment="1">
      <alignment horizontal="centerContinuous" vertical="center"/>
    </xf>
    <xf numFmtId="49" fontId="16" fillId="2" borderId="5" xfId="2" applyNumberFormat="1" applyFont="1" applyBorder="1" applyAlignment="1">
      <alignment horizontal="center" vertical="center"/>
    </xf>
    <xf numFmtId="0" fontId="0" fillId="0" borderId="0" xfId="0" quotePrefix="1"/>
  </cellXfs>
  <cellStyles count="3">
    <cellStyle name="Normal" xfId="0" builtinId="0"/>
    <cellStyle name="Normal 2 2 3 2" xfId="1" xr:uid="{07C4071E-19DE-4E87-9939-DEDAD7E9CD0B}"/>
    <cellStyle name="Nota" xfId="2" builtinId="1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60C863-CF44-4F70-B704-74B19E1EA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2D049C-2EC0-4356-856E-B8CE253D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A1E508-1964-40EF-8291-546BB7840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9FDF9F-DED0-4535-A1F0-58B8667E0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210270-F48C-499B-9B17-D833D4EA9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C0290D-D8F5-4985-B71B-E08D55B5D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9FEC9E-D726-4755-8D1C-E91D70764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42A49C6-355F-4697-8114-D0D114F21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233C03-38CB-45B6-A932-427A2391A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259725-386D-4A5A-9BF3-D7C9DC83D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6E0426-F179-44E9-9C36-336EC9028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7A5DE9-C72F-4130-A199-5C61DF01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E2CCF0-552D-4B5D-BD5D-85F4B3C04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898937-A815-4027-983F-B2CEB955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9F7D83-7161-4CCE-BFFE-F33A62BA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6FFC53-FA6B-4865-8951-D50E9E207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A83B9B-0BFF-494D-BA69-DBD1F6022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F3A733-F9FF-4D3E-97B9-9782CA736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9C2398-C963-4D38-AA57-819472461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493746-B822-4A43-8F88-D018A103F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25C4E5-2AAE-4D31-96F5-3E60BBF7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BCCE94-DD16-4E98-960A-028AC65C9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F5BF10-56C4-4295-8F52-BB6D80FD2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283ED09-A344-4A6D-B0C2-29991019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9BD1E6-1325-4228-9C96-6B103601B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CC62C8D-6D94-4254-897E-D410A9B5B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8FA56D-9B1C-4FD6-8EF4-BD3506EE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CA6B78-9CB2-463D-AC06-021B6DA0B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967B66-64E9-4908-9C75-BC21F80C7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0607B7-6C9C-4520-9F43-188819E5D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063714-5A3D-46B9-B845-AF9A5F44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F7A74A-1267-4DF0-8B88-6CFED0F82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A71B2B-6621-4A1A-9325-320953414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ACAE2B-8D2D-4146-90C0-E66CA37F0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13A426-41A8-48F6-863A-F34893057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5EA41B-DBFC-4E7B-83C8-EBF1AE75B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CB7214-59D8-47E4-9F76-724AEC35E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374E97-6FAA-4773-A07B-5C936483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0209B0-9230-4170-B817-F33A5FFF4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DA92AD-204D-40E4-BB08-19D9DDAA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CD7AAA-99A0-4ED7-B06D-D3900701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DE04A0-DF7E-40EF-B229-92D820F18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3C1B1E4-2822-4F52-99B7-17E7E1BD5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287C34-DFED-4965-958B-1EB39FD0D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33166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277F-F646-4C71-A3A9-B4849CD29BBD}">
  <dimension ref="A1:O23"/>
  <sheetViews>
    <sheetView showGridLines="0" zoomScale="70" zoomScaleNormal="70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0.18055555555555555</v>
      </c>
      <c r="F5" s="25">
        <v>0.2048611111111111</v>
      </c>
      <c r="G5" s="25">
        <v>0.28472222222222221</v>
      </c>
      <c r="H5" s="30"/>
      <c r="I5" s="30"/>
      <c r="J5" s="30"/>
      <c r="K5" s="25"/>
      <c r="L5" s="25"/>
      <c r="M5" s="25"/>
      <c r="N5" s="25">
        <f>MOD(G5-F5, 1)</f>
        <v>7.9861111111111105E-2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18</v>
      </c>
      <c r="C6" s="30">
        <v>353</v>
      </c>
      <c r="D6" s="30" t="s">
        <v>19</v>
      </c>
      <c r="E6" s="25">
        <v>0.23958333333333334</v>
      </c>
      <c r="F6" s="25">
        <v>0.25347222222222221</v>
      </c>
      <c r="G6" s="25">
        <v>0.28819444444444442</v>
      </c>
      <c r="H6" s="30"/>
      <c r="I6" s="30"/>
      <c r="J6" s="30"/>
      <c r="K6" s="25"/>
      <c r="L6" s="25"/>
      <c r="M6" s="25"/>
      <c r="N6" s="25">
        <f t="shared" ref="N6" si="0">MOD(G6-F6, 1)</f>
        <v>3.472222222222221E-2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5465-2D71-4482-8E86-9D387BB3F7C5}">
  <dimension ref="A1:O23"/>
  <sheetViews>
    <sheetView showGridLines="0" zoomScale="55" zoomScaleNormal="55" workbookViewId="0">
      <pane ySplit="3" topLeftCell="A4" activePane="bottomLeft" state="frozen"/>
      <selection pane="bottomLeft" activeCell="D18" sqref="D18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0.18055555555555555</v>
      </c>
      <c r="F5" s="25">
        <v>0.2638888888888889</v>
      </c>
      <c r="G5" s="25">
        <v>0.41666666666666669</v>
      </c>
      <c r="H5" s="30"/>
      <c r="I5" s="30"/>
      <c r="J5" s="30"/>
      <c r="K5" s="25"/>
      <c r="L5" s="25"/>
      <c r="M5" s="25"/>
      <c r="N5" s="25">
        <f>MOD(G5-F5, 1)</f>
        <v>0.15277777777777779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20</v>
      </c>
      <c r="C6" s="30">
        <v>294</v>
      </c>
      <c r="D6" s="30" t="s">
        <v>21</v>
      </c>
      <c r="E6" s="25">
        <v>0.23958333333333334</v>
      </c>
      <c r="F6" s="25">
        <v>0.25347222222222221</v>
      </c>
      <c r="G6" s="25">
        <v>0.2986111111111111</v>
      </c>
      <c r="H6" s="30"/>
      <c r="I6" s="30"/>
      <c r="J6" s="30"/>
      <c r="K6" s="25"/>
      <c r="L6" s="25"/>
      <c r="M6" s="25"/>
      <c r="N6" s="25">
        <f t="shared" ref="N6" si="0">MOD(G6-F6, 1)</f>
        <v>4.5138888888888895E-2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5:O6">
    <cfRule type="cellIs" dxfId="2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3631-DCE4-4E61-A8B6-A4515CCB209B}">
  <dimension ref="A1:O23"/>
  <sheetViews>
    <sheetView showGridLines="0" zoomScale="55" zoomScaleNormal="55" workbookViewId="0">
      <pane ySplit="3" topLeftCell="A4" activePane="bottomLeft" state="frozen"/>
      <selection pane="bottomLeft" activeCell="D14" sqref="D14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0.18402777777777779</v>
      </c>
      <c r="F5" s="25">
        <v>0.2638888888888889</v>
      </c>
      <c r="G5" s="25">
        <v>0.41666666666666669</v>
      </c>
      <c r="H5" s="30"/>
      <c r="I5" s="30"/>
      <c r="J5" s="30"/>
      <c r="K5" s="25"/>
      <c r="L5" s="25"/>
      <c r="M5" s="25"/>
      <c r="N5" s="25">
        <f>MOD(G5-F5, 1)</f>
        <v>0.15277777777777779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22</v>
      </c>
      <c r="C6" s="30">
        <v>353</v>
      </c>
      <c r="D6" s="30" t="s">
        <v>23</v>
      </c>
      <c r="E6" s="25">
        <v>0.2326388888888889</v>
      </c>
      <c r="F6" s="25">
        <v>0.24652777777777779</v>
      </c>
      <c r="G6" s="25">
        <v>0.27083333333333331</v>
      </c>
      <c r="H6" s="30"/>
      <c r="I6" s="30"/>
      <c r="J6" s="30"/>
      <c r="K6" s="25"/>
      <c r="L6" s="25"/>
      <c r="M6" s="25"/>
      <c r="N6" s="25">
        <f t="shared" ref="N6" si="0">MOD(G6-F6, 1)</f>
        <v>2.4305555555555525E-2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5933-3C8E-4025-A612-4EB9E617B060}">
  <dimension ref="A1:O23"/>
  <sheetViews>
    <sheetView showGridLines="0" topLeftCell="B1" zoomScale="55" zoomScaleNormal="55" workbookViewId="0">
      <pane ySplit="3" topLeftCell="A4" activePane="bottomLeft" state="frozen"/>
      <selection pane="bottomLeft" activeCell="D13" sqref="D13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0.1736111111111111</v>
      </c>
      <c r="F5" s="25">
        <v>0.2673611111111111</v>
      </c>
      <c r="G5" s="25">
        <v>0.41319444444444442</v>
      </c>
      <c r="H5" s="30"/>
      <c r="I5" s="30"/>
      <c r="J5" s="30"/>
      <c r="K5" s="25"/>
      <c r="L5" s="25"/>
      <c r="M5" s="25"/>
      <c r="N5" s="25">
        <f>MOD(G5-F5, 1)</f>
        <v>0.14583333333333331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24</v>
      </c>
      <c r="C6" s="30">
        <v>353</v>
      </c>
      <c r="D6" s="30" t="s">
        <v>25</v>
      </c>
      <c r="E6" s="25">
        <v>0.20833333333333334</v>
      </c>
      <c r="F6" s="25">
        <v>0.21875</v>
      </c>
      <c r="G6" s="25">
        <v>0.25694444444444442</v>
      </c>
      <c r="H6" s="30"/>
      <c r="I6" s="30"/>
      <c r="J6" s="30"/>
      <c r="K6" s="25"/>
      <c r="L6" s="25"/>
      <c r="M6" s="25"/>
      <c r="N6" s="25">
        <f t="shared" ref="N6" si="0">MOD(G6-F6, 1)</f>
        <v>3.819444444444442E-2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107D-CF77-4C8A-A3B8-8772BC4A7A96}">
  <dimension ref="A1:O23"/>
  <sheetViews>
    <sheetView showGridLines="0" zoomScale="70" zoomScaleNormal="70" workbookViewId="0">
      <pane ySplit="3" topLeftCell="A4" activePane="bottomLeft" state="frozen"/>
      <selection pane="bottomLeft" activeCell="E13" sqref="E13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0.18402777777777779</v>
      </c>
      <c r="F5" s="25">
        <v>0.27083333333333331</v>
      </c>
      <c r="G5" s="25">
        <v>0.41666666666666669</v>
      </c>
      <c r="H5" s="30"/>
      <c r="I5" s="30"/>
      <c r="J5" s="30"/>
      <c r="K5" s="25"/>
      <c r="L5" s="25"/>
      <c r="M5" s="25"/>
      <c r="N5" s="25">
        <f>MOD(G5-F5, 1)</f>
        <v>0.14583333333333337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20</v>
      </c>
      <c r="C6" s="30">
        <v>294</v>
      </c>
      <c r="D6" s="30" t="s">
        <v>21</v>
      </c>
      <c r="E6" s="25">
        <v>0.24652777777777779</v>
      </c>
      <c r="F6" s="25">
        <v>0.2638888888888889</v>
      </c>
      <c r="G6" s="25">
        <v>0.29166666666666669</v>
      </c>
      <c r="H6" s="30"/>
      <c r="I6" s="30"/>
      <c r="J6" s="30"/>
      <c r="K6" s="25"/>
      <c r="L6" s="25"/>
      <c r="M6" s="25"/>
      <c r="N6" s="25">
        <f t="shared" ref="N6" si="0">MOD(G6-F6, 1)</f>
        <v>2.777777777777779E-2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4AA9-3BCD-444B-8A08-B90E57DE2ACA}">
  <dimension ref="A1:O23"/>
  <sheetViews>
    <sheetView showGridLines="0" zoomScale="55" zoomScaleNormal="55" workbookViewId="0">
      <pane ySplit="3" topLeftCell="A4" activePane="bottomLeft" state="frozen"/>
      <selection pane="bottomLeft" activeCell="N25" sqref="N25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0.17708333333333334</v>
      </c>
      <c r="F5" s="25">
        <v>0.2638888888888889</v>
      </c>
      <c r="G5" s="25">
        <v>0.4201388888888889</v>
      </c>
      <c r="H5" s="30"/>
      <c r="I5" s="30"/>
      <c r="J5" s="30"/>
      <c r="K5" s="25"/>
      <c r="L5" s="25"/>
      <c r="M5" s="25"/>
      <c r="N5" s="25">
        <f>MOD(G5-F5, 1)</f>
        <v>0.15625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26</v>
      </c>
      <c r="C6" s="30">
        <v>353</v>
      </c>
      <c r="D6" s="30" t="s">
        <v>27</v>
      </c>
      <c r="E6" s="25">
        <v>0.2361111111111111</v>
      </c>
      <c r="F6" s="25">
        <v>0.25</v>
      </c>
      <c r="G6" s="25">
        <v>0.29166666666666669</v>
      </c>
      <c r="H6" s="30"/>
      <c r="I6" s="30"/>
      <c r="J6" s="30"/>
      <c r="K6" s="25"/>
      <c r="L6" s="25"/>
      <c r="M6" s="25"/>
      <c r="N6" s="25">
        <f t="shared" ref="N6" si="0">MOD(G6-F6, 1)</f>
        <v>4.1666666666666685E-2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7D76-D52D-4BC2-9501-7D1BCC8B78AC}">
  <dimension ref="A1:O23"/>
  <sheetViews>
    <sheetView showGridLines="0" topLeftCell="F1" zoomScale="70" zoomScaleNormal="70" workbookViewId="0">
      <pane ySplit="3" topLeftCell="A4" activePane="bottomLeft" state="frozen"/>
      <selection pane="bottomLeft" activeCell="M6" sqref="M6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customWidth="1"/>
    <col min="8" max="8" width="26.42578125" bestFit="1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22.5703125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0.1736111111111111</v>
      </c>
      <c r="F5" s="25">
        <v>0.2013888888888889</v>
      </c>
      <c r="G5" s="25">
        <v>0.2673611111111111</v>
      </c>
      <c r="H5" s="25" t="s">
        <v>26</v>
      </c>
      <c r="I5" s="30">
        <v>353</v>
      </c>
      <c r="J5" s="25" t="s">
        <v>27</v>
      </c>
      <c r="K5" s="25">
        <v>0.2013888888888889</v>
      </c>
      <c r="L5" s="25">
        <v>0.2638888888888889</v>
      </c>
      <c r="M5" s="25">
        <v>0.28125</v>
      </c>
      <c r="N5" s="25">
        <f>MOD(G5-F5, 1)</f>
        <v>6.597222222222221E-2</v>
      </c>
      <c r="O5" s="25">
        <f>MOD(M5-L5, 1)</f>
        <v>1.7361111111111105E-2</v>
      </c>
    </row>
    <row r="6" spans="1:15" s="2" customFormat="1" ht="23.25" customHeight="1" x14ac:dyDescent="0.25">
      <c r="A6" s="28" t="s">
        <v>17</v>
      </c>
      <c r="B6" s="30" t="s">
        <v>28</v>
      </c>
      <c r="C6" s="30">
        <v>353</v>
      </c>
      <c r="D6" s="30" t="s">
        <v>29</v>
      </c>
      <c r="E6" s="25">
        <v>0.22569444444444445</v>
      </c>
      <c r="F6" s="25">
        <v>0.25347222222222221</v>
      </c>
      <c r="G6" s="25">
        <v>0.28125</v>
      </c>
      <c r="H6" s="30"/>
      <c r="I6" s="30"/>
      <c r="J6" s="30"/>
      <c r="K6" s="25"/>
      <c r="L6" s="25"/>
      <c r="M6" s="25"/>
      <c r="N6" s="25">
        <f t="shared" ref="N6" si="0">MOD(G6-F6, 1)</f>
        <v>2.777777777777779E-2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C57E-B112-434E-AF22-1FC0DAFE005B}">
  <dimension ref="A1:O23"/>
  <sheetViews>
    <sheetView showGridLines="0" zoomScale="70" zoomScaleNormal="70" workbookViewId="0">
      <pane ySplit="3" topLeftCell="A4" activePane="bottomLeft" state="frozen"/>
      <selection pane="bottomLeft" activeCell="F9" sqref="F9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0.20833333333333334</v>
      </c>
      <c r="F5" s="25">
        <v>0.24305555555555555</v>
      </c>
      <c r="G5" s="25">
        <v>0.41666666666666669</v>
      </c>
      <c r="H5" s="30"/>
      <c r="I5" s="30"/>
      <c r="J5" s="30"/>
      <c r="K5" s="25"/>
      <c r="L5" s="25"/>
      <c r="M5" s="25"/>
      <c r="N5" s="25">
        <f>MOD(G5-F5, 1)</f>
        <v>0.17361111111111113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30</v>
      </c>
      <c r="C6" s="30">
        <v>353</v>
      </c>
      <c r="D6" s="30" t="s">
        <v>31</v>
      </c>
      <c r="E6" s="25">
        <v>0.2013888888888889</v>
      </c>
      <c r="F6" s="25">
        <v>0.21527777777777779</v>
      </c>
      <c r="G6" s="25">
        <v>0.28125</v>
      </c>
      <c r="H6" s="30"/>
      <c r="I6" s="30"/>
      <c r="J6" s="30"/>
      <c r="K6" s="25"/>
      <c r="L6" s="25"/>
      <c r="M6" s="25"/>
      <c r="N6" s="25">
        <f t="shared" ref="N6" si="0">MOD(G6-F6, 1)</f>
        <v>6.597222222222221E-2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3E8E-5240-40AC-A3D2-8E883BFE82A2}">
  <dimension ref="A1:O23"/>
  <sheetViews>
    <sheetView showGridLines="0" zoomScale="70" zoomScaleNormal="70" workbookViewId="0">
      <pane ySplit="3" topLeftCell="A4" activePane="bottomLeft" state="frozen"/>
      <selection pane="bottomLeft" activeCell="D19" activeCellId="1" sqref="G7 D19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0.1701388888888889</v>
      </c>
      <c r="F5" s="25">
        <v>0.2013888888888889</v>
      </c>
      <c r="G5" s="25">
        <v>0.42708333333333331</v>
      </c>
      <c r="H5" s="30"/>
      <c r="I5" s="30"/>
      <c r="J5" s="30"/>
      <c r="K5" s="25"/>
      <c r="L5" s="25"/>
      <c r="M5" s="25"/>
      <c r="N5" s="25">
        <f>MOD(G5-F5, 1)</f>
        <v>0.22569444444444442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34</v>
      </c>
      <c r="C6" s="30">
        <v>353</v>
      </c>
      <c r="D6" s="30" t="s">
        <v>35</v>
      </c>
      <c r="E6" s="25">
        <v>0.25694444444444442</v>
      </c>
      <c r="F6" s="25">
        <v>0.27083333333333331</v>
      </c>
      <c r="G6" s="25">
        <v>0.28472222222222221</v>
      </c>
      <c r="H6" s="30"/>
      <c r="I6" s="30"/>
      <c r="J6" s="30"/>
      <c r="K6" s="25"/>
      <c r="L6" s="25"/>
      <c r="M6" s="25"/>
      <c r="N6" s="25">
        <f t="shared" ref="N6" si="0">MOD(G6-F6, 1)</f>
        <v>1.3888888888888895E-2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84C9-0376-4D68-9F6B-E2D685FDBCFC}">
  <dimension ref="A1:O23"/>
  <sheetViews>
    <sheetView showGridLines="0" zoomScale="55" zoomScaleNormal="55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0.1701388888888889</v>
      </c>
      <c r="F5" s="25">
        <v>0.2013888888888889</v>
      </c>
      <c r="G5" s="25">
        <v>0.2638888888888889</v>
      </c>
      <c r="H5" s="30"/>
      <c r="I5" s="30"/>
      <c r="J5" s="30"/>
      <c r="K5" s="25"/>
      <c r="L5" s="25"/>
      <c r="M5" s="25"/>
      <c r="N5" s="25">
        <f>MOD(G5-F5, 1)</f>
        <v>6.25E-2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20</v>
      </c>
      <c r="C6" s="30">
        <v>294</v>
      </c>
      <c r="D6" s="30" t="s">
        <v>21</v>
      </c>
      <c r="E6" s="25">
        <v>0.24305555555555555</v>
      </c>
      <c r="F6" s="25">
        <v>0.25694444444444442</v>
      </c>
      <c r="G6" s="25">
        <v>0.28819444444444442</v>
      </c>
      <c r="H6" s="30"/>
      <c r="I6" s="30"/>
      <c r="J6" s="30"/>
      <c r="K6" s="25"/>
      <c r="L6" s="25"/>
      <c r="M6" s="25"/>
      <c r="N6" s="25">
        <f t="shared" ref="N6" si="0">MOD(G6-F6, 1)</f>
        <v>3.125E-2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7FC8-2E18-4674-AC2F-80F7A1BE814C}">
  <dimension ref="A1:O23"/>
  <sheetViews>
    <sheetView showGridLines="0" zoomScale="70" zoomScaleNormal="70" workbookViewId="0">
      <pane ySplit="3" topLeftCell="A4" activePane="bottomLeft" state="frozen"/>
      <selection pane="bottomLeft" activeCell="F6" sqref="F6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0.17708333333333334</v>
      </c>
      <c r="F5" s="25">
        <v>0.23958333333333334</v>
      </c>
      <c r="G5" s="25">
        <v>0.4236111111111111</v>
      </c>
      <c r="H5" s="30"/>
      <c r="I5" s="30"/>
      <c r="J5" s="30"/>
      <c r="K5" s="25"/>
      <c r="L5" s="25"/>
      <c r="M5" s="25"/>
      <c r="N5" s="25">
        <f>MOD(G5-F5, 1)</f>
        <v>0.18402777777777776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36</v>
      </c>
      <c r="C6" s="30">
        <v>353</v>
      </c>
      <c r="D6" s="30" t="s">
        <v>37</v>
      </c>
      <c r="E6" s="25">
        <v>0.19791666666666666</v>
      </c>
      <c r="F6" s="25">
        <v>0.20833333333333334</v>
      </c>
      <c r="G6" s="25">
        <v>0.27430555555555558</v>
      </c>
      <c r="H6" s="30"/>
      <c r="I6" s="30"/>
      <c r="J6" s="30"/>
      <c r="K6" s="25"/>
      <c r="L6" s="25"/>
      <c r="M6" s="25"/>
      <c r="N6" s="25">
        <f t="shared" ref="N6" si="0">MOD(G6-F6, 1)</f>
        <v>6.5972222222222238E-2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B7E8-380F-4EEA-9460-10277D442637}">
  <dimension ref="A1:O23"/>
  <sheetViews>
    <sheetView showGridLines="0" zoomScale="55" zoomScaleNormal="55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0.1875</v>
      </c>
      <c r="F5" s="25">
        <v>0.25694444444444442</v>
      </c>
      <c r="G5" s="25">
        <v>0.43055555555555558</v>
      </c>
      <c r="H5" s="30"/>
      <c r="I5" s="30"/>
      <c r="J5" s="30"/>
      <c r="K5" s="25"/>
      <c r="L5" s="25"/>
      <c r="M5" s="25"/>
      <c r="N5" s="25">
        <f>MOD(G5-F5, 1)</f>
        <v>0.17361111111111116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38</v>
      </c>
      <c r="C6" s="30">
        <v>353</v>
      </c>
      <c r="D6" s="30" t="s">
        <v>39</v>
      </c>
      <c r="E6" s="25">
        <v>0.19791666666666666</v>
      </c>
      <c r="F6" s="25">
        <v>0.20833333333333334</v>
      </c>
      <c r="G6" s="25">
        <v>0.3298611111111111</v>
      </c>
      <c r="H6" s="30"/>
      <c r="I6" s="30"/>
      <c r="J6" s="30"/>
      <c r="K6" s="25"/>
      <c r="L6" s="25"/>
      <c r="M6" s="25"/>
      <c r="N6" s="25">
        <f t="shared" ref="N6" si="0">MOD(G6-F6, 1)</f>
        <v>0.12152777777777776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03E3-64A9-48B6-98B8-9575001A93DA}">
  <dimension ref="A1:O23"/>
  <sheetViews>
    <sheetView showGridLines="0" topLeftCell="G1" zoomScale="70" zoomScaleNormal="70" workbookViewId="0">
      <pane ySplit="3" topLeftCell="A4" activePane="bottomLeft" state="frozen"/>
      <selection pane="bottomLeft" activeCell="K7" sqref="K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0.1701388888888889</v>
      </c>
      <c r="F5" s="25">
        <v>0.19791666666666666</v>
      </c>
      <c r="G5" s="25">
        <v>0.25347222222222221</v>
      </c>
      <c r="H5" s="30"/>
      <c r="I5" s="30"/>
      <c r="J5" s="30"/>
      <c r="K5" s="25"/>
      <c r="L5" s="25"/>
      <c r="M5" s="25"/>
      <c r="N5" s="25">
        <f>MOD(G5-F5, 1)</f>
        <v>5.5555555555555552E-2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26</v>
      </c>
      <c r="C6" s="30">
        <v>353</v>
      </c>
      <c r="D6" s="30" t="s">
        <v>27</v>
      </c>
      <c r="E6" s="25">
        <v>0.21527777777777779</v>
      </c>
      <c r="F6" s="25">
        <v>0.22916666666666666</v>
      </c>
      <c r="G6" s="25">
        <v>0.27430555555555558</v>
      </c>
      <c r="H6" s="25" t="s">
        <v>40</v>
      </c>
      <c r="I6" s="25">
        <v>832</v>
      </c>
      <c r="J6" s="25" t="s">
        <v>41</v>
      </c>
      <c r="K6" s="25" t="s">
        <v>42</v>
      </c>
      <c r="L6" s="25" t="s">
        <v>43</v>
      </c>
      <c r="M6" s="25" t="s">
        <v>44</v>
      </c>
      <c r="N6" s="25">
        <f t="shared" ref="N6" si="0">MOD(G6-F6, 1)</f>
        <v>4.5138888888888923E-2</v>
      </c>
      <c r="O6" s="25" t="e">
        <f t="shared" ref="O6" si="1">MOD(M6-L6, 1)</f>
        <v>#VALUE!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696E-1EBF-4358-99E6-F65409BFB89F}">
  <dimension ref="A1:O23"/>
  <sheetViews>
    <sheetView showGridLines="0" zoomScale="70" zoomScaleNormal="70" workbookViewId="0">
      <pane ySplit="3" topLeftCell="A4" activePane="bottomLeft" state="frozen"/>
      <selection pane="bottomLeft" activeCell="G11" activeCellId="1" sqref="G7 G11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45</v>
      </c>
      <c r="C5" s="30">
        <v>15</v>
      </c>
      <c r="D5" s="30" t="s">
        <v>46</v>
      </c>
      <c r="E5" s="25">
        <v>0.18055555555555555</v>
      </c>
      <c r="F5" s="25">
        <v>0.27083333333333331</v>
      </c>
      <c r="G5" s="25">
        <v>0.4201388888888889</v>
      </c>
      <c r="H5" s="30"/>
      <c r="I5" s="30"/>
      <c r="J5" s="30"/>
      <c r="K5" s="25"/>
      <c r="L5" s="25"/>
      <c r="M5" s="25"/>
      <c r="N5" s="25">
        <f>MOD(G5-F5, 1)</f>
        <v>0.14930555555555558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47</v>
      </c>
      <c r="C6" s="30">
        <v>530</v>
      </c>
      <c r="D6" s="30" t="s">
        <v>48</v>
      </c>
      <c r="E6" s="25">
        <v>0.22222222222222221</v>
      </c>
      <c r="F6" s="25">
        <v>0.2638888888888889</v>
      </c>
      <c r="G6" s="25">
        <v>0.27777777777777779</v>
      </c>
      <c r="H6" s="30"/>
      <c r="I6" s="30"/>
      <c r="J6" s="30"/>
      <c r="K6" s="25"/>
      <c r="L6" s="25"/>
      <c r="M6" s="25"/>
      <c r="N6" s="25">
        <f t="shared" ref="N6" si="0">MOD(G6-F6, 1)</f>
        <v>1.3888888888888895E-2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D2D6-8A82-40B1-B196-042AC380A9A0}">
  <dimension ref="A1:O23"/>
  <sheetViews>
    <sheetView showGridLines="0" zoomScale="55" zoomScaleNormal="55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0.2013888888888889</v>
      </c>
      <c r="F5" s="25">
        <v>0.24652777777777779</v>
      </c>
      <c r="G5" s="25">
        <v>0.43055555555555558</v>
      </c>
      <c r="H5" s="30"/>
      <c r="I5" s="30"/>
      <c r="J5" s="30"/>
      <c r="K5" s="25"/>
      <c r="L5" s="25"/>
      <c r="M5" s="25"/>
      <c r="N5" s="25">
        <f>MOD(G5-F5, 1)</f>
        <v>0.18402777777777779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38</v>
      </c>
      <c r="C6" s="30">
        <v>353</v>
      </c>
      <c r="D6" s="30" t="s">
        <v>49</v>
      </c>
      <c r="E6" s="25" t="s">
        <v>50</v>
      </c>
      <c r="F6" s="25" t="s">
        <v>51</v>
      </c>
      <c r="G6" s="25"/>
      <c r="H6" s="30"/>
      <c r="I6" s="30"/>
      <c r="J6" s="30"/>
      <c r="K6" s="25"/>
      <c r="L6" s="25"/>
      <c r="M6" s="25"/>
      <c r="N6" s="25" t="e">
        <f t="shared" ref="N6" si="0">MOD(G6-F6, 1)</f>
        <v>#VALUE!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1B4A-A7E6-4BDF-A11A-A0511E3C691E}">
  <dimension ref="A1:O23"/>
  <sheetViews>
    <sheetView showGridLines="0" zoomScale="55" zoomScaleNormal="55" workbookViewId="0">
      <pane ySplit="3" topLeftCell="A4" activePane="bottomLeft" state="frozen"/>
      <selection pane="bottomLeft" activeCell="E23" sqref="E23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0.18055555555555555</v>
      </c>
      <c r="F5" s="25">
        <v>0.2673611111111111</v>
      </c>
      <c r="G5" s="25">
        <v>0.4236111111111111</v>
      </c>
      <c r="H5" s="30"/>
      <c r="I5" s="30"/>
      <c r="J5" s="30"/>
      <c r="K5" s="25"/>
      <c r="L5" s="25"/>
      <c r="M5" s="25"/>
      <c r="N5" s="25">
        <f>MOD(G5-F5, 1)</f>
        <v>0.15625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52</v>
      </c>
      <c r="C6" s="30">
        <v>294</v>
      </c>
      <c r="D6" s="30" t="s">
        <v>53</v>
      </c>
      <c r="E6" s="25">
        <v>0.19097222222222221</v>
      </c>
      <c r="F6" s="25">
        <v>0.2013888888888889</v>
      </c>
      <c r="G6" s="25">
        <v>0.28819444444444442</v>
      </c>
      <c r="H6" s="30"/>
      <c r="I6" s="30"/>
      <c r="J6" s="30"/>
      <c r="K6" s="25"/>
      <c r="L6" s="25"/>
      <c r="M6" s="25"/>
      <c r="N6" s="25">
        <f t="shared" ref="N6" si="0">MOD(G6-F6, 1)</f>
        <v>8.6805555555555525E-2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D842-94F6-49FA-B9A3-A21145EE02FF}">
  <dimension ref="A1:O23"/>
  <sheetViews>
    <sheetView showGridLines="0" zoomScale="70" zoomScaleNormal="70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0.19097222222222221</v>
      </c>
      <c r="F5" s="25">
        <v>0.25347222222222221</v>
      </c>
      <c r="G5" s="25">
        <v>0.41319444444444442</v>
      </c>
      <c r="H5" s="30"/>
      <c r="I5" s="30"/>
      <c r="J5" s="30"/>
      <c r="K5" s="25"/>
      <c r="L5" s="25"/>
      <c r="M5" s="25"/>
      <c r="N5" s="25">
        <f>MOD(G5-F5, 1)</f>
        <v>0.15972222222222221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54</v>
      </c>
      <c r="C6" s="30">
        <v>353</v>
      </c>
      <c r="D6" s="30" t="s">
        <v>55</v>
      </c>
      <c r="E6" s="25">
        <v>0.17708333333333334</v>
      </c>
      <c r="F6" s="25">
        <v>0.1875</v>
      </c>
      <c r="G6" s="25">
        <v>0.2673611111111111</v>
      </c>
      <c r="H6" s="30"/>
      <c r="I6" s="30"/>
      <c r="J6" s="30"/>
      <c r="K6" s="25"/>
      <c r="L6" s="25"/>
      <c r="M6" s="25"/>
      <c r="N6" s="25">
        <f t="shared" ref="N6" si="0">MOD(G6-F6, 1)</f>
        <v>7.9861111111111105E-2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0DBE-3C53-438D-8AE2-07AC88F4976C}">
  <dimension ref="A1:O23"/>
  <sheetViews>
    <sheetView showGridLines="0" zoomScale="70" zoomScaleNormal="70" workbookViewId="0">
      <pane ySplit="3" topLeftCell="A4" activePane="bottomLeft" state="frozen"/>
      <selection pane="bottomLeft" activeCell="D10" sqref="D10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0.1875</v>
      </c>
      <c r="F5" s="25">
        <v>0.21527777777777779</v>
      </c>
      <c r="G5" s="25">
        <v>0.41319444444444442</v>
      </c>
      <c r="H5" s="30"/>
      <c r="I5" s="30"/>
      <c r="J5" s="30"/>
      <c r="K5" s="25"/>
      <c r="L5" s="25"/>
      <c r="M5" s="25"/>
      <c r="N5" s="25">
        <f>MOD(G5-F5, 1)</f>
        <v>0.19791666666666663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/>
      <c r="C6" s="30"/>
      <c r="D6" s="30"/>
      <c r="E6" s="25"/>
      <c r="F6" s="25"/>
      <c r="G6" s="25"/>
      <c r="H6" s="30"/>
      <c r="I6" s="30"/>
      <c r="J6" s="30"/>
      <c r="K6" s="25"/>
      <c r="L6" s="25"/>
      <c r="M6" s="25"/>
      <c r="N6" s="25">
        <f t="shared" ref="N6" si="0">MOD(G6-F6, 1)</f>
        <v>0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9339-FD65-410F-AD55-BAD0F41DCE48}">
  <dimension ref="A1:O23"/>
  <sheetViews>
    <sheetView showGridLines="0" zoomScale="70" zoomScaleNormal="70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0.17708333333333334</v>
      </c>
      <c r="F5" s="25">
        <v>0.2048611111111111</v>
      </c>
      <c r="G5" s="25">
        <v>0.42708333333333331</v>
      </c>
      <c r="H5" s="30"/>
      <c r="I5" s="30"/>
      <c r="J5" s="30"/>
      <c r="K5" s="25"/>
      <c r="L5" s="25"/>
      <c r="M5" s="25"/>
      <c r="N5" s="25">
        <f>MOD(G5-F5, 1)</f>
        <v>0.22222222222222221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54</v>
      </c>
      <c r="C6" s="30">
        <v>353</v>
      </c>
      <c r="D6" s="30" t="s">
        <v>55</v>
      </c>
      <c r="E6" s="25">
        <v>0.16666666666666666</v>
      </c>
      <c r="F6" s="25">
        <v>0.18402777777777779</v>
      </c>
      <c r="G6" s="25">
        <v>0.27083333333333331</v>
      </c>
      <c r="H6" s="30"/>
      <c r="I6" s="30"/>
      <c r="J6" s="30"/>
      <c r="K6" s="25"/>
      <c r="L6" s="25"/>
      <c r="M6" s="25"/>
      <c r="N6" s="25">
        <f t="shared" ref="N6" si="0">MOD(G6-F6, 1)</f>
        <v>8.6805555555555525E-2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6F90-9F73-4B17-8AC1-47FEE4FAF97F}">
  <dimension ref="A1:O23"/>
  <sheetViews>
    <sheetView showGridLines="0" zoomScale="70" zoomScaleNormal="70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0.19097222222222221</v>
      </c>
      <c r="F5" s="25">
        <v>0.21875</v>
      </c>
      <c r="G5" s="25">
        <v>0.44791666666666669</v>
      </c>
      <c r="H5" s="30"/>
      <c r="I5" s="30"/>
      <c r="J5" s="30"/>
      <c r="K5" s="25"/>
      <c r="L5" s="25"/>
      <c r="M5" s="25"/>
      <c r="N5" s="25">
        <f>MOD(G5-F5, 1)</f>
        <v>0.22916666666666669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56</v>
      </c>
      <c r="C6" s="30">
        <v>674</v>
      </c>
      <c r="D6" s="30" t="s">
        <v>57</v>
      </c>
      <c r="E6" s="25">
        <v>0.23958333333333334</v>
      </c>
      <c r="F6" s="25">
        <v>0.25694444444444442</v>
      </c>
      <c r="G6" s="25">
        <v>0.27083333333333331</v>
      </c>
      <c r="H6" s="30"/>
      <c r="I6" s="30"/>
      <c r="J6" s="30"/>
      <c r="K6" s="25"/>
      <c r="L6" s="25"/>
      <c r="M6" s="25"/>
      <c r="N6" s="25">
        <f t="shared" ref="N6" si="0">MOD(G6-F6, 1)</f>
        <v>1.3888888888888895E-2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082E-BF9A-455F-84E0-993724D7E341}">
  <dimension ref="A1:O27"/>
  <sheetViews>
    <sheetView showGridLines="0" tabSelected="1" zoomScale="70" zoomScaleNormal="70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0.18402777777777779</v>
      </c>
      <c r="F5" s="25">
        <v>0.21180555555555555</v>
      </c>
      <c r="G5" s="25">
        <v>0.41666666666666669</v>
      </c>
      <c r="H5" s="30"/>
      <c r="I5" s="30"/>
      <c r="J5" s="30"/>
      <c r="K5" s="25"/>
      <c r="L5" s="25"/>
      <c r="M5" s="25"/>
      <c r="N5" s="25">
        <f>MOD(G5-F5, 1)</f>
        <v>0.20486111111111113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59</v>
      </c>
      <c r="C6" s="30">
        <v>807</v>
      </c>
      <c r="D6" s="30" t="s">
        <v>60</v>
      </c>
      <c r="E6" s="25">
        <v>0.23958333333333334</v>
      </c>
      <c r="F6" s="25">
        <v>0.25694444444444442</v>
      </c>
      <c r="G6" s="25">
        <v>0.27430555555555558</v>
      </c>
      <c r="H6" s="30"/>
      <c r="I6" s="30"/>
      <c r="J6" s="30"/>
      <c r="K6" s="25"/>
      <c r="L6" s="25"/>
      <c r="M6" s="25"/>
      <c r="N6" s="25">
        <f t="shared" ref="N6" si="0">MOD(G6-F6, 1)</f>
        <v>1.736111111111116E-2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6" x14ac:dyDescent="0.25">
      <c r="A19" s="3"/>
      <c r="E19"/>
    </row>
    <row r="20" spans="1:6" x14ac:dyDescent="0.25">
      <c r="A20" s="3"/>
      <c r="E20"/>
    </row>
    <row r="21" spans="1:6" x14ac:dyDescent="0.25">
      <c r="A21" s="3"/>
      <c r="E21"/>
    </row>
    <row r="22" spans="1:6" x14ac:dyDescent="0.25">
      <c r="A22" s="3"/>
      <c r="E22"/>
    </row>
    <row r="23" spans="1:6" x14ac:dyDescent="0.25">
      <c r="A23" s="3"/>
      <c r="E23"/>
    </row>
    <row r="27" spans="1:6" x14ac:dyDescent="0.25">
      <c r="F27" s="31" t="s">
        <v>58</v>
      </c>
    </row>
  </sheetData>
  <autoFilter ref="A3:M12" xr:uid="{EC758A19-D570-4102-BA0F-75B7608AB055}"/>
  <conditionalFormatting sqref="N4:O7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7E5C-8D24-487E-BC17-3EFF92168BB3}">
  <dimension ref="A1:O23"/>
  <sheetViews>
    <sheetView showGridLines="0" topLeftCell="D1" zoomScale="70" zoomScaleNormal="70" workbookViewId="0">
      <pane ySplit="3" topLeftCell="A4" activePane="bottomLeft" state="frozen"/>
      <selection pane="bottomLeft" activeCell="N4" sqref="N4:O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/>
      <c r="C5" s="30"/>
      <c r="D5" s="30"/>
      <c r="E5" s="25"/>
      <c r="F5" s="25"/>
      <c r="G5" s="25"/>
      <c r="H5" s="30"/>
      <c r="I5" s="30"/>
      <c r="J5" s="30"/>
      <c r="K5" s="25"/>
      <c r="L5" s="25"/>
      <c r="M5" s="25"/>
      <c r="N5" s="25">
        <f>MOD(G5-F5, 1)</f>
        <v>0</v>
      </c>
      <c r="O5" s="25">
        <f>MOD(M5-L5, 1)</f>
        <v>0</v>
      </c>
    </row>
    <row r="6" spans="1:15" s="2" customFormat="1" ht="23.25" customHeight="1" x14ac:dyDescent="0.25">
      <c r="A6" s="28" t="s">
        <v>10</v>
      </c>
      <c r="B6" s="30"/>
      <c r="C6" s="30"/>
      <c r="D6" s="30"/>
      <c r="E6" s="25"/>
      <c r="F6" s="25"/>
      <c r="G6" s="25"/>
      <c r="H6" s="30"/>
      <c r="I6" s="30"/>
      <c r="J6" s="30"/>
      <c r="K6" s="25"/>
      <c r="L6" s="25"/>
      <c r="M6" s="25"/>
      <c r="N6" s="25">
        <f t="shared" ref="N6" si="0">MOD(G6-F6, 1)</f>
        <v>0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D6C70C-020E-43AF-B251-121EE7CE44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22</vt:lpstr>
      <vt:lpstr>23</vt:lpstr>
      <vt:lpstr>25</vt:lpstr>
      <vt:lpstr>26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heckmann</dc:creator>
  <cp:lastModifiedBy>WIliam  Souza Cortes dso Santos</cp:lastModifiedBy>
  <dcterms:created xsi:type="dcterms:W3CDTF">2026-02-16T17:15:25Z</dcterms:created>
  <dcterms:modified xsi:type="dcterms:W3CDTF">2026-05-26T16:44:01Z</dcterms:modified>
</cp:coreProperties>
</file>