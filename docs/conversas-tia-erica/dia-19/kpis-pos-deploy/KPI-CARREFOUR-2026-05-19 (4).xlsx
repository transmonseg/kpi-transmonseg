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<sst xmlns="http://schemas.openxmlformats.org/spreadsheetml/2006/main" count="143" uniqueCount="47">
  <si>
    <t xml:space="preserve">RELATÓRIO KPI - CARREFOUR
Terça-feira, 19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</si>
  <si>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</si>
  <si>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</si>
  <si>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</si>
  <si>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</si>
  <si>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</si>
  <si>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</si>
  <si>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</si>
  <si>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</si>
  <si>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</si>
  <si>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</si>
  <si>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</si>
  <si>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</si>
  <si>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JOSE CARLOS</t>
  </si>
  <si>
    <t>573</t>
  </si>
  <si>
    <t>LSE-1D35</t>
  </si>
  <si>
    <t/>
  </si>
  <si>
    <t>Carrefour - Barra da Tijuca</t>
  </si>
  <si>
    <t>LUÍZ ANTÔNIO</t>
  </si>
  <si>
    <t>184446</t>
  </si>
  <si>
    <t>KMY-5561</t>
  </si>
  <si>
    <t>Carrefour - Brigadeiro (Caxias)</t>
  </si>
  <si>
    <t>VALDEMIRIO</t>
  </si>
  <si>
    <t>353</t>
  </si>
  <si>
    <t>QSU-6I54</t>
  </si>
  <si>
    <t>Carrefour - Campo Grande</t>
  </si>
  <si>
    <t>SIMÃO</t>
  </si>
  <si>
    <t>184846</t>
  </si>
  <si>
    <t>LSN-6I72</t>
  </si>
  <si>
    <t>RENAN</t>
  </si>
  <si>
    <t>184357</t>
  </si>
  <si>
    <t>KRW-8E86</t>
  </si>
  <si>
    <t>Carrefour - Norte Shopping</t>
  </si>
  <si>
    <t>SÉRGIO</t>
  </si>
  <si>
    <t>598</t>
  </si>
  <si>
    <t>LJS-2B72</t>
  </si>
  <si>
    <t>Carrefour - Sulacap</t>
  </si>
  <si>
    <t>VICTOR LUIZ</t>
  </si>
  <si>
    <t>TJQ-6J26</t>
  </si>
  <si>
    <t>Carrefour - Washington Luiz</t>
  </si>
  <si>
    <t>GORDO</t>
  </si>
  <si>
    <t>274</t>
  </si>
  <si>
    <t>AMF-0325</t>
  </si>
  <si>
    <t>Carrefour - Campos dos Goytacazes</t>
  </si>
  <si>
    <t>Carrefour - Macaé</t>
  </si>
  <si>
    <t>Carrefour - Juiz de Fora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</si>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</sst>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0.22847222222222222</v>
      </c>
      <c r="F5" s="8">
        <v>0.29097222222222224</v>
      </c>
      <c r="G5" s="8">
        <v>0.3229166666666667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0.03263888888888889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0.20625</v>
      </c>
      <c r="F6" s="11">
        <v>0.24305555555555555</v>
      </c>
      <c r="G6" s="11">
        <v>0.30486111111111114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0.06180555555555556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0.19027777777777777</v>
      </c>
      <c r="F7" s="8">
        <v>0.2048611111111111</v>
      </c>
      <c r="G7" s="8">
        <v>0.3013888888888889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0.09652777777777778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0.22291666666666668</v>
      </c>
      <c r="F8" s="11">
        <v>0.25416666666666665</v>
      </c>
      <c r="G8" s="11">
        <v>0.2798611111111111</v>
      </c>
      <c r="H8" s="10" t="s">
        <v>29</v>
      </c>
      <c r="I8" s="10" t="s">
        <v>30</v>
      </c>
      <c r="J8" s="10" t="s">
        <v>31</v>
      </c>
      <c r="K8" s="11">
        <v>0.23472222222222222</v>
      </c>
      <c r="L8" s="11">
        <v>0.2659722222222222</v>
      </c>
      <c r="M8" s="11">
        <v>0.2951388888888889</v>
      </c>
      <c r="N8" s="11">
        <f>MOD(G8-F8,1)</f>
        <v>0.025694444444444443</v>
      </c>
      <c r="O8" s="11">
        <f>MOD(M8-L8,1)</f>
        <v>0.029166666666666667</v>
      </c>
    </row>
    <row r="9" ht="23.25" customHeight="1" spans="1:15" x14ac:dyDescent="0.25">
      <c r="A9" s="6" t="s">
        <v>32</v>
      </c>
      <c r="B9" s="7" t="s">
        <v>33</v>
      </c>
      <c r="C9" s="7" t="s">
        <v>34</v>
      </c>
      <c r="D9" s="7" t="s">
        <v>35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36</v>
      </c>
      <c r="B10" s="10" t="s">
        <v>37</v>
      </c>
      <c r="C10" s="10" t="s">
        <v>23</v>
      </c>
      <c r="D10" s="10" t="s">
        <v>38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39</v>
      </c>
      <c r="B11" s="7" t="s">
        <v>40</v>
      </c>
      <c r="C11" s="7" t="s">
        <v>41</v>
      </c>
      <c r="D11" s="7" t="s">
        <v>42</v>
      </c>
      <c r="E11" s="8">
        <v>0.21875</v>
      </c>
      <c r="F11" s="8">
        <v>0.23333333333333334</v>
      </c>
      <c r="G11" s="8">
        <v>0.3388888888888889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0.10555555555555556</v>
      </c>
      <c r="O11" s="8">
        <f>MOD(M11-L11,1)</f>
        <v>0</v>
      </c>
    </row>
    <row r="12" ht="23.25" customHeight="1" spans="1:15" x14ac:dyDescent="0.25">
      <c r="A12" s="9" t="s">
        <v>43</v>
      </c>
      <c r="B12" s="10" t="s">
        <v>16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45</v>
      </c>
      <c r="B14" s="10" t="s">
        <v>16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46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