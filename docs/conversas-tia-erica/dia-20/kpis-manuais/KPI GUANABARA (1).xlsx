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8DAA8C18-0C3C-4E94-875F-C19508F6F400}" xr6:coauthVersionLast="47" xr6:coauthVersionMax="47" xr10:uidLastSave="{00000000-0000-0000-0000-000000000000}"/>
  <bookViews>
    <workbookView xWindow="14295" yWindow="0" windowWidth="14610" windowHeight="15585" firstSheet="10" activeTab="14" xr2:uid="{00000000-000D-0000-FFFF-FFFF00000000}"/>
  </bookViews>
  <sheets>
    <sheet name="02" sheetId="25" r:id="rId1"/>
    <sheet name="04" sheetId="27" r:id="rId2"/>
    <sheet name="05" sheetId="29" r:id="rId3"/>
    <sheet name="06" sheetId="31" r:id="rId4"/>
    <sheet name="07" sheetId="33" r:id="rId5"/>
    <sheet name="08" sheetId="35" r:id="rId6"/>
    <sheet name="09" sheetId="37" r:id="rId7"/>
    <sheet name="11" sheetId="40" r:id="rId8"/>
    <sheet name="12" sheetId="42" r:id="rId9"/>
    <sheet name="13" sheetId="43" r:id="rId10"/>
    <sheet name="15" sheetId="45" r:id="rId11"/>
    <sheet name="18" sheetId="47" r:id="rId12"/>
    <sheet name="19" sheetId="49" r:id="rId13"/>
    <sheet name="Table001 (Page 1) (53)" sheetId="52" r:id="rId14"/>
    <sheet name="21" sheetId="51" r:id="rId15"/>
    <sheet name="matriz" sheetId="24" r:id="rId16"/>
  </sheets>
  <definedNames>
    <definedName name="_xlnm._FilterDatabase" localSheetId="0" hidden="1">'02'!$A$3:$M$32</definedName>
    <definedName name="_xlnm._FilterDatabase" localSheetId="1" hidden="1">'04'!$A$3:$M$32</definedName>
    <definedName name="_xlnm._FilterDatabase" localSheetId="2" hidden="1">'05'!$A$3:$M$32</definedName>
    <definedName name="_xlnm._FilterDatabase" localSheetId="3" hidden="1">'06'!$A$3:$M$32</definedName>
    <definedName name="_xlnm._FilterDatabase" localSheetId="4" hidden="1">'07'!$A$3:$M$32</definedName>
    <definedName name="_xlnm._FilterDatabase" localSheetId="5" hidden="1">'08'!$A$3:$M$32</definedName>
    <definedName name="_xlnm._FilterDatabase" localSheetId="6" hidden="1">'09'!$A$3:$M$32</definedName>
    <definedName name="_xlnm._FilterDatabase" localSheetId="7" hidden="1">'11'!$A$3:$M$32</definedName>
    <definedName name="_xlnm._FilterDatabase" localSheetId="8" hidden="1">'12'!$A$3:$M$32</definedName>
    <definedName name="_xlnm._FilterDatabase" localSheetId="9" hidden="1">'13'!$A$3:$M$32</definedName>
    <definedName name="_xlnm._FilterDatabase" localSheetId="10" hidden="1">'15'!$A$3:$M$32</definedName>
    <definedName name="_xlnm._FilterDatabase" localSheetId="11" hidden="1">'18'!$A$3:$M$32</definedName>
    <definedName name="_xlnm._FilterDatabase" localSheetId="12" hidden="1">'19'!$A$3:$M$32</definedName>
    <definedName name="_xlnm._FilterDatabase" localSheetId="14" hidden="1">'21'!$A$3:$M$32</definedName>
    <definedName name="_xlnm._FilterDatabase" localSheetId="15" hidden="1">matriz!$A$3:$M$32</definedName>
    <definedName name="DadosExternos_1" localSheetId="13" hidden="1">'Table001 (Page 1) (53)'!$A$1:$J$32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51" l="1"/>
  <c r="N32" i="51"/>
  <c r="O31" i="51"/>
  <c r="N31" i="51"/>
  <c r="O30" i="51"/>
  <c r="N30" i="51"/>
  <c r="O29" i="51"/>
  <c r="N29" i="51"/>
  <c r="O28" i="51"/>
  <c r="N28" i="51"/>
  <c r="O27" i="51"/>
  <c r="N27" i="51"/>
  <c r="O26" i="51"/>
  <c r="N26" i="51"/>
  <c r="O25" i="51"/>
  <c r="N25" i="51"/>
  <c r="O24" i="51"/>
  <c r="N24" i="51"/>
  <c r="O23" i="51"/>
  <c r="N23" i="51"/>
  <c r="O22" i="51"/>
  <c r="N22" i="51"/>
  <c r="O21" i="51"/>
  <c r="N21" i="51"/>
  <c r="O20" i="51"/>
  <c r="N20" i="51"/>
  <c r="O19" i="51"/>
  <c r="N19" i="51"/>
  <c r="O18" i="51"/>
  <c r="N18" i="51"/>
  <c r="O17" i="51"/>
  <c r="N17" i="51"/>
  <c r="O16" i="51"/>
  <c r="N16" i="51"/>
  <c r="O15" i="51"/>
  <c r="N15" i="51"/>
  <c r="O14" i="51"/>
  <c r="N14" i="51"/>
  <c r="O13" i="51"/>
  <c r="N13" i="51"/>
  <c r="O12" i="51"/>
  <c r="N12" i="51"/>
  <c r="O11" i="51"/>
  <c r="N11" i="51"/>
  <c r="O10" i="51"/>
  <c r="N10" i="51"/>
  <c r="O9" i="51"/>
  <c r="N9" i="51"/>
  <c r="O8" i="51"/>
  <c r="N8" i="51"/>
  <c r="O7" i="51"/>
  <c r="N7" i="51"/>
  <c r="O6" i="51"/>
  <c r="N6" i="51"/>
  <c r="O5" i="51"/>
  <c r="N5" i="51"/>
  <c r="O32" i="49"/>
  <c r="N32" i="49"/>
  <c r="O31" i="49"/>
  <c r="N31" i="49"/>
  <c r="O30" i="49"/>
  <c r="N30" i="49"/>
  <c r="O29" i="49"/>
  <c r="N29" i="49"/>
  <c r="O28" i="49"/>
  <c r="N28" i="49"/>
  <c r="O27" i="49"/>
  <c r="N27" i="49"/>
  <c r="O26" i="49"/>
  <c r="N26" i="49"/>
  <c r="O25" i="49"/>
  <c r="N25" i="49"/>
  <c r="O24" i="49"/>
  <c r="N24" i="49"/>
  <c r="O23" i="49"/>
  <c r="N23" i="49"/>
  <c r="O22" i="49"/>
  <c r="N22" i="49"/>
  <c r="O21" i="49"/>
  <c r="N21" i="49"/>
  <c r="O20" i="49"/>
  <c r="N20" i="49"/>
  <c r="O19" i="49"/>
  <c r="N19" i="49"/>
  <c r="O18" i="49"/>
  <c r="N18" i="49"/>
  <c r="O17" i="49"/>
  <c r="N17" i="49"/>
  <c r="O16" i="49"/>
  <c r="N16" i="49"/>
  <c r="O15" i="49"/>
  <c r="N15" i="49"/>
  <c r="O14" i="49"/>
  <c r="N14" i="49"/>
  <c r="O13" i="49"/>
  <c r="N13" i="49"/>
  <c r="O12" i="49"/>
  <c r="N12" i="49"/>
  <c r="O11" i="49"/>
  <c r="N11" i="49"/>
  <c r="O10" i="49"/>
  <c r="N10" i="49"/>
  <c r="O9" i="49"/>
  <c r="N9" i="49"/>
  <c r="O8" i="49"/>
  <c r="N8" i="49"/>
  <c r="O7" i="49"/>
  <c r="N7" i="49"/>
  <c r="O6" i="49"/>
  <c r="N6" i="49"/>
  <c r="O5" i="49"/>
  <c r="N5" i="49"/>
  <c r="O32" i="47"/>
  <c r="N32" i="47"/>
  <c r="O31" i="47"/>
  <c r="N31" i="47"/>
  <c r="O30" i="47"/>
  <c r="N30" i="47"/>
  <c r="O29" i="47"/>
  <c r="N29" i="47"/>
  <c r="O28" i="47"/>
  <c r="N28" i="47"/>
  <c r="O27" i="47"/>
  <c r="N27" i="47"/>
  <c r="O26" i="47"/>
  <c r="N26" i="47"/>
  <c r="O25" i="47"/>
  <c r="N25" i="47"/>
  <c r="O24" i="47"/>
  <c r="N24" i="47"/>
  <c r="O23" i="47"/>
  <c r="N23" i="47"/>
  <c r="O22" i="47"/>
  <c r="N22" i="47"/>
  <c r="O21" i="47"/>
  <c r="N21" i="47"/>
  <c r="O20" i="47"/>
  <c r="N20" i="47"/>
  <c r="O19" i="47"/>
  <c r="N19" i="47"/>
  <c r="O18" i="47"/>
  <c r="N18" i="47"/>
  <c r="O17" i="47"/>
  <c r="N17" i="47"/>
  <c r="O16" i="47"/>
  <c r="N16" i="47"/>
  <c r="O15" i="47"/>
  <c r="N15" i="47"/>
  <c r="O14" i="47"/>
  <c r="N14" i="47"/>
  <c r="O13" i="47"/>
  <c r="N13" i="47"/>
  <c r="O12" i="47"/>
  <c r="N12" i="47"/>
  <c r="O11" i="47"/>
  <c r="N11" i="47"/>
  <c r="O10" i="47"/>
  <c r="N10" i="47"/>
  <c r="O9" i="47"/>
  <c r="N9" i="47"/>
  <c r="O8" i="47"/>
  <c r="N8" i="47"/>
  <c r="O7" i="47"/>
  <c r="N7" i="47"/>
  <c r="O6" i="47"/>
  <c r="N6" i="47"/>
  <c r="O5" i="47"/>
  <c r="N5" i="47"/>
  <c r="O32" i="45"/>
  <c r="N32" i="45"/>
  <c r="O31" i="45"/>
  <c r="N31" i="45"/>
  <c r="O30" i="45"/>
  <c r="N30" i="45"/>
  <c r="O29" i="45"/>
  <c r="N29" i="45"/>
  <c r="O28" i="45"/>
  <c r="N28" i="45"/>
  <c r="O27" i="45"/>
  <c r="N27" i="45"/>
  <c r="O26" i="45"/>
  <c r="N26" i="45"/>
  <c r="O25" i="45"/>
  <c r="N25" i="45"/>
  <c r="O24" i="45"/>
  <c r="N24" i="45"/>
  <c r="O23" i="45"/>
  <c r="N23" i="45"/>
  <c r="O22" i="45"/>
  <c r="N22" i="45"/>
  <c r="O21" i="45"/>
  <c r="N21" i="45"/>
  <c r="O20" i="45"/>
  <c r="N20" i="45"/>
  <c r="O19" i="45"/>
  <c r="N19" i="45"/>
  <c r="O18" i="45"/>
  <c r="N18" i="45"/>
  <c r="O17" i="45"/>
  <c r="N17" i="45"/>
  <c r="O16" i="45"/>
  <c r="N16" i="45"/>
  <c r="O15" i="45"/>
  <c r="N15" i="45"/>
  <c r="O14" i="45"/>
  <c r="N14" i="45"/>
  <c r="O13" i="45"/>
  <c r="N13" i="45"/>
  <c r="O12" i="45"/>
  <c r="N12" i="45"/>
  <c r="O11" i="45"/>
  <c r="N11" i="45"/>
  <c r="O10" i="45"/>
  <c r="N10" i="45"/>
  <c r="O9" i="45"/>
  <c r="N9" i="45"/>
  <c r="O8" i="45"/>
  <c r="N8" i="45"/>
  <c r="O7" i="45"/>
  <c r="N7" i="45"/>
  <c r="O6" i="45"/>
  <c r="N6" i="45"/>
  <c r="O5" i="45"/>
  <c r="N5" i="45"/>
  <c r="O32" i="43"/>
  <c r="N32" i="43"/>
  <c r="O31" i="43"/>
  <c r="N31" i="43"/>
  <c r="O30" i="43"/>
  <c r="N30" i="43"/>
  <c r="O29" i="43"/>
  <c r="N29" i="43"/>
  <c r="O28" i="43"/>
  <c r="N28" i="43"/>
  <c r="O27" i="43"/>
  <c r="N27" i="43"/>
  <c r="O26" i="43"/>
  <c r="N26" i="43"/>
  <c r="O25" i="43"/>
  <c r="N25" i="43"/>
  <c r="O24" i="43"/>
  <c r="N24" i="43"/>
  <c r="O23" i="43"/>
  <c r="N23" i="43"/>
  <c r="O22" i="43"/>
  <c r="N22" i="43"/>
  <c r="O21" i="43"/>
  <c r="N21" i="43"/>
  <c r="O20" i="43"/>
  <c r="N20" i="43"/>
  <c r="O19" i="43"/>
  <c r="N19" i="43"/>
  <c r="O18" i="43"/>
  <c r="N18" i="43"/>
  <c r="O17" i="43"/>
  <c r="N17" i="43"/>
  <c r="O16" i="43"/>
  <c r="N16" i="43"/>
  <c r="O15" i="43"/>
  <c r="N15" i="43"/>
  <c r="O14" i="43"/>
  <c r="N14" i="43"/>
  <c r="O13" i="43"/>
  <c r="N13" i="43"/>
  <c r="O12" i="43"/>
  <c r="N12" i="43"/>
  <c r="O11" i="43"/>
  <c r="N11" i="43"/>
  <c r="O10" i="43"/>
  <c r="N10" i="43"/>
  <c r="O9" i="43"/>
  <c r="N9" i="43"/>
  <c r="O8" i="43"/>
  <c r="N8" i="43"/>
  <c r="O7" i="43"/>
  <c r="N7" i="43"/>
  <c r="O6" i="43"/>
  <c r="N6" i="43"/>
  <c r="O5" i="43"/>
  <c r="N5" i="43"/>
  <c r="O32" i="42"/>
  <c r="N32" i="42"/>
  <c r="O31" i="42"/>
  <c r="N31" i="42"/>
  <c r="O30" i="42"/>
  <c r="N30" i="42"/>
  <c r="O29" i="42"/>
  <c r="N29" i="42"/>
  <c r="O28" i="42"/>
  <c r="N28" i="42"/>
  <c r="O27" i="42"/>
  <c r="N27" i="42"/>
  <c r="O26" i="42"/>
  <c r="N26" i="42"/>
  <c r="O25" i="42"/>
  <c r="N25" i="42"/>
  <c r="O24" i="42"/>
  <c r="N24" i="42"/>
  <c r="O23" i="42"/>
  <c r="N23" i="42"/>
  <c r="O22" i="42"/>
  <c r="N22" i="42"/>
  <c r="O21" i="42"/>
  <c r="N21" i="42"/>
  <c r="O20" i="42"/>
  <c r="N20" i="42"/>
  <c r="O19" i="42"/>
  <c r="N19" i="42"/>
  <c r="O18" i="42"/>
  <c r="N18" i="42"/>
  <c r="O17" i="42"/>
  <c r="N17" i="42"/>
  <c r="O16" i="42"/>
  <c r="N16" i="42"/>
  <c r="O15" i="42"/>
  <c r="N15" i="42"/>
  <c r="O14" i="42"/>
  <c r="N14" i="42"/>
  <c r="O13" i="42"/>
  <c r="N13" i="42"/>
  <c r="O12" i="42"/>
  <c r="N12" i="42"/>
  <c r="O11" i="42"/>
  <c r="N11" i="42"/>
  <c r="O10" i="42"/>
  <c r="N10" i="42"/>
  <c r="O9" i="42"/>
  <c r="N9" i="42"/>
  <c r="O8" i="42"/>
  <c r="N8" i="42"/>
  <c r="O7" i="42"/>
  <c r="N7" i="42"/>
  <c r="O6" i="42"/>
  <c r="N6" i="42"/>
  <c r="O5" i="42"/>
  <c r="N5" i="42"/>
  <c r="O32" i="40"/>
  <c r="N32" i="40"/>
  <c r="O31" i="40"/>
  <c r="N31" i="40"/>
  <c r="O30" i="40"/>
  <c r="N30" i="40"/>
  <c r="O29" i="40"/>
  <c r="N29" i="40"/>
  <c r="O28" i="40"/>
  <c r="N28" i="40"/>
  <c r="O27" i="40"/>
  <c r="N27" i="40"/>
  <c r="O26" i="40"/>
  <c r="N26" i="40"/>
  <c r="O25" i="40"/>
  <c r="N25" i="40"/>
  <c r="O24" i="40"/>
  <c r="N24" i="40"/>
  <c r="O23" i="40"/>
  <c r="N23" i="40"/>
  <c r="O22" i="40"/>
  <c r="N22" i="40"/>
  <c r="O21" i="40"/>
  <c r="N21" i="40"/>
  <c r="O20" i="40"/>
  <c r="N20" i="40"/>
  <c r="O19" i="40"/>
  <c r="N19" i="40"/>
  <c r="O18" i="40"/>
  <c r="N18" i="40"/>
  <c r="O17" i="40"/>
  <c r="N17" i="40"/>
  <c r="O16" i="40"/>
  <c r="N16" i="40"/>
  <c r="O15" i="40"/>
  <c r="N15" i="40"/>
  <c r="O14" i="40"/>
  <c r="N14" i="40"/>
  <c r="O13" i="40"/>
  <c r="N13" i="40"/>
  <c r="O12" i="40"/>
  <c r="N12" i="40"/>
  <c r="O11" i="40"/>
  <c r="N11" i="40"/>
  <c r="O10" i="40"/>
  <c r="N10" i="40"/>
  <c r="O9" i="40"/>
  <c r="N9" i="40"/>
  <c r="O8" i="40"/>
  <c r="N8" i="40"/>
  <c r="O7" i="40"/>
  <c r="N7" i="40"/>
  <c r="O6" i="40"/>
  <c r="N6" i="40"/>
  <c r="O5" i="40"/>
  <c r="N5" i="40"/>
  <c r="O32" i="37" l="1"/>
  <c r="N32" i="37"/>
  <c r="O31" i="37"/>
  <c r="N31" i="37"/>
  <c r="O30" i="37"/>
  <c r="N30" i="37"/>
  <c r="O29" i="37"/>
  <c r="N29" i="37"/>
  <c r="O28" i="37"/>
  <c r="N28" i="37"/>
  <c r="O27" i="37"/>
  <c r="N27" i="37"/>
  <c r="O26" i="37"/>
  <c r="N26" i="37"/>
  <c r="O25" i="37"/>
  <c r="N25" i="37"/>
  <c r="O24" i="37"/>
  <c r="N24" i="37"/>
  <c r="O23" i="37"/>
  <c r="N23" i="37"/>
  <c r="O22" i="37"/>
  <c r="N22" i="37"/>
  <c r="O21" i="37"/>
  <c r="N21" i="37"/>
  <c r="O20" i="37"/>
  <c r="N20" i="37"/>
  <c r="O19" i="37"/>
  <c r="N19" i="37"/>
  <c r="O18" i="37"/>
  <c r="N18" i="37"/>
  <c r="O17" i="37"/>
  <c r="N17" i="37"/>
  <c r="O16" i="37"/>
  <c r="N16" i="37"/>
  <c r="O15" i="37"/>
  <c r="N15" i="37"/>
  <c r="O14" i="37"/>
  <c r="N14" i="37"/>
  <c r="O13" i="37"/>
  <c r="N13" i="37"/>
  <c r="O12" i="37"/>
  <c r="N12" i="37"/>
  <c r="O11" i="37"/>
  <c r="N11" i="37"/>
  <c r="O10" i="37"/>
  <c r="N10" i="37"/>
  <c r="O9" i="37"/>
  <c r="N9" i="37"/>
  <c r="O8" i="37"/>
  <c r="N8" i="37"/>
  <c r="O7" i="37"/>
  <c r="N7" i="37"/>
  <c r="O6" i="37"/>
  <c r="N6" i="37"/>
  <c r="O5" i="37"/>
  <c r="N5" i="37"/>
  <c r="O32" i="35"/>
  <c r="N32" i="35"/>
  <c r="O31" i="35"/>
  <c r="N31" i="35"/>
  <c r="O30" i="35"/>
  <c r="N30" i="35"/>
  <c r="O29" i="35"/>
  <c r="N29" i="35"/>
  <c r="O28" i="35"/>
  <c r="N28" i="35"/>
  <c r="O27" i="35"/>
  <c r="N27" i="35"/>
  <c r="O26" i="35"/>
  <c r="N26" i="35"/>
  <c r="O25" i="35"/>
  <c r="N25" i="35"/>
  <c r="O24" i="35"/>
  <c r="N24" i="35"/>
  <c r="O23" i="35"/>
  <c r="N23" i="35"/>
  <c r="O22" i="35"/>
  <c r="N22" i="35"/>
  <c r="O21" i="35"/>
  <c r="N21" i="35"/>
  <c r="O20" i="35"/>
  <c r="N20" i="35"/>
  <c r="O19" i="35"/>
  <c r="N19" i="35"/>
  <c r="O18" i="35"/>
  <c r="N18" i="35"/>
  <c r="O17" i="35"/>
  <c r="N17" i="35"/>
  <c r="O16" i="35"/>
  <c r="N16" i="35"/>
  <c r="O15" i="35"/>
  <c r="N15" i="35"/>
  <c r="O14" i="35"/>
  <c r="N14" i="35"/>
  <c r="O13" i="35"/>
  <c r="N13" i="35"/>
  <c r="O12" i="35"/>
  <c r="N12" i="35"/>
  <c r="O11" i="35"/>
  <c r="N11" i="35"/>
  <c r="O10" i="35"/>
  <c r="N10" i="35"/>
  <c r="O9" i="35"/>
  <c r="N9" i="35"/>
  <c r="O8" i="35"/>
  <c r="N8" i="35"/>
  <c r="O7" i="35"/>
  <c r="N7" i="35"/>
  <c r="O6" i="35"/>
  <c r="N6" i="35"/>
  <c r="O5" i="35"/>
  <c r="N5" i="35"/>
  <c r="O32" i="33" l="1"/>
  <c r="N32" i="33"/>
  <c r="O31" i="33"/>
  <c r="N31" i="33"/>
  <c r="O30" i="33"/>
  <c r="N30" i="33"/>
  <c r="O29" i="33"/>
  <c r="N29" i="33"/>
  <c r="O28" i="33"/>
  <c r="N28" i="33"/>
  <c r="O27" i="33"/>
  <c r="N27" i="33"/>
  <c r="O26" i="33"/>
  <c r="N26" i="33"/>
  <c r="O25" i="33"/>
  <c r="N25" i="33"/>
  <c r="O24" i="33"/>
  <c r="N24" i="33"/>
  <c r="O23" i="33"/>
  <c r="N23" i="33"/>
  <c r="O22" i="33"/>
  <c r="N22" i="33"/>
  <c r="O21" i="33"/>
  <c r="N21" i="33"/>
  <c r="O20" i="33"/>
  <c r="N20" i="33"/>
  <c r="O19" i="33"/>
  <c r="N19" i="33"/>
  <c r="O18" i="33"/>
  <c r="N18" i="33"/>
  <c r="O17" i="33"/>
  <c r="N17" i="33"/>
  <c r="O16" i="33"/>
  <c r="N16" i="33"/>
  <c r="O15" i="33"/>
  <c r="N15" i="33"/>
  <c r="O14" i="33"/>
  <c r="N14" i="33"/>
  <c r="O13" i="33"/>
  <c r="N13" i="33"/>
  <c r="O12" i="33"/>
  <c r="N12" i="33"/>
  <c r="O11" i="33"/>
  <c r="N11" i="33"/>
  <c r="O10" i="33"/>
  <c r="N10" i="33"/>
  <c r="O9" i="33"/>
  <c r="N9" i="33"/>
  <c r="O8" i="33"/>
  <c r="N8" i="33"/>
  <c r="O7" i="33"/>
  <c r="N7" i="33"/>
  <c r="O6" i="33"/>
  <c r="N6" i="33"/>
  <c r="O5" i="33"/>
  <c r="N5" i="33"/>
  <c r="O32" i="31"/>
  <c r="N32" i="31"/>
  <c r="O31" i="31"/>
  <c r="N31" i="31"/>
  <c r="O30" i="31"/>
  <c r="N30" i="31"/>
  <c r="O29" i="31"/>
  <c r="N29" i="31"/>
  <c r="O28" i="31"/>
  <c r="N28" i="31"/>
  <c r="O27" i="31"/>
  <c r="N27" i="31"/>
  <c r="O26" i="31"/>
  <c r="N26" i="31"/>
  <c r="O25" i="31"/>
  <c r="N25" i="31"/>
  <c r="O24" i="31"/>
  <c r="N24" i="31"/>
  <c r="O23" i="31"/>
  <c r="N23" i="31"/>
  <c r="O22" i="31"/>
  <c r="N22" i="31"/>
  <c r="O21" i="31"/>
  <c r="N21" i="31"/>
  <c r="O20" i="31"/>
  <c r="N20" i="31"/>
  <c r="O19" i="31"/>
  <c r="N19" i="31"/>
  <c r="O18" i="31"/>
  <c r="N18" i="31"/>
  <c r="O17" i="31"/>
  <c r="N17" i="31"/>
  <c r="O16" i="31"/>
  <c r="N16" i="31"/>
  <c r="O15" i="31"/>
  <c r="N15" i="31"/>
  <c r="O14" i="31"/>
  <c r="N14" i="31"/>
  <c r="O13" i="31"/>
  <c r="N13" i="31"/>
  <c r="O12" i="31"/>
  <c r="N12" i="31"/>
  <c r="O11" i="31"/>
  <c r="N11" i="31"/>
  <c r="O10" i="31"/>
  <c r="N10" i="31"/>
  <c r="O9" i="31"/>
  <c r="N9" i="31"/>
  <c r="O8" i="31"/>
  <c r="N8" i="31"/>
  <c r="O7" i="31"/>
  <c r="N7" i="31"/>
  <c r="O6" i="31"/>
  <c r="N6" i="31"/>
  <c r="O5" i="31"/>
  <c r="N5" i="31"/>
  <c r="O32" i="29"/>
  <c r="N32" i="29"/>
  <c r="O31" i="29"/>
  <c r="N31" i="29"/>
  <c r="O30" i="29"/>
  <c r="N30" i="29"/>
  <c r="O29" i="29"/>
  <c r="N29" i="29"/>
  <c r="O28" i="29"/>
  <c r="N28" i="29"/>
  <c r="O27" i="29"/>
  <c r="N27" i="29"/>
  <c r="O26" i="29"/>
  <c r="N26" i="29"/>
  <c r="O25" i="29"/>
  <c r="N25" i="29"/>
  <c r="O24" i="29"/>
  <c r="N24" i="29"/>
  <c r="O23" i="29"/>
  <c r="N23" i="29"/>
  <c r="O22" i="29"/>
  <c r="N22" i="29"/>
  <c r="O21" i="29"/>
  <c r="N21" i="29"/>
  <c r="O20" i="29"/>
  <c r="N20" i="29"/>
  <c r="O19" i="29"/>
  <c r="N19" i="29"/>
  <c r="O18" i="29"/>
  <c r="N18" i="29"/>
  <c r="O17" i="29"/>
  <c r="N17" i="29"/>
  <c r="O16" i="29"/>
  <c r="N16" i="29"/>
  <c r="O15" i="29"/>
  <c r="N15" i="29"/>
  <c r="O14" i="29"/>
  <c r="N14" i="29"/>
  <c r="O13" i="29"/>
  <c r="N13" i="29"/>
  <c r="O12" i="29"/>
  <c r="N12" i="29"/>
  <c r="O11" i="29"/>
  <c r="N11" i="29"/>
  <c r="O10" i="29"/>
  <c r="N10" i="29"/>
  <c r="O9" i="29"/>
  <c r="N9" i="29"/>
  <c r="O8" i="29"/>
  <c r="N8" i="29"/>
  <c r="O7" i="29"/>
  <c r="N7" i="29"/>
  <c r="O6" i="29"/>
  <c r="N6" i="29"/>
  <c r="O5" i="29"/>
  <c r="N5" i="29"/>
  <c r="O32" i="27"/>
  <c r="O31" i="27"/>
  <c r="N31" i="27"/>
  <c r="O30" i="27"/>
  <c r="O29" i="27"/>
  <c r="N29" i="27"/>
  <c r="N28" i="27"/>
  <c r="O25" i="27"/>
  <c r="N25" i="27"/>
  <c r="O24" i="27"/>
  <c r="O23" i="27"/>
  <c r="N23" i="27"/>
  <c r="O22" i="27"/>
  <c r="O20" i="27"/>
  <c r="N20" i="27"/>
  <c r="O19" i="27"/>
  <c r="O18" i="27"/>
  <c r="N18" i="27"/>
  <c r="O17" i="27"/>
  <c r="N17" i="27"/>
  <c r="O16" i="27"/>
  <c r="N16" i="27"/>
  <c r="O15" i="27"/>
  <c r="N15" i="27"/>
  <c r="O13" i="27"/>
  <c r="N13" i="27"/>
  <c r="O12" i="27"/>
  <c r="N12" i="27"/>
  <c r="O11" i="27"/>
  <c r="N11" i="27"/>
  <c r="O10" i="27"/>
  <c r="N10" i="27"/>
  <c r="O9" i="27"/>
  <c r="N9" i="27"/>
  <c r="O8" i="27"/>
  <c r="N8" i="27"/>
  <c r="O7" i="27"/>
  <c r="N7" i="27"/>
  <c r="O6" i="27"/>
  <c r="N6" i="27"/>
  <c r="O5" i="27"/>
  <c r="N5" i="27"/>
  <c r="O32" i="25"/>
  <c r="N32" i="25"/>
  <c r="O31" i="25"/>
  <c r="N31" i="25"/>
  <c r="O30" i="25"/>
  <c r="O29" i="25"/>
  <c r="N29" i="25"/>
  <c r="N28" i="25"/>
  <c r="O26" i="25"/>
  <c r="O25" i="25"/>
  <c r="O24" i="25"/>
  <c r="O22" i="25"/>
  <c r="N21" i="25"/>
  <c r="O20" i="25"/>
  <c r="N20" i="25"/>
  <c r="O19" i="25"/>
  <c r="O18" i="25"/>
  <c r="O17" i="25"/>
  <c r="N17" i="25"/>
  <c r="O16" i="25"/>
  <c r="N16" i="25"/>
  <c r="O15" i="25"/>
  <c r="O12" i="25"/>
  <c r="N12" i="25"/>
  <c r="N11" i="25"/>
  <c r="O10" i="25"/>
  <c r="N10" i="25"/>
  <c r="O9" i="25"/>
  <c r="N9" i="25"/>
  <c r="O8" i="25"/>
  <c r="N8" i="25"/>
  <c r="O7" i="25"/>
  <c r="N7" i="25"/>
  <c r="O6" i="25"/>
  <c r="N6" i="25"/>
  <c r="O5" i="25"/>
  <c r="N5" i="25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O15" i="24"/>
  <c r="N15" i="24"/>
  <c r="O14" i="24"/>
  <c r="N14" i="24"/>
  <c r="O13" i="24"/>
  <c r="N13" i="24"/>
  <c r="O12" i="24"/>
  <c r="N12" i="24"/>
  <c r="O11" i="24"/>
  <c r="N11" i="24"/>
  <c r="O10" i="24"/>
  <c r="N10" i="24"/>
  <c r="O9" i="24"/>
  <c r="N9" i="24"/>
  <c r="O8" i="24"/>
  <c r="N8" i="24"/>
  <c r="O7" i="24"/>
  <c r="N7" i="24"/>
  <c r="O6" i="24"/>
  <c r="N6" i="24"/>
  <c r="O5" i="24"/>
  <c r="N5" i="24"/>
  <c r="P41" i="27"/>
  <c r="P41" i="27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F7EC09-528E-41F3-B239-8D25B2C61126}" keepAlive="1" name="Consulta - Table001 (Page 1)" description="Conexão com a consulta 'Table001 (Page 1)' na pasta de trabalho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828C8B5-3104-4026-AB09-67CC0160E267}" keepAlive="1" name="Consulta - Table001 (Page 1) (10)" description="Conexão com a consulta 'Table001 (Page 1) (10)' na pasta de trabalho." type="5" refreshedVersion="8" background="1" saveData="1">
    <dbPr connection="Provider=Microsoft.Mashup.OleDb.1;Data Source=$Workbook$;Location=&quot;Table001 (Page 1) (10)&quot;;Extended Properties=&quot;&quot;" command="SELECT * FROM [Table001 (Page 1) (10)]"/>
  </connection>
  <connection id="3" xr16:uid="{FC95ACAD-7B4D-4129-82ED-7B6384EE7D9A}" keepAlive="1" name="Consulta - Table001 (Page 1) (11)" description="Conexão com a consulta 'Table001 (Page 1) (11)' na pasta de trabalho." type="5" refreshedVersion="0" background="1">
    <dbPr connection="Provider=Microsoft.Mashup.OleDb.1;Data Source=$Workbook$;Location=&quot;Table001 (Page 1) (11)&quot;;Extended Properties=&quot;&quot;" command="SELECT * FROM [Table001 (Page 1) (11)]"/>
  </connection>
  <connection id="4" xr16:uid="{18E748C2-B9BA-424E-965C-9375246BCB08}" keepAlive="1" name="Consulta - Table001 (Page 1) (12)" description="Conexão com a consulta 'Table001 (Page 1) (12)' na pasta de trabalho." type="5" refreshedVersion="0" background="1">
    <dbPr connection="Provider=Microsoft.Mashup.OleDb.1;Data Source=$Workbook$;Location=&quot;Table001 (Page 1) (12)&quot;;Extended Properties=&quot;&quot;" command="SELECT * FROM [Table001 (Page 1) (12)]"/>
  </connection>
  <connection id="5" xr16:uid="{C51BDCDC-45AD-4159-A639-A099D6AE7491}" keepAlive="1" name="Consulta - Table001 (Page 1) (13)" description="Conexão com a consulta 'Table001 (Page 1) (13)' na pasta de trabalho." type="5" refreshedVersion="8" background="1" saveData="1">
    <dbPr connection="Provider=Microsoft.Mashup.OleDb.1;Data Source=$Workbook$;Location=&quot;Table001 (Page 1) (13)&quot;;Extended Properties=&quot;&quot;" command="SELECT * FROM [Table001 (Page 1) (13)]"/>
  </connection>
  <connection id="6" xr16:uid="{C5C068AC-4B92-4711-8AE1-D707DB9B406A}" keepAlive="1" name="Consulta - Table001 (Page 1) (14)" description="Conexão com a consulta 'Table001 (Page 1) (14)' na pasta de trabalho." type="5" refreshedVersion="8" background="1" saveData="1">
    <dbPr connection="Provider=Microsoft.Mashup.OleDb.1;Data Source=$Workbook$;Location=&quot;Table001 (Page 1) (14)&quot;;Extended Properties=&quot;&quot;" command="SELECT * FROM [Table001 (Page 1) (14)]"/>
  </connection>
  <connection id="7" xr16:uid="{8C5BDDBD-B80A-4A64-BC11-DB505F6B5A11}" keepAlive="1" name="Consulta - Table001 (Page 1) (15)" description="Conexão com a consulta 'Table001 (Page 1) (15)' na pasta de trabalho." type="5" refreshedVersion="8" background="1" saveData="1">
    <dbPr connection="Provider=Microsoft.Mashup.OleDb.1;Data Source=$Workbook$;Location=&quot;Table001 (Page 1) (15)&quot;;Extended Properties=&quot;&quot;" command="SELECT * FROM [Table001 (Page 1) (15)]"/>
  </connection>
  <connection id="8" xr16:uid="{C925D4CF-74AD-46A7-B82A-877BDBFB77B1}" keepAlive="1" name="Consulta - Table001 (Page 1) (16)" description="Conexão com a consulta 'Table001 (Page 1) (16)' na pasta de trabalho." type="5" refreshedVersion="8" background="1" saveData="1">
    <dbPr connection="Provider=Microsoft.Mashup.OleDb.1;Data Source=$Workbook$;Location=&quot;Table001 (Page 1) (16)&quot;;Extended Properties=&quot;&quot;" command="SELECT * FROM [Table001 (Page 1) (16)]"/>
  </connection>
  <connection id="9" xr16:uid="{533BA8AF-472E-44E1-8CA0-0403E4270B34}" keepAlive="1" name="Consulta - Table001 (Page 1) (17)" description="Conexão com a consulta 'Table001 (Page 1) (17)' na pasta de trabalho." type="5" refreshedVersion="8" background="1" saveData="1">
    <dbPr connection="Provider=Microsoft.Mashup.OleDb.1;Data Source=$Workbook$;Location=&quot;Table001 (Page 1) (17)&quot;;Extended Properties=&quot;&quot;" command="SELECT * FROM [Table001 (Page 1) (17)]"/>
  </connection>
  <connection id="10" xr16:uid="{91698C40-6CF1-465B-A65B-D86A0024F5CC}" keepAlive="1" name="Consulta - Table001 (Page 1) (18)" description="Conexão com a consulta 'Table001 (Page 1) (18)' na pasta de trabalho." type="5" refreshedVersion="8" background="1" saveData="1">
    <dbPr connection="Provider=Microsoft.Mashup.OleDb.1;Data Source=$Workbook$;Location=&quot;Table001 (Page 1) (18)&quot;;Extended Properties=&quot;&quot;" command="SELECT * FROM [Table001 (Page 1) (18)]"/>
  </connection>
  <connection id="11" xr16:uid="{AE1D9109-CA3E-4446-930F-550C28715B28}" keepAlive="1" name="Consulta - Table001 (Page 1) (19)" description="Conexão com a consulta 'Table001 (Page 1) (19)' na pasta de trabalho." type="5" refreshedVersion="8" background="1" saveData="1">
    <dbPr connection="Provider=Microsoft.Mashup.OleDb.1;Data Source=$Workbook$;Location=&quot;Table001 (Page 1) (19)&quot;;Extended Properties=&quot;&quot;" command="SELECT * FROM [Table001 (Page 1) (19)]"/>
  </connection>
  <connection id="12" xr16:uid="{0BFCEADB-2568-451A-9E6D-CFE6EFB47CF6}" keepAlive="1" name="Consulta - Table001 (Page 1) (2)" description="Conexão com a consulta 'Table001 (Page 1) (2)' na pasta de trabalho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13" xr16:uid="{C7991929-EB2F-43B4-A281-0DF5E02ADA82}" keepAlive="1" name="Consulta - Table001 (Page 1) (20)" description="Conexão com a consulta 'Table001 (Page 1) (20)' na pasta de trabalho." type="5" refreshedVersion="8" background="1" saveData="1">
    <dbPr connection="Provider=Microsoft.Mashup.OleDb.1;Data Source=$Workbook$;Location=&quot;Table001 (Page 1) (20)&quot;;Extended Properties=&quot;&quot;" command="SELECT * FROM [Table001 (Page 1) (20)]"/>
  </connection>
  <connection id="14" xr16:uid="{D5CFD47C-FB79-4B2C-BAA0-E35FC0359E24}" keepAlive="1" name="Consulta - Table001 (Page 1) (21)" description="Conexão com a consulta 'Table001 (Page 1) (21)' na pasta de trabalho." type="5" refreshedVersion="8" background="1" saveData="1">
    <dbPr connection="Provider=Microsoft.Mashup.OleDb.1;Data Source=$Workbook$;Location=&quot;Table001 (Page 1) (21)&quot;;Extended Properties=&quot;&quot;" command="SELECT * FROM [Table001 (Page 1) (21)]"/>
  </connection>
  <connection id="15" xr16:uid="{85479550-77BF-47F1-886C-43966B7313F1}" keepAlive="1" name="Consulta - Table001 (Page 1) (22)" description="Conexão com a consulta 'Table001 (Page 1) (22)' na pasta de trabalho." type="5" refreshedVersion="8" background="1" saveData="1">
    <dbPr connection="Provider=Microsoft.Mashup.OleDb.1;Data Source=$Workbook$;Location=&quot;Table001 (Page 1) (22)&quot;;Extended Properties=&quot;&quot;" command="SELECT * FROM [Table001 (Page 1) (22)]"/>
  </connection>
  <connection id="16" xr16:uid="{4F95AAF1-9F9D-4797-BDBC-90B08679DC78}" keepAlive="1" name="Consulta - Table001 (Page 1) (23)" description="Conexão com a consulta 'Table001 (Page 1) (23)' na pasta de trabalho." type="5" refreshedVersion="8" background="1" saveData="1">
    <dbPr connection="Provider=Microsoft.Mashup.OleDb.1;Data Source=$Workbook$;Location=&quot;Table001 (Page 1) (23)&quot;;Extended Properties=&quot;&quot;" command="SELECT * FROM [Table001 (Page 1) (23)]"/>
  </connection>
  <connection id="17" xr16:uid="{B4B466A0-5387-470A-9769-1F0F7DB178FC}" keepAlive="1" name="Consulta - Table001 (Page 1) (24)" description="Conexão com a consulta 'Table001 (Page 1) (24)' na pasta de trabalho." type="5" refreshedVersion="8" background="1" saveData="1">
    <dbPr connection="Provider=Microsoft.Mashup.OleDb.1;Data Source=$Workbook$;Location=&quot;Table001 (Page 1) (24)&quot;;Extended Properties=&quot;&quot;" command="SELECT * FROM [Table001 (Page 1) (24)]"/>
  </connection>
  <connection id="18" xr16:uid="{BB359235-B2DF-471C-9A09-79C9DDF1AA03}" keepAlive="1" name="Consulta - Table001 (Page 1) (25)" description="Conexão com a consulta 'Table001 (Page 1) (25)' na pasta de trabalho." type="5" refreshedVersion="8" background="1" saveData="1">
    <dbPr connection="Provider=Microsoft.Mashup.OleDb.1;Data Source=$Workbook$;Location=&quot;Table001 (Page 1) (25)&quot;;Extended Properties=&quot;&quot;" command="SELECT * FROM [Table001 (Page 1) (25)]"/>
  </connection>
  <connection id="19" xr16:uid="{C5FD7B52-AB48-4EE0-B204-78A0C77BF364}" keepAlive="1" name="Consulta - Table001 (Page 1) (26)" description="Conexão com a consulta 'Table001 (Page 1) (26)' na pasta de trabalho." type="5" refreshedVersion="8" background="1" saveData="1">
    <dbPr connection="Provider=Microsoft.Mashup.OleDb.1;Data Source=$Workbook$;Location=&quot;Table001 (Page 1) (26)&quot;;Extended Properties=&quot;&quot;" command="SELECT * FROM [Table001 (Page 1) (26)]"/>
  </connection>
  <connection id="20" xr16:uid="{27CE7815-870C-40ED-BFB4-A285BF319DB9}" keepAlive="1" name="Consulta - Table001 (Page 1) (27)" description="Conexão com a consulta 'Table001 (Page 1) (27)' na pasta de trabalho." type="5" refreshedVersion="8" background="1" saveData="1">
    <dbPr connection="Provider=Microsoft.Mashup.OleDb.1;Data Source=$Workbook$;Location=&quot;Table001 (Page 1) (27)&quot;;Extended Properties=&quot;&quot;" command="SELECT * FROM [Table001 (Page 1) (27)]"/>
  </connection>
  <connection id="21" xr16:uid="{9E690F11-672A-4047-A945-D5CC735BE5DF}" keepAlive="1" name="Consulta - Table001 (Page 1) (28)" description="Conexão com a consulta 'Table001 (Page 1) (28)' na pasta de trabalho." type="5" refreshedVersion="8" background="1" saveData="1">
    <dbPr connection="Provider=Microsoft.Mashup.OleDb.1;Data Source=$Workbook$;Location=&quot;Table001 (Page 1) (28)&quot;;Extended Properties=&quot;&quot;" command="SELECT * FROM [Table001 (Page 1) (28)]"/>
  </connection>
  <connection id="22" xr16:uid="{5C10166F-7C39-49C7-A505-DE07BA3226EA}" keepAlive="1" name="Consulta - Table001 (Page 1) (29)" description="Conexão com a consulta 'Table001 (Page 1) (29)' na pasta de trabalho." type="5" refreshedVersion="8" background="1" saveData="1">
    <dbPr connection="Provider=Microsoft.Mashup.OleDb.1;Data Source=$Workbook$;Location=&quot;Table001 (Page 1) (29)&quot;;Extended Properties=&quot;&quot;" command="SELECT * FROM [Table001 (Page 1) (29)]"/>
  </connection>
  <connection id="23" xr16:uid="{01304886-D1FE-48A0-91AC-0618ECE2CE36}" keepAlive="1" name="Consulta - Table001 (Page 1) (3)" description="Conexão com a consulta 'Table001 (Page 1) (3)' na pasta de trabalho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24" xr16:uid="{DCB9495D-7A13-4F53-8E0E-796FC23D8235}" keepAlive="1" name="Consulta - Table001 (Page 1) (30)" description="Conexão com a consulta 'Table001 (Page 1) (30)' na pasta de trabalho." type="5" refreshedVersion="8" background="1" saveData="1">
    <dbPr connection="Provider=Microsoft.Mashup.OleDb.1;Data Source=$Workbook$;Location=&quot;Table001 (Page 1) (30)&quot;;Extended Properties=&quot;&quot;" command="SELECT * FROM [Table001 (Page 1) (30)]"/>
  </connection>
  <connection id="25" xr16:uid="{F11ED0DD-5417-49D4-9B31-75B32796958C}" keepAlive="1" name="Consulta - Table001 (Page 1) (31)" description="Conexão com a consulta 'Table001 (Page 1) (31)' na pasta de trabalho." type="5" refreshedVersion="8" background="1" saveData="1">
    <dbPr connection="Provider=Microsoft.Mashup.OleDb.1;Data Source=$Workbook$;Location=&quot;Table001 (Page 1) (31)&quot;;Extended Properties=&quot;&quot;" command="SELECT * FROM [Table001 (Page 1) (31)]"/>
  </connection>
  <connection id="26" xr16:uid="{AE16966E-BE8C-40B7-AAA5-580074B8658F}" keepAlive="1" name="Consulta - Table001 (Page 1) (32)" description="Conexão com a consulta 'Table001 (Page 1) (32)' na pasta de trabalho." type="5" refreshedVersion="8" background="1" saveData="1">
    <dbPr connection="Provider=Microsoft.Mashup.OleDb.1;Data Source=$Workbook$;Location=&quot;Table001 (Page 1) (32)&quot;;Extended Properties=&quot;&quot;" command="SELECT * FROM [Table001 (Page 1) (32)]"/>
  </connection>
  <connection id="27" xr16:uid="{D9D9B989-DFA1-45E0-B3A9-510EF35DD854}" keepAlive="1" name="Consulta - Table001 (Page 1) (33)" description="Conexão com a consulta 'Table001 (Page 1) (33)' na pasta de trabalho." type="5" refreshedVersion="8" background="1" saveData="1">
    <dbPr connection="Provider=Microsoft.Mashup.OleDb.1;Data Source=$Workbook$;Location=&quot;Table001 (Page 1) (33)&quot;;Extended Properties=&quot;&quot;" command="SELECT * FROM [Table001 (Page 1) (33)]"/>
  </connection>
  <connection id="28" xr16:uid="{93CB7A79-8521-42D9-8984-02DAE2E7523C}" keepAlive="1" name="Consulta - Table001 (Page 1) (34)" description="Conexão com a consulta 'Table001 (Page 1) (34)' na pasta de trabalho." type="5" refreshedVersion="8" background="1" saveData="1">
    <dbPr connection="Provider=Microsoft.Mashup.OleDb.1;Data Source=$Workbook$;Location=&quot;Table001 (Page 1) (34)&quot;;Extended Properties=&quot;&quot;" command="SELECT * FROM [Table001 (Page 1) (34)]"/>
  </connection>
  <connection id="29" xr16:uid="{C63D2A77-26D2-42A2-BE17-94CA3354018D}" keepAlive="1" name="Consulta - Table001 (Page 1) (35)" description="Conexão com a consulta 'Table001 (Page 1) (35)' na pasta de trabalho." type="5" refreshedVersion="8" background="1" saveData="1">
    <dbPr connection="Provider=Microsoft.Mashup.OleDb.1;Data Source=$Workbook$;Location=&quot;Table001 (Page 1) (35)&quot;;Extended Properties=&quot;&quot;" command="SELECT * FROM [Table001 (Page 1) (35)]"/>
  </connection>
  <connection id="30" xr16:uid="{90D8FF04-521E-49FF-BCE4-E5F0B4532B53}" keepAlive="1" name="Consulta - Table001 (Page 1) (36)" description="Conexão com a consulta 'Table001 (Page 1) (36)' na pasta de trabalho." type="5" refreshedVersion="8" background="1" saveData="1">
    <dbPr connection="Provider=Microsoft.Mashup.OleDb.1;Data Source=$Workbook$;Location=&quot;Table001 (Page 1) (36)&quot;;Extended Properties=&quot;&quot;" command="SELECT * FROM [Table001 (Page 1) (36)]"/>
  </connection>
  <connection id="31" xr16:uid="{2825DAC1-7AE3-4BCF-9601-CA25CF52B6C1}" keepAlive="1" name="Consulta - Table001 (Page 1) (37)" description="Conexão com a consulta 'Table001 (Page 1) (37)' na pasta de trabalho." type="5" refreshedVersion="8" background="1" saveData="1">
    <dbPr connection="Provider=Microsoft.Mashup.OleDb.1;Data Source=$Workbook$;Location=&quot;Table001 (Page 1) (37)&quot;;Extended Properties=&quot;&quot;" command="SELECT * FROM [Table001 (Page 1) (37)]"/>
  </connection>
  <connection id="32" xr16:uid="{71847BBB-4900-4D61-B3E0-CEC3D9A78583}" keepAlive="1" name="Consulta - Table001 (Page 1) (38)" description="Conexão com a consulta 'Table001 (Page 1) (38)' na pasta de trabalho." type="5" refreshedVersion="8" background="1" saveData="1">
    <dbPr connection="Provider=Microsoft.Mashup.OleDb.1;Data Source=$Workbook$;Location=&quot;Table001 (Page 1) (38)&quot;;Extended Properties=&quot;&quot;" command="SELECT * FROM [Table001 (Page 1) (38)]"/>
  </connection>
  <connection id="33" xr16:uid="{A64C4924-4307-478E-90B3-51D47281108B}" keepAlive="1" name="Consulta - Table001 (Page 1) (39)" description="Conexão com a consulta 'Table001 (Page 1) (39)' na pasta de trabalho." type="5" refreshedVersion="8" background="1" saveData="1">
    <dbPr connection="Provider=Microsoft.Mashup.OleDb.1;Data Source=$Workbook$;Location=&quot;Table001 (Page 1) (39)&quot;;Extended Properties=&quot;&quot;" command="SELECT * FROM [Table001 (Page 1) (39)]"/>
  </connection>
  <connection id="34" xr16:uid="{F6C80A1E-2964-4BCE-9A70-85020F5882D4}" keepAlive="1" name="Consulta - Table001 (Page 1) (4)" description="Conexão com a consulta 'Table001 (Page 1) (4)' na pasta de trabalho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35" xr16:uid="{CBD9B118-54AE-4974-9D17-E41CDEE53CDE}" keepAlive="1" name="Consulta - Table001 (Page 1) (40)" description="Conexão com a consulta 'Table001 (Page 1) (40)' na pasta de trabalho." type="5" refreshedVersion="8" background="1" saveData="1">
    <dbPr connection="Provider=Microsoft.Mashup.OleDb.1;Data Source=$Workbook$;Location=&quot;Table001 (Page 1) (40)&quot;;Extended Properties=&quot;&quot;" command="SELECT * FROM [Table001 (Page 1) (40)]"/>
  </connection>
  <connection id="36" xr16:uid="{7277011A-288D-4E76-9EAA-B1FEBBC31F00}" keepAlive="1" name="Consulta - Table001 (Page 1) (41)" description="Conexão com a consulta 'Table001 (Page 1) (41)' na pasta de trabalho." type="5" refreshedVersion="8" background="1" saveData="1">
    <dbPr connection="Provider=Microsoft.Mashup.OleDb.1;Data Source=$Workbook$;Location=&quot;Table001 (Page 1) (41)&quot;;Extended Properties=&quot;&quot;" command="SELECT * FROM [Table001 (Page 1) (41)]"/>
  </connection>
  <connection id="37" xr16:uid="{61037C7B-71E3-470E-B633-F7DE29B6A9F8}" keepAlive="1" name="Consulta - Table001 (Page 1) (42)" description="Conexão com a consulta 'Table001 (Page 1) (42)' na pasta de trabalho." type="5" refreshedVersion="8" background="1" saveData="1">
    <dbPr connection="Provider=Microsoft.Mashup.OleDb.1;Data Source=$Workbook$;Location=&quot;Table001 (Page 1) (42)&quot;;Extended Properties=&quot;&quot;" command="SELECT * FROM [Table001 (Page 1) (42)]"/>
  </connection>
  <connection id="38" xr16:uid="{68C3F9AC-9F77-439B-8090-8E15B616E6AD}" keepAlive="1" name="Consulta - Table001 (Page 1) (43)" description="Conexão com a consulta 'Table001 (Page 1) (43)' na pasta de trabalho." type="5" refreshedVersion="8" background="1" saveData="1">
    <dbPr connection="Provider=Microsoft.Mashup.OleDb.1;Data Source=$Workbook$;Location=&quot;Table001 (Page 1) (43)&quot;;Extended Properties=&quot;&quot;" command="SELECT * FROM [Table001 (Page 1) (43)]"/>
  </connection>
  <connection id="39" xr16:uid="{9B7067E4-580C-4927-893E-A1590F5A06C9}" keepAlive="1" name="Consulta - Table001 (Page 1) (44)" description="Conexão com a consulta 'Table001 (Page 1) (44)' na pasta de trabalho." type="5" refreshedVersion="8" background="1" saveData="1">
    <dbPr connection="Provider=Microsoft.Mashup.OleDb.1;Data Source=$Workbook$;Location=&quot;Table001 (Page 1) (44)&quot;;Extended Properties=&quot;&quot;" command="SELECT * FROM [Table001 (Page 1) (44)]"/>
  </connection>
  <connection id="40" xr16:uid="{183F1913-FDF1-4D22-BC76-57A394A896B0}" keepAlive="1" name="Consulta - Table001 (Page 1) (45)" description="Conexão com a consulta 'Table001 (Page 1) (45)' na pasta de trabalho." type="5" refreshedVersion="8" background="1" saveData="1">
    <dbPr connection="Provider=Microsoft.Mashup.OleDb.1;Data Source=$Workbook$;Location=&quot;Table001 (Page 1) (45)&quot;;Extended Properties=&quot;&quot;" command="SELECT * FROM [Table001 (Page 1) (45)]"/>
  </connection>
  <connection id="41" xr16:uid="{26EE8E9A-5EB0-46F7-BC66-3E04DADB604D}" keepAlive="1" name="Consulta - Table001 (Page 1) (46)" description="Conexão com a consulta 'Table001 (Page 1) (46)' na pasta de trabalho." type="5" refreshedVersion="8" background="1" saveData="1">
    <dbPr connection="Provider=Microsoft.Mashup.OleDb.1;Data Source=$Workbook$;Location=&quot;Table001 (Page 1) (46)&quot;;Extended Properties=&quot;&quot;" command="SELECT * FROM [Table001 (Page 1) (46)]"/>
  </connection>
  <connection id="42" xr16:uid="{7C00C6D1-29F8-4AE2-B1FB-D09AC1BF2ABF}" keepAlive="1" name="Consulta - Table001 (Page 1) (47)" description="Conexão com a consulta 'Table001 (Page 1) (47)' na pasta de trabalho." type="5" refreshedVersion="8" background="1" saveData="1">
    <dbPr connection="Provider=Microsoft.Mashup.OleDb.1;Data Source=$Workbook$;Location=&quot;Table001 (Page 1) (47)&quot;;Extended Properties=&quot;&quot;" command="SELECT * FROM [Table001 (Page 1) (47)]"/>
  </connection>
  <connection id="43" xr16:uid="{89EE5A48-C3C5-4D59-9D04-99679211425C}" keepAlive="1" name="Consulta - Table001 (Page 1) (48)" description="Conexão com a consulta 'Table001 (Page 1) (48)' na pasta de trabalho." type="5" refreshedVersion="8" background="1" saveData="1">
    <dbPr connection="Provider=Microsoft.Mashup.OleDb.1;Data Source=$Workbook$;Location=&quot;Table001 (Page 1) (48)&quot;;Extended Properties=&quot;&quot;" command="SELECT * FROM [Table001 (Page 1) (48)]"/>
  </connection>
  <connection id="44" xr16:uid="{5943766F-6BC5-4CFD-858A-2FD2C8DAE5D8}" keepAlive="1" name="Consulta - Table001 (Page 1) (49)" description="Conexão com a consulta 'Table001 (Page 1) (49)' na pasta de trabalho." type="5" refreshedVersion="8" background="1" saveData="1">
    <dbPr connection="Provider=Microsoft.Mashup.OleDb.1;Data Source=$Workbook$;Location=&quot;Table001 (Page 1) (49)&quot;;Extended Properties=&quot;&quot;" command="SELECT * FROM [Table001 (Page 1) (49)]"/>
  </connection>
  <connection id="45" xr16:uid="{7D848E18-8380-4BBB-8C57-7E55AA46B019}" keepAlive="1" name="Consulta - Table001 (Page 1) (5)" description="Conexão com a consulta 'Table001 (Page 1) (5)' na pasta de trabalho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46" xr16:uid="{D66406FE-3D55-4BE1-996C-7B53D4CEBE4B}" keepAlive="1" name="Consulta - Table001 (Page 1) (50)" description="Conexão com a consulta 'Table001 (Page 1) (50)' na pasta de trabalho." type="5" refreshedVersion="8" background="1" saveData="1">
    <dbPr connection="Provider=Microsoft.Mashup.OleDb.1;Data Source=$Workbook$;Location=&quot;Table001 (Page 1) (50)&quot;;Extended Properties=&quot;&quot;" command="SELECT * FROM [Table001 (Page 1) (50)]"/>
  </connection>
  <connection id="47" xr16:uid="{4F63F3AB-4E17-46E9-8967-BD930A23E042}" keepAlive="1" name="Consulta - Table001 (Page 1) (51)" description="Conexão com a consulta 'Table001 (Page 1) (51)' na pasta de trabalho." type="5" refreshedVersion="8" background="1" saveData="1">
    <dbPr connection="Provider=Microsoft.Mashup.OleDb.1;Data Source=$Workbook$;Location=&quot;Table001 (Page 1) (51)&quot;;Extended Properties=&quot;&quot;" command="SELECT * FROM [Table001 (Page 1) (51)]"/>
  </connection>
  <connection id="48" xr16:uid="{407FA545-4F71-46E1-8D94-EC01A51DF495}" keepAlive="1" name="Consulta - Table001 (Page 1) (52)" description="Conexão com a consulta 'Table001 (Page 1) (52)' na pasta de trabalho." type="5" refreshedVersion="8" background="1" saveData="1">
    <dbPr connection="Provider=Microsoft.Mashup.OleDb.1;Data Source=$Workbook$;Location=&quot;Table001 (Page 1) (52)&quot;;Extended Properties=&quot;&quot;" command="SELECT * FROM [Table001 (Page 1) (52)]"/>
  </connection>
  <connection id="49" xr16:uid="{D82A03F3-6C0F-4CF7-9C76-5F5D386136F5}" keepAlive="1" name="Consulta - Table001 (Page 1) (53)" description="Conexão com a consulta 'Table001 (Page 1) (53)' na pasta de trabalho." type="5" refreshedVersion="8" background="1" saveData="1">
    <dbPr connection="Provider=Microsoft.Mashup.OleDb.1;Data Source=$Workbook$;Location=&quot;Table001 (Page 1) (53)&quot;;Extended Properties=&quot;&quot;" command="SELECT * FROM [Table001 (Page 1) (53)]"/>
  </connection>
  <connection id="50" xr16:uid="{79F1B85C-BAF1-49AE-9C5B-6DE9DC583F56}" keepAlive="1" name="Consulta - Table001 (Page 1) (6)" description="Conexão com a consulta 'Table001 (Page 1) (6)' na pasta de trabalho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51" xr16:uid="{DDF3DE84-3E7F-4DCB-9542-1C3264610519}" keepAlive="1" name="Consulta - Table001 (Page 1) (7)" description="Conexão com a consulta 'Table001 (Page 1) (7)' na pasta de trabalho." type="5" refreshedVersion="8" background="1" saveData="1">
    <dbPr connection="Provider=Microsoft.Mashup.OleDb.1;Data Source=$Workbook$;Location=&quot;Table001 (Page 1) (7)&quot;;Extended Properties=&quot;&quot;" command="SELECT * FROM [Table001 (Page 1) (7)]"/>
  </connection>
  <connection id="52" xr16:uid="{8F25D63A-0A8F-457D-90ED-B7CC5EC3B1CD}" keepAlive="1" name="Consulta - Table001 (Page 1) (8)" description="Conexão com a consulta 'Table001 (Page 1) (8)' na pasta de trabalho." type="5" refreshedVersion="8" background="1" saveData="1">
    <dbPr connection="Provider=Microsoft.Mashup.OleDb.1;Data Source=$Workbook$;Location=&quot;Table001 (Page 1) (8)&quot;;Extended Properties=&quot;&quot;" command="SELECT * FROM [Table001 (Page 1) (8)]"/>
  </connection>
  <connection id="53" xr16:uid="{98016D42-6873-42A2-8F71-FD3C1ABF19A4}" keepAlive="1" name="Consulta - Table001 (Page 1) (9)" description="Conexão com a consulta 'Table001 (Page 1) (9)' na pasta de trabalho." type="5" refreshedVersion="8" background="1" saveData="1">
    <dbPr connection="Provider=Microsoft.Mashup.OleDb.1;Data Source=$Workbook$;Location=&quot;Table001 (Page 1) (9)&quot;;Extended Properties=&quot;&quot;" command="SELECT * FROM [Table001 (Page 1) (9)]"/>
  </connection>
  <connection id="54" xr16:uid="{442C781D-702B-48C0-BD42-4DC64A14BD14}" keepAlive="1" name="Consulta - Table001 (Page 1-2)" description="Conexão com a consulta 'Table001 (Page 1-2)' na pasta de trabalho." type="5" refreshedVersion="8" background="1" saveData="1">
    <dbPr connection="Provider=Microsoft.Mashup.OleDb.1;Data Source=$Workbook$;Location=&quot;Table001 (Page 1-2)&quot;;Extended Properties=&quot;&quot;" command="SELECT * FROM [Table001 (Page 1-2)]"/>
  </connection>
  <connection id="55" xr16:uid="{0C5722EF-91E1-4222-B12D-69E7D1598782}" keepAlive="1" name="Consulta - Table001 (Page 1-2) (10)" description="Conexão com a consulta 'Table001 (Page 1-2) (10)' na pasta de trabalho." type="5" refreshedVersion="8" background="1" saveData="1">
    <dbPr connection="Provider=Microsoft.Mashup.OleDb.1;Data Source=$Workbook$;Location=&quot;Table001 (Page 1-2) (10)&quot;;Extended Properties=&quot;&quot;" command="SELECT * FROM [Table001 (Page 1-2) (10)]"/>
  </connection>
  <connection id="56" xr16:uid="{F8A348A6-7347-48FC-9F38-F63A8710BDB3}" keepAlive="1" name="Consulta - Table001 (Page 1-2) (2)" description="Conexão com a consulta 'Table001 (Page 1-2) (2)' na pasta de trabalho." type="5" refreshedVersion="8" background="1" saveData="1">
    <dbPr connection="Provider=Microsoft.Mashup.OleDb.1;Data Source=$Workbook$;Location=&quot;Table001 (Page 1-2) (2)&quot;;Extended Properties=&quot;&quot;" command="SELECT * FROM [Table001 (Page 1-2) (2)]"/>
  </connection>
  <connection id="57" xr16:uid="{E7EEB180-2925-43ED-B67F-E75CEAB1CE34}" keepAlive="1" name="Consulta - Table001 (Page 1-2) (3)" description="Conexão com a consulta 'Table001 (Page 1-2) (3)' na pasta de trabalho." type="5" refreshedVersion="8" background="1" saveData="1">
    <dbPr connection="Provider=Microsoft.Mashup.OleDb.1;Data Source=$Workbook$;Location=&quot;Table001 (Page 1-2) (3)&quot;;Extended Properties=&quot;&quot;" command="SELECT * FROM [Table001 (Page 1-2) (3)]"/>
  </connection>
  <connection id="58" xr16:uid="{A2F68E5C-9EF6-4DFA-8EB4-DD49B4AEB34E}" keepAlive="1" name="Consulta - Table001 (Page 1-2) (4)" description="Conexão com a consulta 'Table001 (Page 1-2) (4)' na pasta de trabalho." type="5" refreshedVersion="8" background="1" saveData="1">
    <dbPr connection="Provider=Microsoft.Mashup.OleDb.1;Data Source=$Workbook$;Location=&quot;Table001 (Page 1-2) (4)&quot;;Extended Properties=&quot;&quot;" command="SELECT * FROM [Table001 (Page 1-2) (4)]"/>
  </connection>
  <connection id="59" xr16:uid="{F98EE6F0-AD1B-480F-95EB-6231E7F559F6}" keepAlive="1" name="Consulta - Table001 (Page 1-2) (5)" description="Conexão com a consulta 'Table001 (Page 1-2) (5)' na pasta de trabalho." type="5" refreshedVersion="8" background="1" saveData="1">
    <dbPr connection="Provider=Microsoft.Mashup.OleDb.1;Data Source=$Workbook$;Location=&quot;Table001 (Page 1-2) (5)&quot;;Extended Properties=&quot;&quot;" command="SELECT * FROM [Table001 (Page 1-2) (5)]"/>
  </connection>
  <connection id="60" xr16:uid="{82AA7933-2DE5-45BD-B167-B5E015CBDF2A}" keepAlive="1" name="Consulta - Table001 (Page 1-2) (6)" description="Conexão com a consulta 'Table001 (Page 1-2) (6)' na pasta de trabalho." type="5" refreshedVersion="8" background="1" saveData="1">
    <dbPr connection="Provider=Microsoft.Mashup.OleDb.1;Data Source=$Workbook$;Location=&quot;Table001 (Page 1-2) (6)&quot;;Extended Properties=&quot;&quot;" command="SELECT * FROM [Table001 (Page 1-2) (6)]"/>
  </connection>
  <connection id="61" xr16:uid="{CB138BA3-5F5E-4434-9A7B-986594B55A33}" keepAlive="1" name="Consulta - Table001 (Page 1-2) (7)" description="Conexão com a consulta 'Table001 (Page 1-2) (7)' na pasta de trabalho." type="5" refreshedVersion="8" background="1" saveData="1">
    <dbPr connection="Provider=Microsoft.Mashup.OleDb.1;Data Source=$Workbook$;Location=&quot;Table001 (Page 1-2) (7)&quot;;Extended Properties=&quot;&quot;" command="SELECT * FROM [Table001 (Page 1-2) (7)]"/>
  </connection>
  <connection id="62" xr16:uid="{A6247419-D48A-440E-AE41-27430C8F7ECD}" keepAlive="1" name="Consulta - Table001 (Page 1-2) (8)" description="Conexão com a consulta 'Table001 (Page 1-2) (8)' na pasta de trabalho." type="5" refreshedVersion="8" background="1" saveData="1">
    <dbPr connection="Provider=Microsoft.Mashup.OleDb.1;Data Source=$Workbook$;Location=&quot;Table001 (Page 1-2) (8)&quot;;Extended Properties=&quot;&quot;" command="SELECT * FROM [Table001 (Page 1-2) (8)]"/>
  </connection>
  <connection id="63" xr16:uid="{07F6E5F4-E198-4FC3-88EF-9EEAC22B7DEF}" keepAlive="1" name="Consulta - Table001 (Page 1-2) (9)" description="Conexão com a consulta 'Table001 (Page 1-2) (9)' na pasta de trabalho." type="5" refreshedVersion="8" background="1" saveData="1">
    <dbPr connection="Provider=Microsoft.Mashup.OleDb.1;Data Source=$Workbook$;Location=&quot;Table001 (Page 1-2) (9)&quot;;Extended Properties=&quot;&quot;" command="SELECT * FROM [Table001 (Page 1-2)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<sst xmlns="http://schemas.openxmlformats.org/spreadsheetml/2006/main" count="3679" uniqueCount="224">
  <si>
    <t>REDES / FILIAIS</t>
  </si>
  <si>
    <t>MOTORISTA</t>
  </si>
  <si>
    <t>PLACA</t>
  </si>
  <si>
    <t>SAIDA CD</t>
  </si>
  <si>
    <t>SAIDA LOJA</t>
  </si>
  <si>
    <r>
      <t xml:space="preserve">RELATÓRIO KPI - Guanabara
</t>
    </r>
    <r>
      <rPr>
        <b/>
        <sz val="20"/>
        <color theme="0"/>
        <rFont val="Arial"/>
        <family val="2"/>
      </rPr>
      <t>BENASSI</t>
    </r>
  </si>
  <si>
    <t>GUANABARA 1º CARRO</t>
  </si>
  <si>
    <t>GUANABARA 2º CARRO</t>
  </si>
  <si>
    <t>Gb - Eng. De Dentro - Filial 1</t>
  </si>
  <si>
    <t>Gb Penha - Filial 2</t>
  </si>
  <si>
    <t>Gb Piedade - Filial 3</t>
  </si>
  <si>
    <t>Gb Realengo - Filial 4</t>
  </si>
  <si>
    <t>Gb Bangu - Filial 5</t>
  </si>
  <si>
    <t>Gb Itaguai - Filial 6</t>
  </si>
  <si>
    <t>Gb Barra - Filial 7</t>
  </si>
  <si>
    <t>Gb Niterói - Filial 8</t>
  </si>
  <si>
    <t>Gb Irajá - Filial 9</t>
  </si>
  <si>
    <t>Gb Vila Isabel - Filial 10</t>
  </si>
  <si>
    <t>Gb Campo Grande - Filial 11</t>
  </si>
  <si>
    <t>Gb São Gonçalo - Filial 12</t>
  </si>
  <si>
    <t>Gb Rio Da Prata - Filial 13</t>
  </si>
  <si>
    <t>Gb Padre Miguel - Filial 14</t>
  </si>
  <si>
    <t>Gb Bento Ribeiro - Filial 15</t>
  </si>
  <si>
    <t>Gb Nova Iguaçu - Filial 16</t>
  </si>
  <si>
    <t>Gb Campinho - Filial 17</t>
  </si>
  <si>
    <t>Gb Caxias - Filial 18</t>
  </si>
  <si>
    <t>Gb Tanque - Filial 19</t>
  </si>
  <si>
    <t>Gb Paciência - Filial 20</t>
  </si>
  <si>
    <t>Gb Del Castilho - Filial 23</t>
  </si>
  <si>
    <t>Gb Tijuca - Filial 25</t>
  </si>
  <si>
    <t>Gb Campo Grande - Filial 26</t>
  </si>
  <si>
    <t>Gb Recreio - Filial 27</t>
  </si>
  <si>
    <t>Gb Santa Cruz - Filial 28</t>
  </si>
  <si>
    <t>Gb São João - Filial 29</t>
  </si>
  <si>
    <t>Gb Bonsucesso - Filial 30</t>
  </si>
  <si>
    <t>Gb Catonho - Filial 31</t>
  </si>
  <si>
    <t>COD</t>
  </si>
  <si>
    <t>CHD LOJA</t>
  </si>
  <si>
    <t>TEMPO EM LOJA 1</t>
  </si>
  <si>
    <t>TEMPO EM LOJA 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</si>
  <si>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</si>
  <si>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</si>
  <si>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</si>
  <si>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</si>
  <si>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</si>
  <si>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</si>
  <si>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</si>
  <si>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</si>
  <si>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</si>
  <si>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</si>
  <si>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(HLOG)</t>
  </si>
  <si>
    <t>ESCALA GUANABARA</t>
  </si>
  <si>
    <t>QTD.CARROS</t>
  </si>
  <si>
    <t>1° CARRO</t>
  </si>
  <si>
    <t>CÓDIGO</t>
  </si>
  <si>
    <t>CARRO</t>
  </si>
  <si>
    <t>2° CARRO</t>
  </si>
  <si>
    <t>1</t>
  </si>
  <si>
    <t>2</t>
  </si>
  <si>
    <t>RONALDO</t>
  </si>
  <si>
    <t>35</t>
  </si>
  <si>
    <t>KSG 5412</t>
  </si>
  <si>
    <t>TRUCK</t>
  </si>
  <si>
    <t>JOSE NILDON (DOCA)</t>
  </si>
  <si>
    <t>753</t>
  </si>
  <si>
    <t>KVG 7A00</t>
  </si>
  <si>
    <t>P.CESAR</t>
  </si>
  <si>
    <t>210</t>
  </si>
  <si>
    <t>LFK-2C56</t>
  </si>
  <si>
    <t>3</t>
  </si>
  <si>
    <t>RAFAEL</t>
  </si>
  <si>
    <t>184497</t>
  </si>
  <si>
    <t>KNI-8988</t>
  </si>
  <si>
    <t/>
  </si>
  <si>
    <t>4</t>
  </si>
  <si>
    <t>MARCOS</t>
  </si>
  <si>
    <t>315</t>
  </si>
  <si>
    <t>LBL-5907</t>
  </si>
  <si>
    <t>TOCO</t>
  </si>
  <si>
    <t>5</t>
  </si>
  <si>
    <t>180</t>
  </si>
  <si>
    <t>KSP-8814</t>
  </si>
  <si>
    <t>MOBRICI</t>
  </si>
  <si>
    <t>740</t>
  </si>
  <si>
    <t>AOP 3C73</t>
  </si>
  <si>
    <t>6</t>
  </si>
  <si>
    <t>CLAUDECI/TICO</t>
  </si>
  <si>
    <t>813</t>
  </si>
  <si>
    <t>LGX-1J41</t>
  </si>
  <si>
    <t>7</t>
  </si>
  <si>
    <t>MOISES</t>
  </si>
  <si>
    <t>294</t>
  </si>
  <si>
    <t>GBC 6E12</t>
  </si>
  <si>
    <t>ANDERSON</t>
  </si>
  <si>
    <t>364</t>
  </si>
  <si>
    <t>KST 0246</t>
  </si>
  <si>
    <t>8</t>
  </si>
  <si>
    <t>CELSO</t>
  </si>
  <si>
    <t>553</t>
  </si>
  <si>
    <t>KTR 0546</t>
  </si>
  <si>
    <t>JONAS/BETO</t>
  </si>
  <si>
    <t>677</t>
  </si>
  <si>
    <t>9</t>
  </si>
  <si>
    <t>JULIO CESAR</t>
  </si>
  <si>
    <t>184610</t>
  </si>
  <si>
    <t>LIF-3965</t>
  </si>
  <si>
    <t>10</t>
  </si>
  <si>
    <t>ROBERTO</t>
  </si>
  <si>
    <t>277</t>
  </si>
  <si>
    <t>MOZ 2965</t>
  </si>
  <si>
    <t>MARCIO/OLIMPO</t>
  </si>
  <si>
    <t>684</t>
  </si>
  <si>
    <t>GUE 0D63</t>
  </si>
  <si>
    <t>11</t>
  </si>
  <si>
    <t>ARTHUR</t>
  </si>
  <si>
    <t>184129</t>
  </si>
  <si>
    <t>KNI-8942</t>
  </si>
  <si>
    <t>12</t>
  </si>
  <si>
    <t>VAGNER</t>
  </si>
  <si>
    <t>FTV 6F42</t>
  </si>
  <si>
    <t>JOSE DAVISON</t>
  </si>
  <si>
    <t>FSE 2J12</t>
  </si>
  <si>
    <t>13</t>
  </si>
  <si>
    <t>CLEBER</t>
  </si>
  <si>
    <t>76</t>
  </si>
  <si>
    <t>KRA-1083</t>
  </si>
  <si>
    <t>14</t>
  </si>
  <si>
    <t>ALOISIO/RAFAEL</t>
  </si>
  <si>
    <t>440</t>
  </si>
  <si>
    <t>LFA-4744</t>
  </si>
  <si>
    <t>15</t>
  </si>
  <si>
    <t>WILLIAM/JUNIOR</t>
  </si>
  <si>
    <t>LBB 5205</t>
  </si>
  <si>
    <t>16</t>
  </si>
  <si>
    <t>HENRIQUE</t>
  </si>
  <si>
    <t>212</t>
  </si>
  <si>
    <t>KNB 0752</t>
  </si>
  <si>
    <t>17</t>
  </si>
  <si>
    <t>LUCIANO</t>
  </si>
  <si>
    <t>823</t>
  </si>
  <si>
    <t>DBB-9084</t>
  </si>
  <si>
    <t>DBB-9A78</t>
  </si>
  <si>
    <t>18</t>
  </si>
  <si>
    <t>ELSON</t>
  </si>
  <si>
    <t>367</t>
  </si>
  <si>
    <t>GVH-1397</t>
  </si>
  <si>
    <t>19</t>
  </si>
  <si>
    <t>LIRA</t>
  </si>
  <si>
    <t>86</t>
  </si>
  <si>
    <t>LIA 7683</t>
  </si>
  <si>
    <t>20</t>
  </si>
  <si>
    <t>LUAN</t>
  </si>
  <si>
    <t>104</t>
  </si>
  <si>
    <t>LHE 3473</t>
  </si>
  <si>
    <t>23</t>
  </si>
  <si>
    <t>ANTONIO</t>
  </si>
  <si>
    <t>KTP-4F70</t>
  </si>
  <si>
    <t>25</t>
  </si>
  <si>
    <t>GUTEMBERG</t>
  </si>
  <si>
    <t>184599</t>
  </si>
  <si>
    <t>CBR 9452</t>
  </si>
  <si>
    <t>LEONARDO</t>
  </si>
  <si>
    <t>LFG 0737</t>
  </si>
  <si>
    <t>26</t>
  </si>
  <si>
    <t>MAURICIO</t>
  </si>
  <si>
    <t>CDM-8645</t>
  </si>
  <si>
    <t>THIAGO</t>
  </si>
  <si>
    <t>801</t>
  </si>
  <si>
    <t>KUM 9J05</t>
  </si>
  <si>
    <t>27</t>
  </si>
  <si>
    <t>DANIEL QUIRINO</t>
  </si>
  <si>
    <t>GEB 9H31</t>
  </si>
  <si>
    <t>JHONATAN</t>
  </si>
  <si>
    <t>829</t>
  </si>
  <si>
    <t>KPE 3776</t>
  </si>
  <si>
    <t>28</t>
  </si>
  <si>
    <t>ERIBERTO</t>
  </si>
  <si>
    <t>KTR 6724</t>
  </si>
  <si>
    <t>29</t>
  </si>
  <si>
    <t>HENRIQUE /SONIA</t>
  </si>
  <si>
    <t>KTZ-2055</t>
  </si>
  <si>
    <t>30</t>
  </si>
  <si>
    <t>DANIEL</t>
  </si>
  <si>
    <t>GVH-0163</t>
  </si>
  <si>
    <t>LFJ 8442</t>
  </si>
  <si>
    <t>31</t>
  </si>
  <si>
    <t>RICARDO/JUNIOR</t>
  </si>
  <si>
    <t>LGT 1200</t>
  </si>
  <si>
    <t>TOTAL</t>
  </si>
  <si>
    <t>SEM</t>
  </si>
  <si>
    <t>RASTREADOR</t>
  </si>
  <si>
    <t>WILLIAM OLIVEIRA</t>
  </si>
  <si>
    <t>EVU 7571</t>
  </si>
  <si>
    <t>ADILSON/SONIA</t>
  </si>
  <si>
    <t>LFI 1467</t>
  </si>
  <si>
    <t>NÃO</t>
  </si>
  <si>
    <t>FEZ</t>
  </si>
  <si>
    <t>2º VIAGEM</t>
  </si>
  <si>
    <t>WILLIAM /JUNIOR</t>
  </si>
  <si>
    <t>LUIZ JR</t>
  </si>
  <si>
    <t>91</t>
  </si>
  <si>
    <t>LKF 7A79</t>
  </si>
  <si>
    <t>MILTON</t>
  </si>
  <si>
    <t>752</t>
  </si>
  <si>
    <t>EAC 4365</t>
  </si>
  <si>
    <t>RICARDO /JUNIOR</t>
  </si>
  <si>
    <t>AKZ-2745</t>
  </si>
  <si>
    <t>FOI  AO</t>
  </si>
  <si>
    <t>CLIENTE</t>
  </si>
  <si>
    <t>,</t>
  </si>
  <si>
    <t>AOP-3C73</t>
  </si>
  <si>
    <t>FTV-6F42</t>
  </si>
  <si>
    <t>FSE2J12</t>
  </si>
  <si>
    <t>JONESON</t>
  </si>
  <si>
    <t>184461</t>
  </si>
  <si>
    <t>EBG 2D13</t>
  </si>
  <si>
    <t>FSE-2J12</t>
  </si>
  <si>
    <t>LKF-7079</t>
  </si>
  <si>
    <t xml:space="preserve">SEM </t>
  </si>
  <si>
    <t>FSE</t>
  </si>
  <si>
    <t>FTV</t>
  </si>
  <si>
    <t>20/05/2026</t>
  </si>
  <si>
    <t>(QUINTA-FEIRA)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</si>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</sst>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14"/>
      <color theme="0"/>
      <name val="Arial"/>
      <family val="2"/>
    </font>
    <font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6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12" fillId="2" borderId="1" applyNumberFormat="0" applyFont="0" applyAlignment="0" applyProtection="0"/>
  </cellStyleXfs>
  <cellXfs count="22">
    <xf numFmtId="0" fontId="0" fillId="0" borderId="0" xfId="0" applyAlignment="1">
      <alignment horizontal="left" vertical="top"/>
    </xf>
    <xf numFmtId="0" fontId="1" fillId="0" borderId="0" xfId="2"/>
    <xf numFmtId="0" fontId="9" fillId="0" borderId="0" xfId="3" applyFont="1" applyAlignment="1">
      <alignment horizontal="center"/>
    </xf>
    <xf numFmtId="0" fontId="11" fillId="0" borderId="0" xfId="2" applyFont="1"/>
    <xf numFmtId="0" fontId="3" fillId="3" borderId="0" xfId="1" applyFont="1" applyFill="1" applyAlignment="1">
      <alignment horizontal="centerContinuous" vertical="center" wrapText="1"/>
    </xf>
    <xf numFmtId="0" fontId="3" fillId="3" borderId="0" xfId="1" applyFont="1" applyFill="1" applyAlignment="1">
      <alignment horizontal="centerContinuous" vertical="center"/>
    </xf>
    <xf numFmtId="0" fontId="5" fillId="3" borderId="0" xfId="1" applyFont="1" applyFill="1" applyAlignment="1">
      <alignment horizontal="centerContinuous" vertical="center"/>
    </xf>
    <xf numFmtId="164" fontId="6" fillId="3" borderId="0" xfId="1" applyNumberFormat="1" applyFont="1" applyFill="1" applyAlignment="1">
      <alignment horizontal="centerContinuous" vertical="center"/>
    </xf>
    <xf numFmtId="0" fontId="6" fillId="3" borderId="0" xfId="1" applyFont="1" applyFill="1" applyAlignment="1">
      <alignment horizontal="centerContinuous" vertical="center"/>
    </xf>
    <xf numFmtId="0" fontId="7" fillId="3" borderId="0" xfId="1" applyFont="1" applyFill="1" applyAlignment="1">
      <alignment horizontal="centerContinuous"/>
    </xf>
    <xf numFmtId="0" fontId="1" fillId="3" borderId="0" xfId="2" applyFill="1" applyAlignment="1">
      <alignment horizontal="centerContinuous"/>
    </xf>
    <xf numFmtId="0" fontId="13" fillId="3" borderId="2" xfId="3" applyFont="1" applyFill="1" applyBorder="1" applyAlignment="1">
      <alignment horizontal="center" vertical="center"/>
    </xf>
    <xf numFmtId="164" fontId="13" fillId="3" borderId="2" xfId="3" applyNumberFormat="1" applyFont="1" applyFill="1" applyBorder="1" applyAlignment="1">
      <alignment horizontal="center" vertical="center"/>
    </xf>
    <xf numFmtId="165" fontId="9" fillId="2" borderId="3" xfId="4" applyNumberFormat="1" applyFont="1" applyBorder="1" applyAlignment="1">
      <alignment horizontal="center" vertical="center"/>
    </xf>
    <xf numFmtId="0" fontId="1" fillId="3" borderId="0" xfId="2" applyFill="1"/>
    <xf numFmtId="0" fontId="10" fillId="3" borderId="0" xfId="3" applyFont="1" applyFill="1" applyAlignment="1" applyProtection="1">
      <alignment horizontal="centerContinuous" vertical="center"/>
      <protection locked="0"/>
    </xf>
    <xf numFmtId="0" fontId="11" fillId="3" borderId="0" xfId="2" applyFont="1" applyFill="1"/>
    <xf numFmtId="165" fontId="9" fillId="2" borderId="3" xfId="4" applyNumberFormat="1" applyFont="1" applyBorder="1" applyAlignment="1">
      <alignment horizontal="left" vertical="center"/>
    </xf>
    <xf numFmtId="49" fontId="9" fillId="2" borderId="3" xfId="4" applyNumberFormat="1" applyFont="1" applyBorder="1" applyAlignment="1">
      <alignment horizontal="center" vertical="center"/>
    </xf>
    <xf numFmtId="0" fontId="10" fillId="3" borderId="0" xfId="3" applyFont="1" applyFill="1" applyAlignment="1" applyProtection="1">
      <alignment horizontal="center" vertical="center"/>
      <protection locked="0"/>
    </xf>
    <xf numFmtId="20" fontId="8" fillId="0" borderId="0" xfId="3" applyNumberFormat="1" applyFont="1" applyAlignment="1">
      <alignment horizontal="center" vertical="center"/>
    </xf>
    <xf numFmtId="0" fontId="0" fillId="0" borderId="0" xfId="0" applyNumberFormat="1" applyAlignment="1">
      <alignment horizontal="left" vertical="top"/>
    </xf>
  </cellXfs>
  <cellStyles count="5">
    <cellStyle name="Normal" xfId="0" builtinId="0"/>
    <cellStyle name="Normal 2" xfId="2" xr:uid="{58E30A63-73EF-4394-8F1D-4E4648202FC5}"/>
    <cellStyle name="Normal 2 2" xfId="1" xr:uid="{B0DF9605-29C2-41A7-BC08-DB1A2D6958D0}"/>
    <cellStyle name="Normal 2 2 3 2" xfId="3" xr:uid="{44BB5611-71F2-46D9-80F9-FF7689DEB9B3}"/>
    <cellStyle name="Nota" xfId="4" builtinId="10"/>
  </cellStyles>
  <dxfs count="24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892345-3CC1-4773-A064-C06240D1A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B941B3-91C6-496A-8087-50A513D43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EA3D43-52A1-47F8-8EB4-44AA5C31C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21B434-E8DB-4A5D-B2B7-3C1C996FE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A73120-6F99-46E1-8721-3766EB50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FF782C-49C9-4099-9101-452D1382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8352B3-5B45-464E-989B-B34CB0CC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E395EF-23CB-4513-B01B-00A9FF39D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A2DC85-3E0E-43C0-8712-DF87FE0B2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8EA6EB3-401D-4A38-95D8-2E000735A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9631A5-239C-44FA-8E15-183D2CE5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AFD869-4CF7-4787-B1A7-088FFF812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BDE23B-7DB5-4448-B0A9-119EE7FC3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D88BA3-E1D2-4F52-9014-EC16D50E9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F08F7E-AA0E-4B0A-BE28-05962CC31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044C55-4FA5-4D62-826C-0A99E03E6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F3556B-6DEA-482F-8F1B-F49260BFB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32D38D-94D3-4F1D-BDFA-78224A63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CC7098-41EA-4A31-BAC2-F56FA74D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ADCE38-2414-4FB5-9523-D034C7671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3C6483-BA12-4118-A91E-BD8C29306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CADFDDE-16C3-4200-80B1-F4F92F0BC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A4714F-E7E0-4810-8495-904AD0C02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ADB265-B5FB-4D86-8C7D-0E50E6806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861BF8-3210-466F-8944-880020C3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766FDE2-F6C4-4010-B8E0-0F668D7F3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E5FF06-468A-459B-9464-7222B7B21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9332EE-BA75-4B3F-BB0A-1778CCFD2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24728" y="0"/>
          <a:ext cx="1423147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A9FD428-6664-4749-936A-AD00CC9D2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193703</xdr:colOff>
      <xdr:row>0</xdr:row>
      <xdr:rowOff>0</xdr:rowOff>
    </xdr:from>
    <xdr:to>
      <xdr:col>14</xdr:col>
      <xdr:colOff>1616850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2C671F0-B4B4-4634-9BFC-06B0164D8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6024" y="0"/>
          <a:ext cx="1423147" cy="102493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9" xr16:uid="{255BEE32-3B71-45FE-A686-F5FC1EA1513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E522A-16F2-4423-8AAD-F86A265BAD87}" name="Table001__Page_1___53" displayName="Table001__Page_1___53" ref="A1:J32" tableType="queryTable" totalsRowShown="0">
  <autoFilter ref="A1:J32" xr:uid="{979E522A-16F2-4423-8AAD-F86A265BAD87}"/>
  <tableColumns count="10">
    <tableColumn id="1" xr3:uid="{CE29A055-1973-4EBE-BC15-1E80AC0D88A3}" uniqueName="1" name="Column1" queryTableFieldId="1" dataDxfId="9"/>
    <tableColumn id="2" xr3:uid="{F0A0FEF4-8C03-4577-8C03-23AF9C202CFB}" uniqueName="2" name="Column2" queryTableFieldId="2" dataDxfId="8"/>
    <tableColumn id="3" xr3:uid="{0059EE8A-7C00-4F26-B26F-D05E5C6536CB}" uniqueName="3" name="Column3" queryTableFieldId="3" dataDxfId="7"/>
    <tableColumn id="4" xr3:uid="{40786EE1-5709-425F-A594-85112164904C}" uniqueName="4" name="Column4" queryTableFieldId="4" dataDxfId="6"/>
    <tableColumn id="5" xr3:uid="{CCC4D3E2-2C17-45D4-89E5-5EB17F141FDB}" uniqueName="5" name="Column5" queryTableFieldId="5" dataDxfId="5"/>
    <tableColumn id="6" xr3:uid="{3BAEA04E-A398-400F-8891-79A892C5179E}" uniqueName="6" name="Column6" queryTableFieldId="6" dataDxfId="4"/>
    <tableColumn id="7" xr3:uid="{245B5A51-5853-4DB7-A2C6-14C1D462197B}" uniqueName="7" name="Column7" queryTableFieldId="7" dataDxfId="3"/>
    <tableColumn id="8" xr3:uid="{6288B05A-0C39-49D4-8CB0-A5BBD51C6F52}" uniqueName="8" name="Column8" queryTableFieldId="8" dataDxfId="2"/>
    <tableColumn id="9" xr3:uid="{3E89382A-BB0B-4B13-9EA4-5ECFEDAE6610}" uniqueName="9" name="Column9" queryTableFieldId="9" dataDxfId="1"/>
    <tableColumn id="10" xr3:uid="{64EE0B09-6879-46C4-8EDC-9D1CFF59FB79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2641-4549-4A22-8AF8-2CA651853884}">
  <dimension ref="A1:R33"/>
  <sheetViews>
    <sheetView showGridLines="0" topLeftCell="H1" zoomScale="70" zoomScaleNormal="70" workbookViewId="0">
      <pane ySplit="3" topLeftCell="A5" activePane="bottomLeft" state="frozen"/>
      <selection pane="bottomLeft" activeCell="O12" sqref="O12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9.6640625" style="1" bestFit="1" customWidth="1"/>
    <col min="9" max="9" width="15.83203125" style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0.43055555555555558</v>
      </c>
      <c r="L5" s="13">
        <v>0.45902777777777776</v>
      </c>
      <c r="M5" s="13">
        <v>0.57638888888888884</v>
      </c>
      <c r="N5" s="13" t="e">
        <f>MOD(G5-F5, 1)</f>
        <v>#VALUE!</v>
      </c>
      <c r="O5" s="13">
        <f>MOD(M5-L5, 1)</f>
        <v>0.11736111111111108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 t="s">
        <v>189</v>
      </c>
      <c r="F6" s="13" t="s">
        <v>190</v>
      </c>
      <c r="G6" s="13"/>
      <c r="H6" s="18" t="s">
        <v>66</v>
      </c>
      <c r="I6" s="18" t="s">
        <v>67</v>
      </c>
      <c r="J6" s="18" t="s">
        <v>68</v>
      </c>
      <c r="K6" s="13" t="s">
        <v>189</v>
      </c>
      <c r="L6" s="13" t="s">
        <v>190</v>
      </c>
      <c r="M6" s="13"/>
      <c r="N6" s="13" t="e">
        <f t="shared" ref="N6:N32" si="0">MOD(G6-F6, 1)</f>
        <v>#VALUE!</v>
      </c>
      <c r="O6" s="13" t="e">
        <f t="shared" ref="O6:O32" si="1">MOD(M6-L6, 1)</f>
        <v>#VALUE!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0.40625</v>
      </c>
      <c r="F8" s="13">
        <v>0.47916666666666669</v>
      </c>
      <c r="G8" s="13">
        <v>0.51736111111111116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3.8194444444444475E-2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0.3263888888888889</v>
      </c>
      <c r="F9" s="13">
        <v>0.3576388888888889</v>
      </c>
      <c r="G9" s="13">
        <v>0.40625</v>
      </c>
      <c r="H9" s="18" t="s">
        <v>82</v>
      </c>
      <c r="I9" s="18" t="s">
        <v>83</v>
      </c>
      <c r="J9" s="18" t="s">
        <v>84</v>
      </c>
      <c r="K9" s="13">
        <v>0.4513888888888889</v>
      </c>
      <c r="L9" s="13">
        <v>0.4861111111111111</v>
      </c>
      <c r="M9" s="13">
        <v>0.51388888888888884</v>
      </c>
      <c r="N9" s="13">
        <f t="shared" si="0"/>
        <v>4.8611111111111105E-2</v>
      </c>
      <c r="O9" s="13">
        <f t="shared" si="1"/>
        <v>2.7777777777777735E-2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>
        <v>0.43055555555555558</v>
      </c>
      <c r="F10" s="13">
        <v>0.47916666666666669</v>
      </c>
      <c r="G10" s="13">
        <v>0.50694444444444442</v>
      </c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>
        <f t="shared" si="0"/>
        <v>2.7777777777777735E-2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0.29166666666666669</v>
      </c>
      <c r="F11" s="13">
        <v>0.32291666666666669</v>
      </c>
      <c r="G11" s="13">
        <v>0.43055555555555558</v>
      </c>
      <c r="H11" s="18" t="s">
        <v>93</v>
      </c>
      <c r="I11" s="18" t="s">
        <v>94</v>
      </c>
      <c r="J11" s="18" t="s">
        <v>95</v>
      </c>
      <c r="K11" s="13" t="s">
        <v>189</v>
      </c>
      <c r="L11" s="13" t="s">
        <v>190</v>
      </c>
      <c r="M11" s="13"/>
      <c r="N11" s="13">
        <f t="shared" si="0"/>
        <v>0.1076388888888889</v>
      </c>
      <c r="O11" s="13">
        <v>0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0.29166666666666669</v>
      </c>
      <c r="F12" s="13">
        <v>0.31944444444444442</v>
      </c>
      <c r="G12" s="13">
        <v>0.37847222222222221</v>
      </c>
      <c r="H12" s="18" t="s">
        <v>100</v>
      </c>
      <c r="I12" s="18" t="s">
        <v>101</v>
      </c>
      <c r="J12" s="18" t="s">
        <v>73</v>
      </c>
      <c r="K12" s="13"/>
      <c r="L12" s="13"/>
      <c r="M12" s="13"/>
      <c r="N12" s="13">
        <f t="shared" si="0"/>
        <v>5.902777777777779E-2</v>
      </c>
      <c r="O12" s="13">
        <f t="shared" si="1"/>
        <v>0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>
        <v>0</v>
      </c>
      <c r="O13" s="13">
        <v>0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>
        <v>0</v>
      </c>
      <c r="O14" s="13">
        <v>0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 t="s">
        <v>189</v>
      </c>
      <c r="F15" s="13" t="s">
        <v>190</v>
      </c>
      <c r="G15" s="13"/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>
        <v>0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>
        <v>0.28819444444444442</v>
      </c>
      <c r="F16" s="13">
        <v>0.37152777777777779</v>
      </c>
      <c r="G16" s="13">
        <v>0.3888888888888889</v>
      </c>
      <c r="H16" s="18" t="s">
        <v>120</v>
      </c>
      <c r="I16" s="18" t="s">
        <v>91</v>
      </c>
      <c r="J16" s="18" t="s">
        <v>121</v>
      </c>
      <c r="K16" s="13">
        <v>0.39583333333333331</v>
      </c>
      <c r="L16" s="13">
        <v>0.46180555555555558</v>
      </c>
      <c r="M16" s="13">
        <v>0.53125</v>
      </c>
      <c r="N16" s="13">
        <f t="shared" si="0"/>
        <v>1.7361111111111105E-2</v>
      </c>
      <c r="O16" s="13">
        <f t="shared" si="1"/>
        <v>6.944444444444442E-2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0.3923611111111111</v>
      </c>
      <c r="F17" s="13">
        <v>0.4826388888888889</v>
      </c>
      <c r="G17" s="13">
        <v>0.52430555555555558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4.1666666666666685E-2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>
        <v>0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 t="s">
        <v>189</v>
      </c>
      <c r="F19" s="13" t="s">
        <v>190</v>
      </c>
      <c r="G19" s="13"/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v>0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0.46180555555555558</v>
      </c>
      <c r="F20" s="13">
        <v>0.4826388888888889</v>
      </c>
      <c r="G20" s="13">
        <v>0.57638888888888884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9.3749999999999944E-2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0.44791666666666669</v>
      </c>
      <c r="F21" s="13">
        <v>0.47222222222222221</v>
      </c>
      <c r="G21" s="13">
        <v>0.58333333333333337</v>
      </c>
      <c r="H21" s="18" t="s">
        <v>138</v>
      </c>
      <c r="I21" s="18" t="s">
        <v>139</v>
      </c>
      <c r="J21" s="18" t="s">
        <v>141</v>
      </c>
      <c r="K21" s="13" t="s">
        <v>189</v>
      </c>
      <c r="L21" s="13" t="s">
        <v>190</v>
      </c>
      <c r="M21" s="13"/>
      <c r="N21" s="13">
        <f t="shared" si="0"/>
        <v>0.11111111111111116</v>
      </c>
      <c r="O21" s="13">
        <v>0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>
        <v>0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 t="s">
        <v>189</v>
      </c>
      <c r="F23" s="13" t="s">
        <v>190</v>
      </c>
      <c r="G23" s="13"/>
      <c r="H23" s="18" t="s">
        <v>147</v>
      </c>
      <c r="I23" s="18" t="s">
        <v>148</v>
      </c>
      <c r="J23" s="18" t="s">
        <v>149</v>
      </c>
      <c r="K23" s="13" t="s">
        <v>189</v>
      </c>
      <c r="L23" s="13" t="s">
        <v>190</v>
      </c>
      <c r="M23" s="13"/>
      <c r="N23" s="13">
        <v>0</v>
      </c>
      <c r="O23" s="13">
        <v>0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>
        <v>0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 t="s">
        <v>189</v>
      </c>
      <c r="F25" s="13" t="s">
        <v>190</v>
      </c>
      <c r="G25" s="13"/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v>0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161</v>
      </c>
      <c r="I26" s="18" t="s">
        <v>159</v>
      </c>
      <c r="J26" s="18" t="s">
        <v>162</v>
      </c>
      <c r="K26" s="13">
        <v>0.44097222222222221</v>
      </c>
      <c r="L26" s="13">
        <v>0.47916666666666669</v>
      </c>
      <c r="M26" s="13">
        <v>0.52083333333333337</v>
      </c>
      <c r="N26" s="13">
        <v>0</v>
      </c>
      <c r="O26" s="13">
        <f t="shared" si="1"/>
        <v>4.1666666666666685E-2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166</v>
      </c>
      <c r="I27" s="18" t="s">
        <v>167</v>
      </c>
      <c r="J27" s="18" t="s">
        <v>168</v>
      </c>
      <c r="K27" s="13" t="s">
        <v>189</v>
      </c>
      <c r="L27" s="13" t="s">
        <v>190</v>
      </c>
      <c r="M27" s="13"/>
      <c r="N27" s="13">
        <v>0</v>
      </c>
      <c r="O27" s="13">
        <v>0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0.31597222222222221</v>
      </c>
      <c r="F28" s="13">
        <v>0.35069444444444442</v>
      </c>
      <c r="G28" s="13">
        <v>0.75694444444444442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0.40625</v>
      </c>
      <c r="O28" s="13">
        <v>0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>
        <v>0.44791666666666669</v>
      </c>
      <c r="F29" s="13">
        <v>0.5</v>
      </c>
      <c r="G29" s="13">
        <v>0.59722222222222221</v>
      </c>
      <c r="H29" s="18" t="s">
        <v>73</v>
      </c>
      <c r="I29" s="18" t="s">
        <v>73</v>
      </c>
      <c r="J29" s="18" t="s">
        <v>73</v>
      </c>
      <c r="K29" s="13"/>
      <c r="L29" s="13"/>
      <c r="M29" s="13"/>
      <c r="N29" s="13">
        <f t="shared" si="0"/>
        <v>9.722222222222221E-2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 t="s">
        <v>73</v>
      </c>
      <c r="I30" s="18" t="s">
        <v>73</v>
      </c>
      <c r="J30" s="18" t="s">
        <v>73</v>
      </c>
      <c r="K30" s="13"/>
      <c r="L30" s="13"/>
      <c r="M30" s="13"/>
      <c r="N30" s="13">
        <v>0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0.3263888888888889</v>
      </c>
      <c r="F31" s="13">
        <v>0.35416666666666669</v>
      </c>
      <c r="G31" s="13">
        <v>0.39583333333333331</v>
      </c>
      <c r="H31" s="18" t="s">
        <v>155</v>
      </c>
      <c r="I31" s="18" t="s">
        <v>80</v>
      </c>
      <c r="J31" s="18" t="s">
        <v>184</v>
      </c>
      <c r="K31" s="13">
        <v>0.44791666666666669</v>
      </c>
      <c r="L31" s="13">
        <v>0.47222222222222221</v>
      </c>
      <c r="M31" s="13">
        <v>0.50347222222222221</v>
      </c>
      <c r="N31" s="13">
        <f t="shared" si="0"/>
        <v>4.166666666666663E-2</v>
      </c>
      <c r="O31" s="13">
        <f t="shared" si="1"/>
        <v>3.125E-2</v>
      </c>
    </row>
    <row r="32" spans="1:15" ht="23.25" customHeight="1" x14ac:dyDescent="0.25">
      <c r="A32" s="17" t="s">
        <v>35</v>
      </c>
      <c r="B32" s="18" t="s">
        <v>186</v>
      </c>
      <c r="C32" s="18" t="s">
        <v>98</v>
      </c>
      <c r="D32" s="18" t="s">
        <v>187</v>
      </c>
      <c r="E32" s="13">
        <v>0.4236111111111111</v>
      </c>
      <c r="F32" s="13">
        <v>0.4861111111111111</v>
      </c>
      <c r="G32" s="13">
        <v>0.53472222222222221</v>
      </c>
      <c r="H32" s="18"/>
      <c r="I32" s="18"/>
      <c r="J32" s="18"/>
      <c r="K32" s="13"/>
      <c r="L32" s="13"/>
      <c r="M32" s="13"/>
      <c r="N32" s="13">
        <f t="shared" si="0"/>
        <v>4.8611111111111105E-2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2 I5:I3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F62F-7E76-469C-BFEB-4EB57A564440}">
  <dimension ref="A1:R41"/>
  <sheetViews>
    <sheetView showGridLines="0" zoomScale="55" zoomScaleNormal="55" workbookViewId="0">
      <pane ySplit="3" topLeftCell="A4" activePane="bottomLeft" state="frozen"/>
      <selection pane="bottomLeft" activeCell="G13" sqref="G13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63</v>
      </c>
      <c r="C5" s="18" t="s">
        <v>64</v>
      </c>
      <c r="D5" s="18" t="s">
        <v>65</v>
      </c>
      <c r="E5" s="13">
        <v>0.3298611111111111</v>
      </c>
      <c r="F5" s="13">
        <v>0.37152777777777779</v>
      </c>
      <c r="G5" s="13">
        <v>0.40972222222222221</v>
      </c>
      <c r="H5" s="18" t="s">
        <v>191</v>
      </c>
      <c r="I5" s="18" t="s">
        <v>91</v>
      </c>
      <c r="J5" s="18" t="s">
        <v>192</v>
      </c>
      <c r="K5" s="13">
        <v>0.4236111111111111</v>
      </c>
      <c r="L5" s="13">
        <v>0.46527777777777779</v>
      </c>
      <c r="M5" s="13">
        <v>0.54861111111111116</v>
      </c>
      <c r="N5" s="13">
        <f>MOD(G5-F5, 1)</f>
        <v>3.819444444444442E-2</v>
      </c>
      <c r="O5" s="13">
        <f>MOD(M5-L5, 1)</f>
        <v>8.333333333333337E-2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0.43055555555555558</v>
      </c>
      <c r="F6" s="13">
        <v>0.44791666666666669</v>
      </c>
      <c r="G6" s="13">
        <v>0.48958333333333331</v>
      </c>
      <c r="H6" s="18" t="s">
        <v>66</v>
      </c>
      <c r="I6" s="18" t="s">
        <v>67</v>
      </c>
      <c r="J6" s="18" t="s">
        <v>68</v>
      </c>
      <c r="K6" s="13" t="s">
        <v>195</v>
      </c>
      <c r="L6" s="13" t="s">
        <v>196</v>
      </c>
      <c r="M6" s="13" t="s">
        <v>197</v>
      </c>
      <c r="N6" s="13">
        <f t="shared" ref="N6:N31" si="0">MOD(G6-F6, 1)</f>
        <v>4.166666666666663E-2</v>
      </c>
      <c r="O6" s="13" t="e">
        <f t="shared" ref="O6:O32" si="1">MOD(M6-L6, 1)</f>
        <v>#VALUE!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0.31597222222222221</v>
      </c>
      <c r="F8" s="13">
        <v>0.34375</v>
      </c>
      <c r="G8" s="13">
        <v>0.37152777777777779</v>
      </c>
      <c r="H8" s="18" t="s">
        <v>75</v>
      </c>
      <c r="I8" s="18" t="s">
        <v>76</v>
      </c>
      <c r="J8" s="18" t="s">
        <v>77</v>
      </c>
      <c r="K8" s="13">
        <v>0.42708333333333331</v>
      </c>
      <c r="L8" s="13">
        <v>0.4548611111111111</v>
      </c>
      <c r="M8" s="13">
        <v>0.55208333333333337</v>
      </c>
      <c r="N8" s="13">
        <f t="shared" si="0"/>
        <v>2.777777777777779E-2</v>
      </c>
      <c r="O8" s="13">
        <f t="shared" si="1"/>
        <v>9.7222222222222265E-2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0.34027777777777779</v>
      </c>
      <c r="F9" s="13">
        <v>0.375</v>
      </c>
      <c r="G9" s="13">
        <v>0.40625</v>
      </c>
      <c r="H9" s="18" t="s">
        <v>186</v>
      </c>
      <c r="I9" s="18" t="s">
        <v>98</v>
      </c>
      <c r="J9" s="18" t="s">
        <v>187</v>
      </c>
      <c r="K9" s="13">
        <v>0.4236111111111111</v>
      </c>
      <c r="L9" s="13">
        <v>0.4513888888888889</v>
      </c>
      <c r="M9" s="13">
        <v>0.53125</v>
      </c>
      <c r="N9" s="13">
        <f t="shared" si="0"/>
        <v>3.125E-2</v>
      </c>
      <c r="O9" s="13">
        <f t="shared" si="1"/>
        <v>7.9861111111111105E-2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>
        <v>0.41666666666666669</v>
      </c>
      <c r="F10" s="13">
        <v>0.4861111111111111</v>
      </c>
      <c r="G10" s="13">
        <v>0.50694444444444442</v>
      </c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>
        <f t="shared" si="0"/>
        <v>2.0833333333333315E-2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0.28125</v>
      </c>
      <c r="F11" s="13">
        <v>0.31944444444444442</v>
      </c>
      <c r="G11" s="13">
        <v>0.4375</v>
      </c>
      <c r="H11" s="18" t="s">
        <v>93</v>
      </c>
      <c r="I11" s="18" t="s">
        <v>94</v>
      </c>
      <c r="J11" s="18" t="s">
        <v>95</v>
      </c>
      <c r="K11" s="13">
        <v>0.3298611111111111</v>
      </c>
      <c r="L11" s="13">
        <v>0.3888888888888889</v>
      </c>
      <c r="M11" s="13">
        <v>0.4375</v>
      </c>
      <c r="N11" s="13">
        <f t="shared" si="0"/>
        <v>0.11805555555555558</v>
      </c>
      <c r="O11" s="13">
        <f t="shared" si="1"/>
        <v>4.8611111111111105E-2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0.29166666666666669</v>
      </c>
      <c r="F12" s="13">
        <v>0.35069444444444442</v>
      </c>
      <c r="G12" s="13">
        <v>0.4375</v>
      </c>
      <c r="H12" s="18" t="s">
        <v>100</v>
      </c>
      <c r="I12" s="18" t="s">
        <v>101</v>
      </c>
      <c r="J12" s="18" t="s">
        <v>73</v>
      </c>
      <c r="K12" s="13" t="s">
        <v>189</v>
      </c>
      <c r="L12" s="13" t="s">
        <v>190</v>
      </c>
      <c r="M12" s="13"/>
      <c r="N12" s="13">
        <f t="shared" si="0"/>
        <v>8.680555555555558E-2</v>
      </c>
      <c r="O12" s="13" t="e">
        <f t="shared" si="1"/>
        <v>#VALUE!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>
        <v>0</v>
      </c>
      <c r="O14" s="13">
        <v>0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>
        <v>0.39583333333333331</v>
      </c>
      <c r="F15" s="13">
        <v>0.46875</v>
      </c>
      <c r="G15" s="13">
        <v>0.5</v>
      </c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>
        <f t="shared" si="0"/>
        <v>3.125E-2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>
        <v>0.41666666666666669</v>
      </c>
      <c r="F16" s="13">
        <v>0.46875</v>
      </c>
      <c r="G16" s="13">
        <v>0.53472222222222221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>
        <f t="shared" si="0"/>
        <v>6.597222222222221E-2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0.4236111111111111</v>
      </c>
      <c r="F17" s="13">
        <v>0.4548611111111111</v>
      </c>
      <c r="G17" s="13">
        <v>0.4826388888888889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2.777777777777779E-2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>
        <v>0.33680555555555558</v>
      </c>
      <c r="F18" s="13">
        <v>0.5</v>
      </c>
      <c r="G18" s="13">
        <v>0.52777777777777779</v>
      </c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>
        <f t="shared" si="0"/>
        <v>2.777777777777779E-2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 t="s">
        <v>189</v>
      </c>
      <c r="F19" s="13" t="s">
        <v>190</v>
      </c>
      <c r="G19" s="13"/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v>0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0.4236111111111111</v>
      </c>
      <c r="F20" s="13">
        <v>0.44791666666666669</v>
      </c>
      <c r="G20" s="13">
        <v>0.52083333333333337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7.2916666666666685E-2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 t="s">
        <v>189</v>
      </c>
      <c r="F21" s="13" t="s">
        <v>190</v>
      </c>
      <c r="G21" s="13"/>
      <c r="H21" s="18" t="s">
        <v>138</v>
      </c>
      <c r="I21" s="18" t="s">
        <v>139</v>
      </c>
      <c r="J21" s="18" t="s">
        <v>141</v>
      </c>
      <c r="K21" s="13" t="s">
        <v>189</v>
      </c>
      <c r="L21" s="13" t="s">
        <v>190</v>
      </c>
      <c r="M21" s="13"/>
      <c r="N21" s="13">
        <v>0</v>
      </c>
      <c r="O21" s="13">
        <v>0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>
        <v>0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0.31597222222222221</v>
      </c>
      <c r="F23" s="13">
        <v>0.34722222222222221</v>
      </c>
      <c r="G23" s="13">
        <v>0.3611111111111111</v>
      </c>
      <c r="H23" s="18" t="s">
        <v>147</v>
      </c>
      <c r="I23" s="18" t="s">
        <v>148</v>
      </c>
      <c r="J23" s="18" t="s">
        <v>149</v>
      </c>
      <c r="K23" s="13">
        <v>0.43402777777777779</v>
      </c>
      <c r="L23" s="13">
        <v>0.46180555555555558</v>
      </c>
      <c r="M23" s="13">
        <v>0.51041666666666663</v>
      </c>
      <c r="N23" s="13">
        <f t="shared" si="0"/>
        <v>1.3888888888888895E-2</v>
      </c>
      <c r="O23" s="13">
        <f t="shared" si="1"/>
        <v>4.8611111111111049E-2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>
        <v>0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0.28472222222222221</v>
      </c>
      <c r="F25" s="13">
        <v>0.30555555555555558</v>
      </c>
      <c r="G25" s="13">
        <v>0.32291666666666669</v>
      </c>
      <c r="H25" s="18" t="s">
        <v>155</v>
      </c>
      <c r="I25" s="18" t="s">
        <v>146</v>
      </c>
      <c r="J25" s="18" t="s">
        <v>156</v>
      </c>
      <c r="K25" s="13">
        <v>0.4201388888888889</v>
      </c>
      <c r="L25" s="13">
        <v>0.4375</v>
      </c>
      <c r="M25" s="13">
        <v>0.4826388888888889</v>
      </c>
      <c r="N25" s="13">
        <f t="shared" si="0"/>
        <v>1.7361111111111105E-2</v>
      </c>
      <c r="O25" s="13">
        <f t="shared" si="1"/>
        <v>4.5138888888888895E-2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161</v>
      </c>
      <c r="I26" s="18" t="s">
        <v>159</v>
      </c>
      <c r="J26" s="18" t="s">
        <v>162</v>
      </c>
      <c r="K26" s="13" t="s">
        <v>189</v>
      </c>
      <c r="L26" s="13" t="s">
        <v>190</v>
      </c>
      <c r="M26" s="13"/>
      <c r="N26" s="13">
        <v>0</v>
      </c>
      <c r="O26" s="13">
        <v>0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166</v>
      </c>
      <c r="I27" s="18" t="s">
        <v>167</v>
      </c>
      <c r="J27" s="18" t="s">
        <v>168</v>
      </c>
      <c r="K27" s="13" t="s">
        <v>189</v>
      </c>
      <c r="L27" s="13" t="s">
        <v>190</v>
      </c>
      <c r="M27" s="13"/>
      <c r="N27" s="13">
        <v>0</v>
      </c>
      <c r="O27" s="13">
        <v>0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0.31597222222222221</v>
      </c>
      <c r="F28" s="13">
        <v>0.36458333333333331</v>
      </c>
      <c r="G28" s="13">
        <v>0.41319444444444442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4.8611111111111105E-2</v>
      </c>
      <c r="O28" s="13">
        <v>0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>
        <v>0.4201388888888889</v>
      </c>
      <c r="F29" s="13">
        <v>0.46875</v>
      </c>
      <c r="G29" s="13">
        <v>5.0555555555555554</v>
      </c>
      <c r="H29" s="18"/>
      <c r="I29" s="18"/>
      <c r="J29" s="18"/>
      <c r="K29" s="13"/>
      <c r="L29" s="13"/>
      <c r="M29" s="13"/>
      <c r="N29" s="13">
        <f t="shared" si="0"/>
        <v>0.58680555555555536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>
        <v>0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0.4236111111111111</v>
      </c>
      <c r="F31" s="13">
        <v>0.46180555555555558</v>
      </c>
      <c r="G31" s="13">
        <v>0.51388888888888884</v>
      </c>
      <c r="H31" s="18"/>
      <c r="I31" s="18"/>
      <c r="J31" s="18"/>
      <c r="K31" s="13"/>
      <c r="L31" s="13"/>
      <c r="M31" s="13"/>
      <c r="N31" s="13">
        <f t="shared" si="0"/>
        <v>5.2083333333333259E-2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>
        <v>0</v>
      </c>
      <c r="O32" s="13">
        <f t="shared" si="1"/>
        <v>0</v>
      </c>
    </row>
    <row r="33" spans="1:16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  <row r="41" spans="1:16" x14ac:dyDescent="0.25">
      <c r="P41" s="1" cm="1">
        <f t="array" aca="1" ref="P41" ca="1">A39:P41</f>
        <v>0</v>
      </c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2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3 I5:I28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D010-C253-4B9D-9F3C-7D705471E6E8}">
  <dimension ref="A1:R33"/>
  <sheetViews>
    <sheetView showGridLines="0" topLeftCell="B1" zoomScale="55" zoomScaleNormal="55" workbookViewId="0">
      <pane ySplit="3" topLeftCell="A4" activePane="bottomLeft" state="frozen"/>
      <selection pane="bottomLeft" activeCell="E26" sqref="E26:F26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120</v>
      </c>
      <c r="C5" s="18" t="s">
        <v>91</v>
      </c>
      <c r="D5" s="18" t="s">
        <v>121</v>
      </c>
      <c r="E5" s="13">
        <v>0.35416666666666669</v>
      </c>
      <c r="F5" s="13">
        <v>0.3923611111111111</v>
      </c>
      <c r="G5" s="13">
        <v>0.4548611111111111</v>
      </c>
      <c r="H5" s="18" t="s">
        <v>63</v>
      </c>
      <c r="I5" s="18" t="s">
        <v>64</v>
      </c>
      <c r="J5" s="18" t="s">
        <v>65</v>
      </c>
      <c r="K5" s="13">
        <v>0.42708333333333331</v>
      </c>
      <c r="L5" s="13">
        <v>0.4548611111111111</v>
      </c>
      <c r="M5" s="13">
        <v>0.59027777777777779</v>
      </c>
      <c r="N5" s="13">
        <f>MOD(G5-F5, 1)</f>
        <v>6.25E-2</v>
      </c>
      <c r="O5" s="13">
        <f>MOD(M5-L5, 1)</f>
        <v>0.13541666666666669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0.27430555555555558</v>
      </c>
      <c r="F6" s="13">
        <v>0.30902777777777779</v>
      </c>
      <c r="G6" s="13">
        <v>0.35069444444444442</v>
      </c>
      <c r="H6" s="18" t="s">
        <v>66</v>
      </c>
      <c r="I6" s="18" t="s">
        <v>67</v>
      </c>
      <c r="J6" s="18" t="s">
        <v>68</v>
      </c>
      <c r="K6" s="13">
        <v>0.4236111111111111</v>
      </c>
      <c r="L6" s="13">
        <v>0.44791666666666669</v>
      </c>
      <c r="M6" s="13">
        <v>0.52430555555555558</v>
      </c>
      <c r="N6" s="13">
        <f t="shared" ref="N6:N32" si="0">MOD(G6-F6, 1)</f>
        <v>4.166666666666663E-2</v>
      </c>
      <c r="O6" s="13">
        <f t="shared" ref="O6:O32" si="1">MOD(M6-L6, 1)</f>
        <v>7.6388888888888895E-2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0.42708333333333331</v>
      </c>
      <c r="F8" s="13">
        <v>0.45833333333333331</v>
      </c>
      <c r="G8" s="13">
        <v>0.51736111111111116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5.9027777777777846E-2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0.4201388888888889</v>
      </c>
      <c r="F9" s="13">
        <v>0.4513888888888889</v>
      </c>
      <c r="G9" s="13">
        <v>0.49652777777777779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4.5138888888888895E-2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>
        <v>0.40625</v>
      </c>
      <c r="F10" s="13">
        <v>0.47569444444444442</v>
      </c>
      <c r="G10" s="13">
        <v>0.51736111111111116</v>
      </c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>
        <f t="shared" si="0"/>
        <v>4.1666666666666741E-2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0.28819444444444442</v>
      </c>
      <c r="F11" s="13">
        <v>0.34027777777777779</v>
      </c>
      <c r="G11" s="13">
        <v>0.4548611111111111</v>
      </c>
      <c r="H11" s="18" t="s">
        <v>93</v>
      </c>
      <c r="I11" s="18" t="s">
        <v>94</v>
      </c>
      <c r="J11" s="18" t="s">
        <v>95</v>
      </c>
      <c r="K11" s="13">
        <v>0.3611111111111111</v>
      </c>
      <c r="L11" s="13">
        <v>0.4236111111111111</v>
      </c>
      <c r="M11" s="13">
        <v>0.45833333333333331</v>
      </c>
      <c r="N11" s="13">
        <f t="shared" si="0"/>
        <v>0.11458333333333331</v>
      </c>
      <c r="O11" s="13">
        <f t="shared" si="1"/>
        <v>3.472222222222221E-2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0.40625</v>
      </c>
      <c r="F12" s="13">
        <v>0.50347222222222221</v>
      </c>
      <c r="G12" s="13">
        <v>0.54861111111111116</v>
      </c>
      <c r="H12" s="18" t="s">
        <v>100</v>
      </c>
      <c r="I12" s="18" t="s">
        <v>101</v>
      </c>
      <c r="J12" s="18" t="s">
        <v>73</v>
      </c>
      <c r="K12" s="13"/>
      <c r="L12" s="13"/>
      <c r="M12" s="13"/>
      <c r="N12" s="13">
        <f t="shared" si="0"/>
        <v>4.5138888888888951E-2</v>
      </c>
      <c r="O12" s="13">
        <f t="shared" si="1"/>
        <v>0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>
        <v>0.4236111111111111</v>
      </c>
      <c r="F15" s="13">
        <v>0.47222222222222221</v>
      </c>
      <c r="G15" s="13">
        <v>0.50694444444444442</v>
      </c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>
        <f t="shared" si="0"/>
        <v>3.472222222222221E-2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>
        <v>0.40972222222222221</v>
      </c>
      <c r="F16" s="13">
        <v>0.4826388888888889</v>
      </c>
      <c r="G16" s="13">
        <v>0.53472222222222221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>
        <f t="shared" si="0"/>
        <v>5.2083333333333315E-2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0.4201388888888889</v>
      </c>
      <c r="F17" s="13">
        <v>0.4548611111111111</v>
      </c>
      <c r="G17" s="13">
        <v>0.50347222222222221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4.8611111111111105E-2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186</v>
      </c>
      <c r="C19" s="18" t="s">
        <v>98</v>
      </c>
      <c r="D19" s="18" t="s">
        <v>132</v>
      </c>
      <c r="E19" s="13" t="s">
        <v>189</v>
      </c>
      <c r="F19" s="13" t="s">
        <v>190</v>
      </c>
      <c r="G19" s="13"/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 t="e">
        <f t="shared" si="0"/>
        <v>#VALUE!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0.42708333333333331</v>
      </c>
      <c r="F20" s="13">
        <v>0.46180555555555558</v>
      </c>
      <c r="G20" s="13">
        <v>0.54166666666666663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7.9861111111111049E-2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0.4201388888888889</v>
      </c>
      <c r="F21" s="13">
        <v>0.44097222222222221</v>
      </c>
      <c r="G21" s="13">
        <v>0.55555555555555558</v>
      </c>
      <c r="H21" s="18" t="s">
        <v>138</v>
      </c>
      <c r="I21" s="18" t="s">
        <v>139</v>
      </c>
      <c r="J21" s="18" t="s">
        <v>141</v>
      </c>
      <c r="K21" s="13" t="s">
        <v>189</v>
      </c>
      <c r="L21" s="13" t="s">
        <v>190</v>
      </c>
      <c r="M21" s="13"/>
      <c r="N21" s="13">
        <f t="shared" si="0"/>
        <v>0.11458333333333337</v>
      </c>
      <c r="O21" s="13" t="e">
        <f t="shared" si="1"/>
        <v>#VALUE!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>
        <v>0.4236111111111111</v>
      </c>
      <c r="F22" s="13">
        <v>0.44791666666666669</v>
      </c>
      <c r="G22" s="13">
        <v>0.49305555555555558</v>
      </c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>
        <f t="shared" si="0"/>
        <v>4.5138888888888895E-2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0.3576388888888889</v>
      </c>
      <c r="F23" s="13">
        <v>0.39930555555555558</v>
      </c>
      <c r="G23" s="13">
        <v>0.43055555555555558</v>
      </c>
      <c r="H23" s="18" t="s">
        <v>73</v>
      </c>
      <c r="I23" s="18" t="s">
        <v>73</v>
      </c>
      <c r="J23" s="18" t="s">
        <v>73</v>
      </c>
      <c r="K23" s="13"/>
      <c r="L23" s="13"/>
      <c r="M23" s="13"/>
      <c r="N23" s="13">
        <f t="shared" si="0"/>
        <v>3.125E-2</v>
      </c>
      <c r="O23" s="13">
        <f t="shared" si="1"/>
        <v>0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0.4201388888888889</v>
      </c>
      <c r="F25" s="13">
        <v>0.4375</v>
      </c>
      <c r="G25" s="13">
        <v>0.49652777777777779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5.902777777777779E-2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161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198</v>
      </c>
      <c r="I26" s="18" t="s">
        <v>98</v>
      </c>
      <c r="J26" s="18" t="s">
        <v>187</v>
      </c>
      <c r="K26" s="13">
        <v>0.4236111111111111</v>
      </c>
      <c r="L26" s="13">
        <v>0.46875</v>
      </c>
      <c r="M26" s="13">
        <v>0.52083333333333337</v>
      </c>
      <c r="N26" s="13" t="e">
        <f t="shared" si="0"/>
        <v>#VALUE!</v>
      </c>
      <c r="O26" s="13">
        <f t="shared" si="1"/>
        <v>5.208333333333337E-2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>
        <v>0.25</v>
      </c>
      <c r="F27" s="13">
        <v>0.40625</v>
      </c>
      <c r="G27" s="13">
        <v>0.41666666666666669</v>
      </c>
      <c r="H27" s="18" t="s">
        <v>166</v>
      </c>
      <c r="I27" s="18" t="s">
        <v>167</v>
      </c>
      <c r="J27" s="18" t="s">
        <v>168</v>
      </c>
      <c r="K27" s="13" t="s">
        <v>189</v>
      </c>
      <c r="L27" s="13" t="s">
        <v>190</v>
      </c>
      <c r="M27" s="13"/>
      <c r="N27" s="13">
        <f t="shared" si="0"/>
        <v>1.0416666666666685E-2</v>
      </c>
      <c r="O27" s="13" t="e">
        <f t="shared" si="1"/>
        <v>#VALUE!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0.30555555555555558</v>
      </c>
      <c r="F28" s="13">
        <v>0.34722222222222221</v>
      </c>
      <c r="G28" s="13">
        <v>0.38194444444444442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3.472222222222221E-2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>
        <v>0.39930555555555558</v>
      </c>
      <c r="F29" s="13">
        <v>0.47569444444444442</v>
      </c>
      <c r="G29" s="13">
        <v>0.53125</v>
      </c>
      <c r="H29" s="18"/>
      <c r="I29" s="18"/>
      <c r="J29" s="18"/>
      <c r="K29" s="13"/>
      <c r="L29" s="13"/>
      <c r="M29" s="13"/>
      <c r="N29" s="13">
        <f t="shared" si="0"/>
        <v>5.555555555555558E-2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>
        <v>0.4375</v>
      </c>
      <c r="F30" s="13">
        <v>0.54166666666666663</v>
      </c>
      <c r="G30" s="13">
        <v>0.56944444444444442</v>
      </c>
      <c r="H30" s="18"/>
      <c r="I30" s="18"/>
      <c r="J30" s="18"/>
      <c r="K30" s="13"/>
      <c r="L30" s="13"/>
      <c r="M30" s="13"/>
      <c r="N30" s="13">
        <f t="shared" si="0"/>
        <v>2.777777777777779E-2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0.4236111111111111</v>
      </c>
      <c r="F31" s="13">
        <v>0.44791666666666669</v>
      </c>
      <c r="G31" s="13">
        <v>0.49305555555555558</v>
      </c>
      <c r="H31" s="18"/>
      <c r="I31" s="18"/>
      <c r="J31" s="18"/>
      <c r="K31" s="13"/>
      <c r="L31" s="13"/>
      <c r="M31" s="13"/>
      <c r="N31" s="13">
        <f t="shared" si="0"/>
        <v>4.5138888888888895E-2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2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2 I5:I28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CACE-8F67-42FB-B8FE-B3045F0EA362}">
  <dimension ref="A1:R33"/>
  <sheetViews>
    <sheetView showGridLines="0" topLeftCell="B1" zoomScale="55" zoomScaleNormal="55" workbookViewId="0">
      <pane ySplit="3" topLeftCell="A4" activePane="bottomLeft" state="frozen"/>
      <selection pane="bottomLeft" activeCell="E26" sqref="E26:F26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0.40972222222222221</v>
      </c>
      <c r="L5" s="13">
        <v>0.45833333333333331</v>
      </c>
      <c r="M5" s="13">
        <v>0.55555555555555558</v>
      </c>
      <c r="N5" s="13" t="e">
        <f>MOD(G5-F5, 1)</f>
        <v>#VALUE!</v>
      </c>
      <c r="O5" s="13">
        <f>MOD(M5-L5, 1)</f>
        <v>9.7222222222222265E-2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0.27430555555555558</v>
      </c>
      <c r="F6" s="13">
        <v>0.30902777777777779</v>
      </c>
      <c r="G6" s="13">
        <v>0.35069444444444442</v>
      </c>
      <c r="H6" s="18" t="s">
        <v>66</v>
      </c>
      <c r="I6" s="18" t="s">
        <v>67</v>
      </c>
      <c r="J6" s="18" t="s">
        <v>68</v>
      </c>
      <c r="K6" s="13">
        <v>0.42708333333333331</v>
      </c>
      <c r="L6" s="13">
        <v>0.44097222222222221</v>
      </c>
      <c r="M6" s="13">
        <v>0.53125</v>
      </c>
      <c r="N6" s="13">
        <f t="shared" ref="N6:N32" si="0">MOD(G6-F6, 1)</f>
        <v>4.166666666666663E-2</v>
      </c>
      <c r="O6" s="13">
        <f t="shared" ref="O6:O32" si="1">MOD(M6-L6, 1)</f>
        <v>9.027777777777779E-2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70</v>
      </c>
      <c r="I7" s="18" t="s">
        <v>71</v>
      </c>
      <c r="J7" s="18" t="s">
        <v>72</v>
      </c>
      <c r="K7" s="13" t="s">
        <v>189</v>
      </c>
      <c r="L7" s="13" t="s">
        <v>190</v>
      </c>
      <c r="M7" s="13"/>
      <c r="N7" s="13" t="e">
        <f t="shared" si="0"/>
        <v>#VALUE!</v>
      </c>
      <c r="O7" s="13" t="e">
        <f t="shared" si="1"/>
        <v>#VALUE!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0.30208333333333331</v>
      </c>
      <c r="F8" s="13">
        <v>0.3263888888888889</v>
      </c>
      <c r="G8" s="13">
        <v>0.36458333333333331</v>
      </c>
      <c r="H8" s="18" t="s">
        <v>75</v>
      </c>
      <c r="I8" s="18" t="s">
        <v>76</v>
      </c>
      <c r="J8" s="18" t="s">
        <v>77</v>
      </c>
      <c r="K8" s="13">
        <v>0.43055555555555558</v>
      </c>
      <c r="L8" s="13">
        <v>0.4548611111111111</v>
      </c>
      <c r="M8" s="13">
        <v>0.52430555555555558</v>
      </c>
      <c r="N8" s="13">
        <f t="shared" si="0"/>
        <v>3.819444444444442E-2</v>
      </c>
      <c r="O8" s="13">
        <f t="shared" si="1"/>
        <v>6.9444444444444475E-2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0.36458333333333331</v>
      </c>
      <c r="F9" s="13">
        <v>0.39930555555555558</v>
      </c>
      <c r="G9" s="13">
        <v>0.44791666666666669</v>
      </c>
      <c r="H9" s="18" t="s">
        <v>199</v>
      </c>
      <c r="I9" s="18" t="s">
        <v>200</v>
      </c>
      <c r="J9" s="18" t="s">
        <v>206</v>
      </c>
      <c r="K9" s="13">
        <v>0.43402777777777779</v>
      </c>
      <c r="L9" s="13">
        <v>0.46180555555555558</v>
      </c>
      <c r="M9" s="13">
        <v>0.50694444444444442</v>
      </c>
      <c r="N9" s="13">
        <f t="shared" si="0"/>
        <v>4.8611111111111105E-2</v>
      </c>
      <c r="O9" s="13">
        <f t="shared" si="1"/>
        <v>4.513888888888884E-2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>
        <v>0.40277777777777779</v>
      </c>
      <c r="F10" s="13">
        <v>0.47569444444444442</v>
      </c>
      <c r="G10" s="13">
        <v>0.51041666666666663</v>
      </c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>
        <f t="shared" si="0"/>
        <v>3.472222222222221E-2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0.27430555555555558</v>
      </c>
      <c r="F11" s="13">
        <v>0.32291666666666669</v>
      </c>
      <c r="G11" s="13">
        <v>0.44097222222222221</v>
      </c>
      <c r="H11" s="18" t="s">
        <v>93</v>
      </c>
      <c r="I11" s="18" t="s">
        <v>94</v>
      </c>
      <c r="J11" s="18" t="s">
        <v>95</v>
      </c>
      <c r="K11" s="13">
        <v>0.3125</v>
      </c>
      <c r="L11" s="13">
        <v>0.36805555555555558</v>
      </c>
      <c r="M11" s="13">
        <v>0.40625</v>
      </c>
      <c r="N11" s="13">
        <f t="shared" si="0"/>
        <v>0.11805555555555552</v>
      </c>
      <c r="O11" s="13">
        <f t="shared" si="1"/>
        <v>3.819444444444442E-2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0.31597222222222221</v>
      </c>
      <c r="F12" s="13">
        <v>0.37847222222222221</v>
      </c>
      <c r="G12" s="13">
        <v>0.4548611111111111</v>
      </c>
      <c r="H12" s="18" t="s">
        <v>100</v>
      </c>
      <c r="I12" s="18" t="s">
        <v>101</v>
      </c>
      <c r="J12" s="18" t="s">
        <v>201</v>
      </c>
      <c r="K12" s="13" t="s">
        <v>189</v>
      </c>
      <c r="L12" s="13" t="s">
        <v>190</v>
      </c>
      <c r="M12" s="13"/>
      <c r="N12" s="13">
        <f t="shared" si="0"/>
        <v>7.6388888888888895E-2</v>
      </c>
      <c r="O12" s="13" t="e">
        <f t="shared" si="1"/>
        <v>#VALUE!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>
        <v>0.43402777777777779</v>
      </c>
      <c r="F15" s="13">
        <v>0.47916666666666669</v>
      </c>
      <c r="G15" s="13">
        <v>0.51736111111111116</v>
      </c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>
        <f t="shared" si="0"/>
        <v>3.8194444444444475E-2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>
        <v>0</v>
      </c>
      <c r="F16" s="13">
        <v>0.3923611111111111</v>
      </c>
      <c r="G16" s="13">
        <v>0.44791666666666669</v>
      </c>
      <c r="H16" s="18" t="s">
        <v>120</v>
      </c>
      <c r="I16" s="18" t="s">
        <v>91</v>
      </c>
      <c r="J16" s="18" t="s">
        <v>121</v>
      </c>
      <c r="K16" s="13">
        <v>0.43402777777777779</v>
      </c>
      <c r="L16" s="13">
        <v>0.49652777777777779</v>
      </c>
      <c r="M16" s="13">
        <v>0.55208333333333337</v>
      </c>
      <c r="N16" s="13">
        <f t="shared" si="0"/>
        <v>5.555555555555558E-2</v>
      </c>
      <c r="O16" s="13">
        <f t="shared" si="1"/>
        <v>5.555555555555558E-2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0.43402777777777779</v>
      </c>
      <c r="F17" s="13">
        <v>0.47222222222222221</v>
      </c>
      <c r="G17" s="13">
        <v>0.50694444444444442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3.472222222222221E-2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 t="s">
        <v>189</v>
      </c>
      <c r="F19" s="13" t="s">
        <v>190</v>
      </c>
      <c r="G19" s="13"/>
      <c r="H19" s="18" t="s">
        <v>191</v>
      </c>
      <c r="I19" s="18" t="s">
        <v>91</v>
      </c>
      <c r="J19" s="18" t="s">
        <v>192</v>
      </c>
      <c r="K19" s="13">
        <v>0.44444444444444442</v>
      </c>
      <c r="L19" s="13">
        <v>0.46875</v>
      </c>
      <c r="M19" s="13">
        <v>0.52777777777777779</v>
      </c>
      <c r="N19" s="13" t="e">
        <f t="shared" si="0"/>
        <v>#VALUE!</v>
      </c>
      <c r="O19" s="13">
        <f t="shared" si="1"/>
        <v>5.902777777777779E-2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0.33680555555555558</v>
      </c>
      <c r="F20" s="13">
        <v>0.36805555555555558</v>
      </c>
      <c r="G20" s="13">
        <v>0.41319444444444442</v>
      </c>
      <c r="H20" s="18" t="s">
        <v>202</v>
      </c>
      <c r="I20" s="18" t="s">
        <v>203</v>
      </c>
      <c r="J20" s="18" t="s">
        <v>204</v>
      </c>
      <c r="K20" s="13">
        <v>0.43402777777777779</v>
      </c>
      <c r="L20" s="13">
        <v>0.49305555555555558</v>
      </c>
      <c r="M20" s="13">
        <v>0.52083333333333337</v>
      </c>
      <c r="N20" s="13">
        <f t="shared" si="0"/>
        <v>4.513888888888884E-2</v>
      </c>
      <c r="O20" s="13">
        <f t="shared" si="1"/>
        <v>2.777777777777779E-2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 t="s">
        <v>189</v>
      </c>
      <c r="F21" s="13" t="s">
        <v>190</v>
      </c>
      <c r="G21" s="13"/>
      <c r="H21" s="18" t="s">
        <v>138</v>
      </c>
      <c r="I21" s="18" t="s">
        <v>139</v>
      </c>
      <c r="J21" s="18" t="s">
        <v>141</v>
      </c>
      <c r="K21" s="13" t="s">
        <v>189</v>
      </c>
      <c r="L21" s="13" t="s">
        <v>190</v>
      </c>
      <c r="M21" s="13"/>
      <c r="N21" s="13" t="e">
        <f t="shared" si="0"/>
        <v>#VALUE!</v>
      </c>
      <c r="O21" s="13" t="e">
        <f t="shared" si="1"/>
        <v>#VALUE!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0.30208333333333331</v>
      </c>
      <c r="F23" s="13">
        <v>0.3298611111111111</v>
      </c>
      <c r="G23" s="13">
        <v>0.3576388888888889</v>
      </c>
      <c r="H23" s="18" t="s">
        <v>147</v>
      </c>
      <c r="I23" s="18" t="s">
        <v>148</v>
      </c>
      <c r="J23" s="18" t="s">
        <v>149</v>
      </c>
      <c r="K23" s="13" t="s">
        <v>189</v>
      </c>
      <c r="L23" s="13" t="s">
        <v>190</v>
      </c>
      <c r="M23" s="13"/>
      <c r="N23" s="13">
        <f t="shared" si="0"/>
        <v>2.777777777777779E-2</v>
      </c>
      <c r="O23" s="13" t="e">
        <f t="shared" si="1"/>
        <v>#VALUE!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0.28819444444444442</v>
      </c>
      <c r="F25" s="13">
        <v>0.30902777777777779</v>
      </c>
      <c r="G25" s="13">
        <v>0.3263888888888889</v>
      </c>
      <c r="H25" s="18" t="s">
        <v>155</v>
      </c>
      <c r="I25" s="18" t="s">
        <v>146</v>
      </c>
      <c r="J25" s="18" t="s">
        <v>156</v>
      </c>
      <c r="K25" s="13">
        <v>0.42708333333333331</v>
      </c>
      <c r="L25" s="13">
        <v>0.44097222222222221</v>
      </c>
      <c r="M25" s="13">
        <v>0.48958333333333331</v>
      </c>
      <c r="N25" s="13">
        <f t="shared" si="0"/>
        <v>1.7361111111111105E-2</v>
      </c>
      <c r="O25" s="13">
        <f t="shared" si="1"/>
        <v>4.8611111111111105E-2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161</v>
      </c>
      <c r="I26" s="18" t="s">
        <v>159</v>
      </c>
      <c r="J26" s="18" t="s">
        <v>162</v>
      </c>
      <c r="K26" s="13" t="s">
        <v>189</v>
      </c>
      <c r="L26" s="13" t="s">
        <v>190</v>
      </c>
      <c r="M26" s="13"/>
      <c r="N26" s="13" t="e">
        <f t="shared" si="0"/>
        <v>#VALUE!</v>
      </c>
      <c r="O26" s="13" t="e">
        <f t="shared" si="1"/>
        <v>#VALUE!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>
        <v>0.28125</v>
      </c>
      <c r="F27" s="13">
        <v>0.375</v>
      </c>
      <c r="G27" s="13">
        <v>0.40972222222222221</v>
      </c>
      <c r="H27" s="18" t="s">
        <v>166</v>
      </c>
      <c r="I27" s="18" t="s">
        <v>167</v>
      </c>
      <c r="J27" s="18" t="s">
        <v>168</v>
      </c>
      <c r="K27" s="13" t="s">
        <v>189</v>
      </c>
      <c r="L27" s="13" t="s">
        <v>190</v>
      </c>
      <c r="M27" s="13"/>
      <c r="N27" s="13">
        <f t="shared" si="0"/>
        <v>3.472222222222221E-2</v>
      </c>
      <c r="O27" s="13" t="e">
        <f t="shared" si="1"/>
        <v>#VALUE!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0.29166666666666669</v>
      </c>
      <c r="F28" s="13">
        <v>0.34027777777777779</v>
      </c>
      <c r="G28" s="13">
        <v>0.4548611111111111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0.11458333333333331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 t="s">
        <v>205</v>
      </c>
      <c r="I29" s="18" t="s">
        <v>98</v>
      </c>
      <c r="J29" s="18" t="s">
        <v>187</v>
      </c>
      <c r="K29" s="13" t="s">
        <v>189</v>
      </c>
      <c r="L29" s="13" t="s">
        <v>190</v>
      </c>
      <c r="M29" s="13"/>
      <c r="N29" s="13" t="e">
        <f t="shared" si="0"/>
        <v>#VALUE!</v>
      </c>
      <c r="O29" s="13" t="e">
        <f t="shared" si="1"/>
        <v>#VALUE!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>
        <v>0.4236111111111111</v>
      </c>
      <c r="F30" s="13">
        <v>0.44791666666666669</v>
      </c>
      <c r="G30" s="13">
        <v>0.54861111111111116</v>
      </c>
      <c r="H30" s="18" t="s">
        <v>73</v>
      </c>
      <c r="I30" s="18" t="s">
        <v>73</v>
      </c>
      <c r="J30" s="18" t="s">
        <v>73</v>
      </c>
      <c r="K30" s="13"/>
      <c r="L30" s="13"/>
      <c r="M30" s="13"/>
      <c r="N30" s="13">
        <f t="shared" si="0"/>
        <v>0.10069444444444448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0.32291666666666669</v>
      </c>
      <c r="F31" s="13">
        <v>0.34722222222222221</v>
      </c>
      <c r="G31" s="13">
        <v>0.40625</v>
      </c>
      <c r="H31" s="18" t="s">
        <v>155</v>
      </c>
      <c r="I31" s="18" t="s">
        <v>80</v>
      </c>
      <c r="J31" s="18" t="s">
        <v>184</v>
      </c>
      <c r="K31" s="13">
        <v>0.43402777777777779</v>
      </c>
      <c r="L31" s="13">
        <v>0.45833333333333331</v>
      </c>
      <c r="M31" s="13">
        <v>0.50347222222222221</v>
      </c>
      <c r="N31" s="13">
        <f t="shared" si="0"/>
        <v>5.902777777777779E-2</v>
      </c>
      <c r="O31" s="13">
        <f t="shared" si="1"/>
        <v>4.5138888888888895E-2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2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2 I5:I34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4F6D-3D2F-4422-8BA6-5EDC51542883}">
  <dimension ref="A1:R33"/>
  <sheetViews>
    <sheetView showGridLines="0" topLeftCell="C1" zoomScale="55" zoomScaleNormal="55" workbookViewId="0">
      <pane ySplit="3" topLeftCell="A5" activePane="bottomLeft" state="frozen"/>
      <selection pane="bottomLeft" activeCell="E27" sqref="E27:F27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0.40277777777777779</v>
      </c>
      <c r="L5" s="13">
        <v>0.4375</v>
      </c>
      <c r="M5" s="13">
        <v>0.52083333333333337</v>
      </c>
      <c r="N5" s="13" t="e">
        <f>MOD(G5-F5, 1)</f>
        <v>#VALUE!</v>
      </c>
      <c r="O5" s="13">
        <f>MOD(M5-L5, 1)</f>
        <v>8.333333333333337E-2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0.27083333333333331</v>
      </c>
      <c r="F6" s="13">
        <v>0.2986111111111111</v>
      </c>
      <c r="G6" s="13">
        <v>0.34722222222222221</v>
      </c>
      <c r="H6" s="18" t="s">
        <v>66</v>
      </c>
      <c r="I6" s="18" t="s">
        <v>67</v>
      </c>
      <c r="J6" s="18" t="s">
        <v>68</v>
      </c>
      <c r="K6" s="13">
        <v>0.40625</v>
      </c>
      <c r="L6" s="13">
        <v>0.42708333333333331</v>
      </c>
      <c r="M6" s="13">
        <v>0.51388888888888884</v>
      </c>
      <c r="N6" s="13">
        <f t="shared" ref="N6:N31" si="0">MOD(G6-F6, 1)</f>
        <v>4.8611111111111105E-2</v>
      </c>
      <c r="O6" s="13">
        <f t="shared" ref="O6:O32" si="1">MOD(M6-L6, 1)</f>
        <v>8.6805555555555525E-2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/>
      <c r="J7" s="18"/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0.41319444444444442</v>
      </c>
      <c r="F8" s="13">
        <v>0.44444444444444442</v>
      </c>
      <c r="G8" s="13">
        <v>0.50694444444444442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6.25E-2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0.40277777777777779</v>
      </c>
      <c r="F9" s="13">
        <v>0.4375</v>
      </c>
      <c r="G9" s="13">
        <v>0.49305555555555558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5.555555555555558E-2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0.2951388888888889</v>
      </c>
      <c r="F11" s="13">
        <v>0.35416666666666669</v>
      </c>
      <c r="G11" s="13">
        <v>0.4548611111111111</v>
      </c>
      <c r="H11" s="18" t="s">
        <v>93</v>
      </c>
      <c r="I11" s="18" t="s">
        <v>94</v>
      </c>
      <c r="J11" s="18" t="s">
        <v>95</v>
      </c>
      <c r="K11" s="13">
        <v>0.3298611111111111</v>
      </c>
      <c r="L11" s="13">
        <v>0.40277777777777779</v>
      </c>
      <c r="M11" s="13">
        <v>0.43402777777777779</v>
      </c>
      <c r="N11" s="13">
        <f t="shared" si="0"/>
        <v>0.10069444444444442</v>
      </c>
      <c r="O11" s="13">
        <f t="shared" si="1"/>
        <v>3.125E-2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0.30555555555555558</v>
      </c>
      <c r="F12" s="13">
        <v>0.35416666666666669</v>
      </c>
      <c r="G12" s="13">
        <v>0.4375</v>
      </c>
      <c r="H12" s="18" t="s">
        <v>100</v>
      </c>
      <c r="I12" s="18" t="s">
        <v>101</v>
      </c>
      <c r="J12" s="18" t="s">
        <v>201</v>
      </c>
      <c r="K12" s="13">
        <v>0.40277777777777779</v>
      </c>
      <c r="L12" s="13">
        <v>0.4548611111111111</v>
      </c>
      <c r="M12" s="13">
        <v>0.51041666666666663</v>
      </c>
      <c r="N12" s="13">
        <f t="shared" si="0"/>
        <v>8.3333333333333315E-2</v>
      </c>
      <c r="O12" s="13">
        <f t="shared" si="1"/>
        <v>5.5555555555555525E-2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>
        <v>0.39930555555555558</v>
      </c>
      <c r="F15" s="13">
        <v>0.4548611111111111</v>
      </c>
      <c r="G15" s="13">
        <v>0.53125</v>
      </c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>
        <f t="shared" si="0"/>
        <v>7.6388888888888895E-2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 t="s">
        <v>189</v>
      </c>
      <c r="F16" s="13" t="s">
        <v>190</v>
      </c>
      <c r="G16" s="13"/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 t="e">
        <f t="shared" si="0"/>
        <v>#VALUE!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0.3576388888888889</v>
      </c>
      <c r="F17" s="13">
        <v>0.4375</v>
      </c>
      <c r="G17" s="13">
        <v>0.47916666666666669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4.1666666666666685E-2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0.40277777777777779</v>
      </c>
      <c r="F19" s="13">
        <v>0.43055555555555558</v>
      </c>
      <c r="G19" s="13">
        <v>0.47569444444444442</v>
      </c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f t="shared" si="0"/>
        <v>4.513888888888884E-2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0.40625</v>
      </c>
      <c r="F20" s="13">
        <v>0.42708333333333331</v>
      </c>
      <c r="G20" s="13">
        <v>0.53819444444444442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0.1111111111111111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0.2986111111111111</v>
      </c>
      <c r="F21" s="13">
        <v>0.32291666666666669</v>
      </c>
      <c r="G21" s="13">
        <v>0.40277777777777779</v>
      </c>
      <c r="H21" s="18" t="s">
        <v>166</v>
      </c>
      <c r="I21" s="18" t="s">
        <v>167</v>
      </c>
      <c r="J21" s="18" t="s">
        <v>168</v>
      </c>
      <c r="K21" s="13" t="s">
        <v>189</v>
      </c>
      <c r="L21" s="13" t="s">
        <v>190</v>
      </c>
      <c r="M21" s="13"/>
      <c r="N21" s="13">
        <f t="shared" si="0"/>
        <v>7.9861111111111105E-2</v>
      </c>
      <c r="O21" s="13" t="e">
        <f t="shared" si="1"/>
        <v>#VALUE!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 t="s">
        <v>189</v>
      </c>
      <c r="F23" s="13" t="s">
        <v>190</v>
      </c>
      <c r="G23" s="13"/>
      <c r="H23" s="18" t="s">
        <v>73</v>
      </c>
      <c r="I23" s="18" t="s">
        <v>73</v>
      </c>
      <c r="J23" s="18" t="s">
        <v>73</v>
      </c>
      <c r="K23" s="13"/>
      <c r="L23" s="13"/>
      <c r="M23" s="13"/>
      <c r="N23" s="13" t="e">
        <f t="shared" si="0"/>
        <v>#VALUE!</v>
      </c>
      <c r="O23" s="13">
        <f t="shared" si="1"/>
        <v>0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0.40277777777777779</v>
      </c>
      <c r="F25" s="13">
        <v>0.4236111111111111</v>
      </c>
      <c r="G25" s="13">
        <v>0.47222222222222221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4.8611111111111105E-2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161</v>
      </c>
      <c r="I26" s="18" t="s">
        <v>159</v>
      </c>
      <c r="J26" s="18" t="s">
        <v>162</v>
      </c>
      <c r="K26" s="13" t="s">
        <v>189</v>
      </c>
      <c r="L26" s="13" t="s">
        <v>190</v>
      </c>
      <c r="M26" s="13"/>
      <c r="N26" s="13" t="e">
        <f t="shared" si="0"/>
        <v>#VALUE!</v>
      </c>
      <c r="O26" s="13" t="e">
        <f t="shared" si="1"/>
        <v>#VALUE!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205</v>
      </c>
      <c r="I27" s="18" t="s">
        <v>98</v>
      </c>
      <c r="J27" s="18" t="s">
        <v>187</v>
      </c>
      <c r="K27" s="13" t="s">
        <v>189</v>
      </c>
      <c r="L27" s="13" t="s">
        <v>190</v>
      </c>
      <c r="M27" s="13"/>
      <c r="N27" s="13" t="e">
        <f t="shared" si="0"/>
        <v>#VALUE!</v>
      </c>
      <c r="O27" s="13" t="e">
        <f t="shared" si="1"/>
        <v>#VALUE!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0.30555555555555558</v>
      </c>
      <c r="F28" s="13">
        <v>0.35416666666666669</v>
      </c>
      <c r="G28" s="13">
        <v>0.37847222222222221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2.4305555555555525E-2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>MOD(G29-F29, 1)</f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>
        <v>0.40277777777777779</v>
      </c>
      <c r="F30" s="13">
        <v>0.42708333333333331</v>
      </c>
      <c r="G30" s="13">
        <v>0.53472222222222221</v>
      </c>
      <c r="H30" s="18"/>
      <c r="I30" s="18"/>
      <c r="J30" s="18"/>
      <c r="K30" s="13"/>
      <c r="L30" s="13"/>
      <c r="M30" s="13"/>
      <c r="N30" s="13">
        <f t="shared" si="0"/>
        <v>0.1076388888888889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0.40277777777777779</v>
      </c>
      <c r="F31" s="13">
        <v>0.43402777777777779</v>
      </c>
      <c r="G31" s="13">
        <v>0.4861111111111111</v>
      </c>
      <c r="H31" s="18"/>
      <c r="I31" s="18"/>
      <c r="J31" s="18"/>
      <c r="K31" s="13"/>
      <c r="L31" s="13"/>
      <c r="M31" s="13"/>
      <c r="N31" s="13">
        <f t="shared" si="0"/>
        <v>5.2083333333333315E-2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>MOD(G32-F32, 1)</f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2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3 I5:I30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3D8B-99A8-4189-A832-3D6186A3B517}">
  <dimension ref="A1:R33"/>
  <sheetViews>
    <sheetView showGridLines="0" topLeftCell="B1" zoomScale="55" zoomScaleNormal="55" workbookViewId="0">
      <pane ySplit="3" topLeftCell="A4" activePane="bottomLeft" state="frozen"/>
      <selection pane="bottomLeft" activeCell="K8" sqref="K8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0.4375</v>
      </c>
      <c r="L5" s="13">
        <v>0.46875</v>
      </c>
      <c r="M5" s="13">
        <v>0.55208333333333337</v>
      </c>
      <c r="N5" s="13" t="e">
        <f>MOD(G5-F5, 1)</f>
        <v>#VALUE!</v>
      </c>
      <c r="O5" s="13">
        <f>MOD(M5-L5, 1)</f>
        <v>8.333333333333337E-2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0.2673611111111111</v>
      </c>
      <c r="F6" s="13">
        <v>0.2951388888888889</v>
      </c>
      <c r="G6" s="13">
        <v>0.34027777777777779</v>
      </c>
      <c r="H6" s="18" t="s">
        <v>66</v>
      </c>
      <c r="I6" s="18" t="s">
        <v>67</v>
      </c>
      <c r="J6" s="18" t="s">
        <v>68</v>
      </c>
      <c r="K6" s="13">
        <v>0.4375</v>
      </c>
      <c r="L6" s="13">
        <v>0.4513888888888889</v>
      </c>
      <c r="M6" s="13">
        <v>0.45833333333333331</v>
      </c>
      <c r="N6" s="13">
        <f t="shared" ref="N6:N32" si="0">MOD(G6-F6, 1)</f>
        <v>4.5138888888888895E-2</v>
      </c>
      <c r="O6" s="13">
        <f t="shared" ref="O6:O32" si="1">MOD(M6-L6, 1)</f>
        <v>6.9444444444444198E-3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/>
      <c r="J7" s="18"/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0.43402777777777779</v>
      </c>
      <c r="F8" s="13">
        <v>0.45833333333333331</v>
      </c>
      <c r="G8" s="13">
        <v>0.53819444444444442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7.9861111111111105E-2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0.43055555555555558</v>
      </c>
      <c r="F9" s="13">
        <v>0.4548611111111111</v>
      </c>
      <c r="G9" s="13">
        <v>0.54513888888888884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9.0277777777777735E-2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0.28125</v>
      </c>
      <c r="F11" s="13">
        <v>0.33680555555555558</v>
      </c>
      <c r="G11" s="13">
        <v>0.4548611111111111</v>
      </c>
      <c r="H11" s="18" t="s">
        <v>93</v>
      </c>
      <c r="I11" s="18" t="s">
        <v>94</v>
      </c>
      <c r="J11" s="18" t="s">
        <v>95</v>
      </c>
      <c r="K11" s="13">
        <v>0.31597222222222221</v>
      </c>
      <c r="L11" s="13">
        <v>0.38194444444444442</v>
      </c>
      <c r="M11" s="13">
        <v>0.41666666666666669</v>
      </c>
      <c r="N11" s="13">
        <f t="shared" si="0"/>
        <v>0.11805555555555552</v>
      </c>
      <c r="O11" s="13">
        <f t="shared" si="1"/>
        <v>3.4722222222222265E-2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0.33333333333333331</v>
      </c>
      <c r="F12" s="13">
        <v>0.3888888888888889</v>
      </c>
      <c r="G12" s="13">
        <v>0.45833333333333331</v>
      </c>
      <c r="H12" s="18" t="s">
        <v>100</v>
      </c>
      <c r="I12" s="18" t="s">
        <v>101</v>
      </c>
      <c r="J12" s="18" t="s">
        <v>201</v>
      </c>
      <c r="K12" s="13">
        <v>0.4201388888888889</v>
      </c>
      <c r="L12" s="13">
        <v>0.4861111111111111</v>
      </c>
      <c r="M12" s="13">
        <v>0.54513888888888884</v>
      </c>
      <c r="N12" s="13">
        <f t="shared" si="0"/>
        <v>6.944444444444442E-2</v>
      </c>
      <c r="O12" s="13">
        <f t="shared" si="1"/>
        <v>5.9027777777777735E-2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>
        <v>0.4236111111111111</v>
      </c>
      <c r="F15" s="13">
        <v>0.4826388888888889</v>
      </c>
      <c r="G15" s="13">
        <v>0.50347222222222221</v>
      </c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>
        <f t="shared" si="0"/>
        <v>2.0833333333333315E-2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>
        <v>0.44097222222222221</v>
      </c>
      <c r="F16" s="13">
        <v>0.4826388888888889</v>
      </c>
      <c r="G16" s="13">
        <v>0.5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>
        <f t="shared" si="0"/>
        <v>1.7361111111111105E-2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0.43055555555555558</v>
      </c>
      <c r="F17" s="13">
        <v>0.46527777777777779</v>
      </c>
      <c r="G17" s="13">
        <v>0.4826388888888889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1.7361111111111105E-2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/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0.42708333333333331</v>
      </c>
      <c r="F19" s="13">
        <v>0.44791666666666669</v>
      </c>
      <c r="G19" s="13">
        <v>0.4826388888888889</v>
      </c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f t="shared" si="0"/>
        <v>3.472222222222221E-2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0.43055555555555558</v>
      </c>
      <c r="F20" s="13">
        <v>0.4548611111111111</v>
      </c>
      <c r="G20" s="13">
        <v>0.52430555555555558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6.9444444444444475E-2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0.43055555555555558</v>
      </c>
      <c r="F21" s="13">
        <v>0.4548611111111111</v>
      </c>
      <c r="G21" s="13">
        <v>0.54166666666666663</v>
      </c>
      <c r="H21" s="18" t="s">
        <v>138</v>
      </c>
      <c r="I21" s="18" t="s">
        <v>139</v>
      </c>
      <c r="J21" s="18" t="s">
        <v>141</v>
      </c>
      <c r="K21" s="13" t="s">
        <v>189</v>
      </c>
      <c r="L21" s="13" t="s">
        <v>190</v>
      </c>
      <c r="M21" s="13"/>
      <c r="N21" s="13">
        <f t="shared" si="0"/>
        <v>8.6805555555555525E-2</v>
      </c>
      <c r="O21" s="13" t="e">
        <f t="shared" si="1"/>
        <v>#VALUE!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0.28819444444444442</v>
      </c>
      <c r="F23" s="13">
        <v>0.3263888888888889</v>
      </c>
      <c r="G23" s="13">
        <v>0.36458333333333331</v>
      </c>
      <c r="H23" s="18" t="s">
        <v>205</v>
      </c>
      <c r="I23" s="18" t="s">
        <v>98</v>
      </c>
      <c r="J23" s="18" t="s">
        <v>187</v>
      </c>
      <c r="K23" s="13" t="s">
        <v>189</v>
      </c>
      <c r="L23" s="13" t="s">
        <v>190</v>
      </c>
      <c r="M23" s="13"/>
      <c r="N23" s="13">
        <f t="shared" si="0"/>
        <v>3.819444444444442E-2</v>
      </c>
      <c r="O23" s="13" t="e">
        <f t="shared" si="1"/>
        <v>#VALUE!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0.42708333333333331</v>
      </c>
      <c r="F25" s="13">
        <v>0.4513888888888889</v>
      </c>
      <c r="G25" s="13">
        <v>0.51388888888888884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6.2499999999999944E-2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161</v>
      </c>
      <c r="I26" s="18" t="s">
        <v>159</v>
      </c>
      <c r="J26" s="18" t="s">
        <v>162</v>
      </c>
      <c r="K26" s="13" t="s">
        <v>189</v>
      </c>
      <c r="L26" s="13" t="s">
        <v>190</v>
      </c>
      <c r="M26" s="13"/>
      <c r="N26" s="13" t="e">
        <f t="shared" si="0"/>
        <v>#VALUE!</v>
      </c>
      <c r="O26" s="13" t="e">
        <f t="shared" si="1"/>
        <v>#VALUE!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>
        <v>0.21180555555555555</v>
      </c>
      <c r="F27" s="13">
        <v>0.3576388888888889</v>
      </c>
      <c r="G27" s="13">
        <v>0.45833333333333331</v>
      </c>
      <c r="H27" s="18" t="s">
        <v>166</v>
      </c>
      <c r="I27" s="18" t="s">
        <v>167</v>
      </c>
      <c r="J27" s="18" t="s">
        <v>168</v>
      </c>
      <c r="K27" s="13">
        <v>0.43055555555555558</v>
      </c>
      <c r="L27" s="13">
        <v>0.49305555555555558</v>
      </c>
      <c r="M27" s="13">
        <v>0.53125</v>
      </c>
      <c r="N27" s="13">
        <f t="shared" si="0"/>
        <v>0.10069444444444442</v>
      </c>
      <c r="O27" s="13">
        <f t="shared" si="1"/>
        <v>3.819444444444442E-2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0.28472222222222221</v>
      </c>
      <c r="F28" s="13">
        <v>0.34375</v>
      </c>
      <c r="G28" s="13">
        <v>0.40277777777777779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5.902777777777779E-2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 t="shared" si="0"/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0.43055555555555558</v>
      </c>
      <c r="F31" s="13">
        <v>0.45833333333333331</v>
      </c>
      <c r="G31" s="13">
        <v>0.50347222222222221</v>
      </c>
      <c r="H31" s="18"/>
      <c r="I31" s="18"/>
      <c r="J31" s="18"/>
      <c r="K31" s="13"/>
      <c r="L31" s="13"/>
      <c r="M31" s="13"/>
      <c r="N31" s="13">
        <f t="shared" si="0"/>
        <v>4.5138888888888895E-2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2 I5:I28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99BB-E559-43AB-A03C-49B9AD062557}">
  <dimension ref="A1:R33"/>
  <sheetViews>
    <sheetView showGridLines="0" zoomScale="70" zoomScaleNormal="70" workbookViewId="0">
      <pane ySplit="3" topLeftCell="A4" activePane="bottomLeft" state="frozen"/>
      <selection pane="bottomLeft" activeCell="D5" sqref="D5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0.44444444444444442</v>
      </c>
      <c r="L5" s="13">
        <v>0.47569444444444442</v>
      </c>
      <c r="M5" s="13">
        <v>0.56597222222222221</v>
      </c>
      <c r="N5" s="13" t="e">
        <f>MOD(G5-F5, 1)</f>
        <v>#VALUE!</v>
      </c>
      <c r="O5" s="13">
        <f>MOD(M5-L5, 1)</f>
        <v>9.027777777777779E-2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0.27430555555555558</v>
      </c>
      <c r="F6" s="13">
        <v>0.29166666666666669</v>
      </c>
      <c r="G6" s="13">
        <v>0.34027777777777779</v>
      </c>
      <c r="H6" s="18" t="s">
        <v>66</v>
      </c>
      <c r="I6" s="18" t="s">
        <v>67</v>
      </c>
      <c r="J6" s="18" t="s">
        <v>68</v>
      </c>
      <c r="K6" s="13">
        <v>0.44097222222222221</v>
      </c>
      <c r="L6" s="13">
        <v>0.46180555555555558</v>
      </c>
      <c r="M6" s="13">
        <v>0.63194444444444442</v>
      </c>
      <c r="N6" s="13">
        <f t="shared" ref="N6:N32" si="0">MOD(G6-F6, 1)</f>
        <v>4.8611111111111105E-2</v>
      </c>
      <c r="O6" s="13">
        <f t="shared" ref="O6:O32" si="1">MOD(M6-L6, 1)</f>
        <v>0.17013888888888884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0.3125</v>
      </c>
      <c r="F8" s="13">
        <v>0.33680555555555558</v>
      </c>
      <c r="G8" s="13">
        <v>0.36805555555555558</v>
      </c>
      <c r="H8" s="18" t="s">
        <v>75</v>
      </c>
      <c r="I8" s="18" t="s">
        <v>76</v>
      </c>
      <c r="J8" s="18" t="s">
        <v>77</v>
      </c>
      <c r="K8" s="13">
        <v>0.44791666666666669</v>
      </c>
      <c r="L8" s="13">
        <v>0.47569444444444442</v>
      </c>
      <c r="M8" s="13">
        <v>0.55208333333333337</v>
      </c>
      <c r="N8" s="13">
        <f t="shared" si="0"/>
        <v>3.125E-2</v>
      </c>
      <c r="O8" s="13">
        <f t="shared" si="1"/>
        <v>7.6388888888888951E-2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0.44097222222222221</v>
      </c>
      <c r="F9" s="13">
        <v>0.47222222222222221</v>
      </c>
      <c r="G9" s="13">
        <v>0.52083333333333337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4.861111111111116E-2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0.2986111111111111</v>
      </c>
      <c r="F11" s="13">
        <v>0.3298611111111111</v>
      </c>
      <c r="G11" s="13">
        <v>0.43055555555555558</v>
      </c>
      <c r="H11" s="18" t="s">
        <v>93</v>
      </c>
      <c r="I11" s="18" t="s">
        <v>94</v>
      </c>
      <c r="J11" s="18" t="s">
        <v>95</v>
      </c>
      <c r="K11" s="13">
        <v>0.34722222222222221</v>
      </c>
      <c r="L11" s="13">
        <v>0.3888888888888889</v>
      </c>
      <c r="M11" s="13">
        <v>0.42708333333333331</v>
      </c>
      <c r="N11" s="13">
        <f t="shared" si="0"/>
        <v>0.10069444444444448</v>
      </c>
      <c r="O11" s="13">
        <f t="shared" si="1"/>
        <v>3.819444444444442E-2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0.3298611111111111</v>
      </c>
      <c r="F12" s="13">
        <v>0.375</v>
      </c>
      <c r="G12" s="13">
        <v>0.40972222222222221</v>
      </c>
      <c r="H12" s="18" t="s">
        <v>100</v>
      </c>
      <c r="I12" s="18" t="s">
        <v>101</v>
      </c>
      <c r="J12" s="18" t="s">
        <v>201</v>
      </c>
      <c r="K12" s="13" t="s">
        <v>189</v>
      </c>
      <c r="L12" s="13" t="s">
        <v>190</v>
      </c>
      <c r="M12" s="13"/>
      <c r="N12" s="13">
        <f t="shared" si="0"/>
        <v>3.472222222222221E-2</v>
      </c>
      <c r="O12" s="13" t="e">
        <f t="shared" si="1"/>
        <v>#VALUE!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 t="s">
        <v>189</v>
      </c>
      <c r="F15" s="13" t="s">
        <v>190</v>
      </c>
      <c r="G15" s="13"/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 t="s">
        <v>195</v>
      </c>
      <c r="F16" s="13" t="s">
        <v>207</v>
      </c>
      <c r="G16" s="13" t="s">
        <v>208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 t="e">
        <f t="shared" si="0"/>
        <v>#VALUE!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0.44097222222222221</v>
      </c>
      <c r="F17" s="13">
        <v>0.47569444444444442</v>
      </c>
      <c r="G17" s="13">
        <v>0.51388888888888884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3.819444444444442E-2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>
        <v>0.31944444444444442</v>
      </c>
      <c r="F18" s="13">
        <v>0.35069444444444442</v>
      </c>
      <c r="G18" s="13">
        <v>0.51388888888888884</v>
      </c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>
        <f t="shared" si="0"/>
        <v>0.16319444444444442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0.44097222222222221</v>
      </c>
      <c r="F19" s="13">
        <v>0.46180555555555558</v>
      </c>
      <c r="G19" s="13">
        <v>0.56944444444444442</v>
      </c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f t="shared" si="0"/>
        <v>0.10763888888888884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0.44444444444444442</v>
      </c>
      <c r="F20" s="13">
        <v>0.4826388888888889</v>
      </c>
      <c r="G20" s="13">
        <v>0.57291666666666663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9.0277777777777735E-2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0.41666666666666669</v>
      </c>
      <c r="F21" s="13">
        <v>0.46875</v>
      </c>
      <c r="G21" s="13">
        <v>0.52430555555555558</v>
      </c>
      <c r="H21" s="18" t="s">
        <v>138</v>
      </c>
      <c r="I21" s="18" t="s">
        <v>139</v>
      </c>
      <c r="J21" s="18" t="s">
        <v>141</v>
      </c>
      <c r="K21" s="13">
        <v>0.30555555555555558</v>
      </c>
      <c r="L21" s="13">
        <v>0.3263888888888889</v>
      </c>
      <c r="M21" s="13">
        <v>0.35069444444444442</v>
      </c>
      <c r="N21" s="13">
        <f t="shared" si="0"/>
        <v>5.555555555555558E-2</v>
      </c>
      <c r="O21" s="13">
        <f t="shared" si="1"/>
        <v>2.4305555555555525E-2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0.2951388888888889</v>
      </c>
      <c r="F23" s="13">
        <v>0.32291666666666669</v>
      </c>
      <c r="G23" s="13">
        <v>0.3923611111111111</v>
      </c>
      <c r="H23" s="18" t="s">
        <v>205</v>
      </c>
      <c r="I23" s="18" t="s">
        <v>98</v>
      </c>
      <c r="J23" s="18" t="s">
        <v>187</v>
      </c>
      <c r="K23" s="13" t="s">
        <v>189</v>
      </c>
      <c r="L23" s="13" t="s">
        <v>190</v>
      </c>
      <c r="M23" s="13"/>
      <c r="N23" s="13">
        <f t="shared" si="0"/>
        <v>6.944444444444442E-2</v>
      </c>
      <c r="O23" s="13" t="e">
        <f t="shared" si="1"/>
        <v>#VALUE!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0.44097222222222221</v>
      </c>
      <c r="F25" s="13">
        <v>0.4548611111111111</v>
      </c>
      <c r="G25" s="13">
        <v>0.47222222222222221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1.7361111111111105E-2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161</v>
      </c>
      <c r="C26" s="18" t="s">
        <v>159</v>
      </c>
      <c r="D26" s="18" t="s">
        <v>162</v>
      </c>
      <c r="E26" s="13" t="s">
        <v>189</v>
      </c>
      <c r="F26" s="13" t="s">
        <v>190</v>
      </c>
      <c r="G26" s="13"/>
      <c r="H26" s="18" t="s">
        <v>73</v>
      </c>
      <c r="I26" s="18" t="s">
        <v>73</v>
      </c>
      <c r="J26" s="18" t="s">
        <v>73</v>
      </c>
      <c r="K26" s="13"/>
      <c r="L26" s="13"/>
      <c r="M26" s="13"/>
      <c r="N26" s="13" t="e">
        <f t="shared" si="0"/>
        <v>#VALUE!</v>
      </c>
      <c r="O26" s="13">
        <f t="shared" si="1"/>
        <v>0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166</v>
      </c>
      <c r="I27" s="18" t="s">
        <v>167</v>
      </c>
      <c r="J27" s="18" t="s">
        <v>168</v>
      </c>
      <c r="K27" s="13" t="s">
        <v>189</v>
      </c>
      <c r="L27" s="13" t="s">
        <v>190</v>
      </c>
      <c r="M27" s="13"/>
      <c r="N27" s="13" t="e">
        <f t="shared" si="0"/>
        <v>#VALUE!</v>
      </c>
      <c r="O27" s="13" t="e">
        <f t="shared" si="1"/>
        <v>#VALUE!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0.2951388888888889</v>
      </c>
      <c r="F28" s="13">
        <v>0.3298611111111111</v>
      </c>
      <c r="G28" s="13">
        <v>0.42708333333333331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9.722222222222221E-2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 t="shared" si="0"/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 t="s">
        <v>189</v>
      </c>
      <c r="F31" s="13" t="s">
        <v>190</v>
      </c>
      <c r="G31" s="13"/>
      <c r="H31" s="18"/>
      <c r="I31" s="18"/>
      <c r="J31" s="18"/>
      <c r="K31" s="13"/>
      <c r="L31" s="13"/>
      <c r="M31" s="13"/>
      <c r="N31" s="13" t="e">
        <f t="shared" si="0"/>
        <v>#VALUE!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5F50-FABD-476D-8DEC-E3D1A068407B}">
  <dimension ref="A1:R33"/>
  <sheetViews>
    <sheetView showGridLines="0" topLeftCell="G1" zoomScale="70" zoomScaleNormal="70" workbookViewId="0">
      <pane ySplit="3" topLeftCell="A4" activePane="bottomLeft" state="frozen"/>
      <selection pane="bottomLeft" activeCell="K16" sqref="K16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0.38541666666666669</v>
      </c>
      <c r="L5" s="13">
        <v>0.44444444444444442</v>
      </c>
      <c r="M5" s="13">
        <v>0.52777777777777779</v>
      </c>
      <c r="N5" s="13" t="e">
        <f>MOD(G5-F5, 1)</f>
        <v>#VALUE!</v>
      </c>
      <c r="O5" s="13">
        <f>MOD(M5-L5, 1)</f>
        <v>8.333333333333337E-2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0.27083333333333331</v>
      </c>
      <c r="F6" s="13">
        <v>0.30208333333333331</v>
      </c>
      <c r="G6" s="13">
        <v>0.34722222222222221</v>
      </c>
      <c r="H6" s="18" t="s">
        <v>66</v>
      </c>
      <c r="I6" s="18" t="s">
        <v>67</v>
      </c>
      <c r="J6" s="18" t="s">
        <v>68</v>
      </c>
      <c r="K6" s="13">
        <v>0.41319444444444442</v>
      </c>
      <c r="L6" s="13">
        <v>0.46527777777777779</v>
      </c>
      <c r="M6" s="13">
        <v>0.4826388888888889</v>
      </c>
      <c r="N6" s="13">
        <f t="shared" ref="N6:N32" si="0">MOD(G6-F6, 1)</f>
        <v>4.5138888888888895E-2</v>
      </c>
      <c r="O6" s="13">
        <f t="shared" ref="O6:O32" si="1">MOD(M6-L6, 1)</f>
        <v>1.7361111111111105E-2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0.28472222222222221</v>
      </c>
      <c r="F8" s="13">
        <v>0.3125</v>
      </c>
      <c r="G8" s="13">
        <v>0.33333333333333331</v>
      </c>
      <c r="H8" s="18" t="s">
        <v>75</v>
      </c>
      <c r="I8" s="18" t="s">
        <v>76</v>
      </c>
      <c r="J8" s="18" t="s">
        <v>77</v>
      </c>
      <c r="K8" s="13">
        <v>0.3923611111111111</v>
      </c>
      <c r="L8" s="13">
        <v>0.44097222222222221</v>
      </c>
      <c r="M8" s="13">
        <v>0.51041666666666663</v>
      </c>
      <c r="N8" s="13">
        <f t="shared" si="0"/>
        <v>2.0833333333333315E-2</v>
      </c>
      <c r="O8" s="13">
        <f t="shared" si="1"/>
        <v>6.944444444444442E-2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0.33333333333333331</v>
      </c>
      <c r="F9" s="13">
        <v>0.38541666666666669</v>
      </c>
      <c r="G9" s="13">
        <v>0.4236111111111111</v>
      </c>
      <c r="H9" s="18" t="s">
        <v>205</v>
      </c>
      <c r="I9" s="18" t="s">
        <v>98</v>
      </c>
      <c r="J9" s="18" t="s">
        <v>187</v>
      </c>
      <c r="K9" s="13" t="s">
        <v>189</v>
      </c>
      <c r="L9" s="13" t="s">
        <v>190</v>
      </c>
      <c r="M9" s="13"/>
      <c r="N9" s="13">
        <f t="shared" si="0"/>
        <v>3.819444444444442E-2</v>
      </c>
      <c r="O9" s="13" t="e">
        <f t="shared" si="1"/>
        <v>#VALUE!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0.28472222222222221</v>
      </c>
      <c r="F11" s="13">
        <v>0.34375</v>
      </c>
      <c r="G11" s="13">
        <v>0.45833333333333331</v>
      </c>
      <c r="H11" s="18" t="s">
        <v>93</v>
      </c>
      <c r="I11" s="18" t="s">
        <v>94</v>
      </c>
      <c r="J11" s="18" t="s">
        <v>95</v>
      </c>
      <c r="K11" s="13">
        <v>0.31944444444444442</v>
      </c>
      <c r="L11" s="13">
        <v>0.3888888888888889</v>
      </c>
      <c r="M11" s="13">
        <v>0.4236111111111111</v>
      </c>
      <c r="N11" s="13">
        <f t="shared" si="0"/>
        <v>0.11458333333333331</v>
      </c>
      <c r="O11" s="13">
        <f t="shared" si="1"/>
        <v>3.472222222222221E-2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0.30555555555555558</v>
      </c>
      <c r="F12" s="13">
        <v>0.375</v>
      </c>
      <c r="G12" s="13">
        <v>0.44097222222222221</v>
      </c>
      <c r="H12" s="18" t="s">
        <v>100</v>
      </c>
      <c r="I12" s="18" t="s">
        <v>101</v>
      </c>
      <c r="J12" s="18" t="s">
        <v>201</v>
      </c>
      <c r="K12" s="13">
        <v>0.39583333333333331</v>
      </c>
      <c r="L12" s="13">
        <v>0.46875</v>
      </c>
      <c r="M12" s="13">
        <v>0.48958333333333331</v>
      </c>
      <c r="N12" s="13">
        <f t="shared" si="0"/>
        <v>6.597222222222221E-2</v>
      </c>
      <c r="O12" s="13">
        <f t="shared" si="1"/>
        <v>2.0833333333333315E-2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>
        <v>0.38541666666666669</v>
      </c>
      <c r="F15" s="13">
        <v>0.43402777777777779</v>
      </c>
      <c r="G15" s="13">
        <v>0.4548611111111111</v>
      </c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>
        <f t="shared" si="0"/>
        <v>2.0833333333333315E-2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 t="s">
        <v>189</v>
      </c>
      <c r="F16" s="13" t="s">
        <v>190</v>
      </c>
      <c r="G16" s="13"/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 t="e">
        <f t="shared" si="0"/>
        <v>#VALUE!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 t="s">
        <v>189</v>
      </c>
      <c r="F17" s="13" t="s">
        <v>190</v>
      </c>
      <c r="G17" s="13"/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 t="e">
        <f t="shared" si="0"/>
        <v>#VALUE!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0.41666666666666669</v>
      </c>
      <c r="F19" s="13">
        <v>0.44444444444444442</v>
      </c>
      <c r="G19" s="13">
        <v>0.52083333333333337</v>
      </c>
      <c r="H19" s="18" t="s">
        <v>73</v>
      </c>
      <c r="I19" s="18"/>
      <c r="J19" s="18"/>
      <c r="K19" s="13"/>
      <c r="L19" s="13"/>
      <c r="M19" s="13"/>
      <c r="N19" s="13">
        <f t="shared" si="0"/>
        <v>7.6388888888888951E-2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0.4236111111111111</v>
      </c>
      <c r="F20" s="13">
        <v>0.44791666666666669</v>
      </c>
      <c r="G20" s="13">
        <v>0.53125</v>
      </c>
      <c r="H20" s="18" t="s">
        <v>73</v>
      </c>
      <c r="I20" s="18"/>
      <c r="J20" s="18"/>
      <c r="K20" s="13"/>
      <c r="L20" s="13"/>
      <c r="M20" s="13"/>
      <c r="N20" s="13">
        <f t="shared" si="0"/>
        <v>8.3333333333333315E-2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0.38541666666666669</v>
      </c>
      <c r="F21" s="13">
        <v>0.43055555555555558</v>
      </c>
      <c r="G21" s="13">
        <v>0.45833333333333331</v>
      </c>
      <c r="H21" s="18" t="s">
        <v>138</v>
      </c>
      <c r="I21" s="18" t="s">
        <v>139</v>
      </c>
      <c r="J21" s="18" t="s">
        <v>141</v>
      </c>
      <c r="K21" s="13">
        <v>0.27083333333333331</v>
      </c>
      <c r="L21" s="13">
        <v>0.2951388888888889</v>
      </c>
      <c r="M21" s="13">
        <v>0.30902777777777779</v>
      </c>
      <c r="N21" s="13">
        <f t="shared" si="0"/>
        <v>2.7777777777777735E-2</v>
      </c>
      <c r="O21" s="13">
        <f t="shared" si="1"/>
        <v>1.3888888888888895E-2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/>
      <c r="J22" s="18"/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 t="s">
        <v>189</v>
      </c>
      <c r="F23" s="13" t="s">
        <v>190</v>
      </c>
      <c r="G23" s="13"/>
      <c r="H23" s="18" t="s">
        <v>82</v>
      </c>
      <c r="I23" s="18" t="s">
        <v>83</v>
      </c>
      <c r="J23" s="18" t="s">
        <v>210</v>
      </c>
      <c r="K23" s="13">
        <v>0.41666666666666669</v>
      </c>
      <c r="L23" s="13">
        <v>0.46875</v>
      </c>
      <c r="M23" s="13">
        <v>0.49305555555555558</v>
      </c>
      <c r="N23" s="13" t="e">
        <f t="shared" si="0"/>
        <v>#VALUE!</v>
      </c>
      <c r="O23" s="13">
        <f t="shared" si="1"/>
        <v>2.430555555555558E-2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0.28819444444444442</v>
      </c>
      <c r="F25" s="13">
        <v>0.3125</v>
      </c>
      <c r="G25" s="13">
        <v>0.32291666666666669</v>
      </c>
      <c r="H25" s="18" t="s">
        <v>155</v>
      </c>
      <c r="I25" s="18" t="s">
        <v>146</v>
      </c>
      <c r="J25" s="18" t="s">
        <v>156</v>
      </c>
      <c r="K25" s="13">
        <v>0.41319444444444442</v>
      </c>
      <c r="L25" s="13">
        <v>0.43055555555555558</v>
      </c>
      <c r="M25" s="13">
        <v>0.47222222222222221</v>
      </c>
      <c r="N25" s="13">
        <f t="shared" si="0"/>
        <v>1.0416666666666685E-2</v>
      </c>
      <c r="O25" s="13">
        <f t="shared" si="1"/>
        <v>4.166666666666663E-2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161</v>
      </c>
      <c r="I26" s="18" t="s">
        <v>159</v>
      </c>
      <c r="J26" s="18" t="s">
        <v>162</v>
      </c>
      <c r="K26" s="13">
        <v>0.38194444444444442</v>
      </c>
      <c r="L26" s="13">
        <v>0.42708333333333331</v>
      </c>
      <c r="M26" s="13">
        <v>0.52430555555555558</v>
      </c>
      <c r="N26" s="13" t="e">
        <f t="shared" si="0"/>
        <v>#VALUE!</v>
      </c>
      <c r="O26" s="13">
        <f t="shared" si="1"/>
        <v>9.7222222222222265E-2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166</v>
      </c>
      <c r="I27" s="18" t="s">
        <v>167</v>
      </c>
      <c r="J27" s="18" t="s">
        <v>168</v>
      </c>
      <c r="K27" s="13">
        <v>0.41666666666666669</v>
      </c>
      <c r="L27" s="13">
        <v>0.46180555555555558</v>
      </c>
      <c r="M27" s="13">
        <v>0.49305555555555558</v>
      </c>
      <c r="N27" s="13" t="e">
        <f t="shared" si="0"/>
        <v>#VALUE!</v>
      </c>
      <c r="O27" s="13">
        <f t="shared" si="1"/>
        <v>3.125E-2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0.28472222222222221</v>
      </c>
      <c r="F28" s="13">
        <v>0.33333333333333331</v>
      </c>
      <c r="G28" s="13">
        <v>0.40972222222222221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7.6388888888888895E-2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 t="shared" si="0"/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0.41666666666666669</v>
      </c>
      <c r="F31" s="13">
        <v>0.4375</v>
      </c>
      <c r="G31" s="13">
        <v>0.5</v>
      </c>
      <c r="H31" s="18"/>
      <c r="I31" s="18"/>
      <c r="J31" s="18"/>
      <c r="K31" s="13"/>
      <c r="L31" s="13"/>
      <c r="M31" s="13"/>
      <c r="N31" s="13">
        <f t="shared" si="0"/>
        <v>6.25E-2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96ED-E3CC-410D-B116-84D5F1CA7A7D}">
  <dimension ref="A1:R33"/>
  <sheetViews>
    <sheetView showGridLines="0" zoomScale="55" zoomScaleNormal="55" workbookViewId="0">
      <pane ySplit="3" topLeftCell="A4" activePane="bottomLeft" state="frozen"/>
      <selection pane="bottomLeft" activeCell="I19" sqref="I19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161</v>
      </c>
      <c r="C5" s="18" t="s">
        <v>159</v>
      </c>
      <c r="D5" s="18" t="s">
        <v>162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0.37847222222222221</v>
      </c>
      <c r="L5" s="13">
        <v>0.4548611111111111</v>
      </c>
      <c r="M5" s="13">
        <v>0.51388888888888884</v>
      </c>
      <c r="N5" s="13" t="e">
        <f>MOD(G5-F5, 1)</f>
        <v>#VALUE!</v>
      </c>
      <c r="O5" s="13">
        <f>MOD(M5-L5, 1)</f>
        <v>5.9027777777777735E-2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0.2638888888888889</v>
      </c>
      <c r="F6" s="13">
        <v>0.29166666666666669</v>
      </c>
      <c r="G6" s="13">
        <v>0.34722222222222221</v>
      </c>
      <c r="H6" s="18" t="s">
        <v>66</v>
      </c>
      <c r="I6" s="18" t="s">
        <v>67</v>
      </c>
      <c r="J6" s="18" t="s">
        <v>68</v>
      </c>
      <c r="K6" s="13">
        <v>0.42708333333333331</v>
      </c>
      <c r="L6" s="13">
        <v>0.49652777777777779</v>
      </c>
      <c r="M6" s="13">
        <v>0.52083333333333337</v>
      </c>
      <c r="N6" s="13">
        <f t="shared" ref="N6:N32" si="0">MOD(G6-F6, 1)</f>
        <v>5.5555555555555525E-2</v>
      </c>
      <c r="O6" s="13">
        <f t="shared" ref="O6:O32" si="1">MOD(M6-L6, 1)</f>
        <v>2.430555555555558E-2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0.42708333333333331</v>
      </c>
      <c r="F8" s="13">
        <v>0.4513888888888889</v>
      </c>
      <c r="G8" s="13">
        <v>0.53125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7.9861111111111105E-2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0.4236111111111111</v>
      </c>
      <c r="F9" s="13">
        <v>0.4513888888888889</v>
      </c>
      <c r="G9" s="13">
        <v>0.50694444444444442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5.5555555555555525E-2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0.28125</v>
      </c>
      <c r="F11" s="13">
        <v>0.34375</v>
      </c>
      <c r="G11" s="13">
        <v>0.45833333333333331</v>
      </c>
      <c r="H11" s="18" t="s">
        <v>93</v>
      </c>
      <c r="I11" s="18" t="s">
        <v>94</v>
      </c>
      <c r="J11" s="18" t="s">
        <v>95</v>
      </c>
      <c r="K11" s="13">
        <v>0.33333333333333331</v>
      </c>
      <c r="L11" s="13">
        <v>0.39583333333333331</v>
      </c>
      <c r="M11" s="13">
        <v>0.44097222222222221</v>
      </c>
      <c r="N11" s="13">
        <f t="shared" si="0"/>
        <v>0.11458333333333331</v>
      </c>
      <c r="O11" s="13">
        <f t="shared" si="1"/>
        <v>4.5138888888888895E-2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0.2951388888888889</v>
      </c>
      <c r="F12" s="13">
        <v>0.34375</v>
      </c>
      <c r="G12" s="13">
        <v>0.44791666666666669</v>
      </c>
      <c r="H12" s="18" t="s">
        <v>120</v>
      </c>
      <c r="I12" s="18" t="s">
        <v>91</v>
      </c>
      <c r="J12" s="18" t="s">
        <v>211</v>
      </c>
      <c r="K12" s="13" t="s">
        <v>189</v>
      </c>
      <c r="L12" s="13" t="s">
        <v>190</v>
      </c>
      <c r="M12" s="13"/>
      <c r="N12" s="13">
        <f t="shared" si="0"/>
        <v>0.10416666666666669</v>
      </c>
      <c r="O12" s="13" t="e">
        <f t="shared" si="1"/>
        <v>#VALUE!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73</v>
      </c>
      <c r="I13" s="18" t="s">
        <v>73</v>
      </c>
      <c r="J13" s="18" t="s">
        <v>73</v>
      </c>
      <c r="K13" s="13"/>
      <c r="L13" s="13"/>
      <c r="M13" s="13"/>
      <c r="N13" s="13" t="e">
        <f t="shared" si="0"/>
        <v>#VALUE!</v>
      </c>
      <c r="O13" s="13">
        <f t="shared" si="1"/>
        <v>0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 t="s">
        <v>189</v>
      </c>
      <c r="F15" s="13" t="s">
        <v>190</v>
      </c>
      <c r="G15" s="13"/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119</v>
      </c>
      <c r="E16" s="13">
        <v>0.4201388888888889</v>
      </c>
      <c r="F16" s="13">
        <v>0.47916666666666669</v>
      </c>
      <c r="G16" s="13">
        <v>0.53472222222222221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>
        <f t="shared" si="0"/>
        <v>5.5555555555555525E-2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0.4201388888888889</v>
      </c>
      <c r="F17" s="13">
        <v>0.4513888888888889</v>
      </c>
      <c r="G17" s="13">
        <v>0.48958333333333331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3.819444444444442E-2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0.4236111111111111</v>
      </c>
      <c r="F19" s="13">
        <v>0.4513888888888889</v>
      </c>
      <c r="G19" s="13">
        <v>0.5625</v>
      </c>
      <c r="H19" s="18" t="s">
        <v>73</v>
      </c>
      <c r="I19" s="18"/>
      <c r="J19" s="18"/>
      <c r="K19" s="13"/>
      <c r="L19" s="13"/>
      <c r="M19" s="13"/>
      <c r="N19" s="13">
        <f t="shared" si="0"/>
        <v>0.1111111111111111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0.39583333333333331</v>
      </c>
      <c r="F20" s="13">
        <v>0.4513888888888889</v>
      </c>
      <c r="G20" s="13">
        <v>0.53819444444444442</v>
      </c>
      <c r="H20" s="18" t="s">
        <v>73</v>
      </c>
      <c r="I20" s="18"/>
      <c r="J20" s="18"/>
      <c r="K20" s="13"/>
      <c r="L20" s="13"/>
      <c r="M20" s="13"/>
      <c r="N20" s="13">
        <f t="shared" si="0"/>
        <v>8.6805555555555525E-2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0.4236111111111111</v>
      </c>
      <c r="F21" s="13">
        <v>0.44444444444444442</v>
      </c>
      <c r="G21" s="13">
        <v>0.51388888888888884</v>
      </c>
      <c r="H21" s="18" t="s">
        <v>73</v>
      </c>
      <c r="I21" s="18" t="s">
        <v>73</v>
      </c>
      <c r="J21" s="18" t="s">
        <v>73</v>
      </c>
      <c r="K21" s="13"/>
      <c r="L21" s="13"/>
      <c r="M21" s="13"/>
      <c r="N21" s="13">
        <f t="shared" si="0"/>
        <v>6.944444444444442E-2</v>
      </c>
      <c r="O21" s="13">
        <f t="shared" si="1"/>
        <v>0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0.4236111111111111</v>
      </c>
      <c r="F23" s="13">
        <v>0.46180555555555558</v>
      </c>
      <c r="G23" s="13">
        <v>0.53125</v>
      </c>
      <c r="H23" s="18" t="s">
        <v>73</v>
      </c>
      <c r="I23" s="18" t="s">
        <v>73</v>
      </c>
      <c r="J23" s="18" t="s">
        <v>73</v>
      </c>
      <c r="K23" s="13"/>
      <c r="L23" s="13"/>
      <c r="M23" s="13"/>
      <c r="N23" s="13">
        <f t="shared" si="0"/>
        <v>6.944444444444442E-2</v>
      </c>
      <c r="O23" s="13">
        <f t="shared" si="1"/>
        <v>0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0.4236111111111111</v>
      </c>
      <c r="F25" s="13">
        <v>0.44097222222222221</v>
      </c>
      <c r="G25" s="13">
        <v>0.47916666666666669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3.8194444444444475E-2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205</v>
      </c>
      <c r="I26" s="18" t="s">
        <v>98</v>
      </c>
      <c r="J26" s="18" t="s">
        <v>187</v>
      </c>
      <c r="K26" s="13" t="s">
        <v>189</v>
      </c>
      <c r="L26" s="13" t="s">
        <v>190</v>
      </c>
      <c r="M26" s="13"/>
      <c r="N26" s="13" t="e">
        <f t="shared" si="0"/>
        <v>#VALUE!</v>
      </c>
      <c r="O26" s="13" t="e">
        <f t="shared" si="1"/>
        <v>#VALUE!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166</v>
      </c>
      <c r="I27" s="18" t="s">
        <v>167</v>
      </c>
      <c r="J27" s="18" t="s">
        <v>168</v>
      </c>
      <c r="K27" s="13" t="s">
        <v>189</v>
      </c>
      <c r="L27" s="13" t="s">
        <v>190</v>
      </c>
      <c r="M27" s="13"/>
      <c r="N27" s="13" t="e">
        <f t="shared" si="0"/>
        <v>#VALUE!</v>
      </c>
      <c r="O27" s="13" t="e">
        <f t="shared" si="1"/>
        <v>#VALUE!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0.29166666666666669</v>
      </c>
      <c r="F28" s="13">
        <v>0.33333333333333331</v>
      </c>
      <c r="G28" s="13">
        <v>0.40972222222222221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7.6388888888888895E-2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 t="shared" si="0"/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0.40972222222222221</v>
      </c>
      <c r="F31" s="13">
        <v>0.44791666666666669</v>
      </c>
      <c r="G31" s="13">
        <v>0.49652777777777779</v>
      </c>
      <c r="H31" s="18"/>
      <c r="I31" s="18"/>
      <c r="J31" s="18"/>
      <c r="K31" s="13"/>
      <c r="L31" s="13"/>
      <c r="M31" s="13"/>
      <c r="N31" s="13">
        <f t="shared" si="0"/>
        <v>4.8611111111111105E-2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2 I5:I28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8439-DCD7-4229-A2C6-19B2785D79DB}">
  <dimension ref="A1:R33"/>
  <sheetViews>
    <sheetView showGridLines="0" zoomScale="70" zoomScaleNormal="70" workbookViewId="0">
      <pane ySplit="3" topLeftCell="A9" activePane="bottomLeft" state="frozen"/>
      <selection pane="bottomLeft" activeCell="E10" sqref="E10:F10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/>
      <c r="F5" s="13"/>
      <c r="G5" s="13"/>
      <c r="H5" s="18" t="s">
        <v>63</v>
      </c>
      <c r="I5" s="18" t="s">
        <v>64</v>
      </c>
      <c r="J5" s="18" t="s">
        <v>65</v>
      </c>
      <c r="K5" s="13">
        <v>0.36805555555555558</v>
      </c>
      <c r="L5" s="13">
        <v>0.43055555555555558</v>
      </c>
      <c r="M5" s="13">
        <v>0.53125</v>
      </c>
      <c r="N5" s="13">
        <f>MOD(G5-F5, 1)</f>
        <v>0</v>
      </c>
      <c r="O5" s="13">
        <f>MOD(M5-L5, 1)</f>
        <v>0.10069444444444442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0.2638888888888889</v>
      </c>
      <c r="F6" s="13">
        <v>0.2986111111111111</v>
      </c>
      <c r="G6" s="13">
        <v>0.34722222222222221</v>
      </c>
      <c r="H6" s="18" t="s">
        <v>66</v>
      </c>
      <c r="I6" s="18" t="s">
        <v>67</v>
      </c>
      <c r="J6" s="18" t="s">
        <v>68</v>
      </c>
      <c r="K6" s="13">
        <v>0.39930555555555558</v>
      </c>
      <c r="L6" s="13">
        <v>0.4201388888888889</v>
      </c>
      <c r="M6" s="13">
        <v>0.50694444444444442</v>
      </c>
      <c r="N6" s="13">
        <f t="shared" ref="N6:N32" si="0">MOD(G6-F6, 1)</f>
        <v>4.8611111111111105E-2</v>
      </c>
      <c r="O6" s="13">
        <f t="shared" ref="O6:O32" si="1">MOD(M6-L6, 1)</f>
        <v>8.6805555555555525E-2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/>
      <c r="F7" s="13"/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>
        <f t="shared" si="0"/>
        <v>0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0.40625</v>
      </c>
      <c r="F8" s="13">
        <v>0.43055555555555558</v>
      </c>
      <c r="G8" s="13">
        <v>0.47916666666666669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4.8611111111111105E-2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0.39930555555555558</v>
      </c>
      <c r="F9" s="13">
        <v>0.43055555555555558</v>
      </c>
      <c r="G9" s="13">
        <v>0.4513888888888889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2.0833333333333315E-2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/>
      <c r="J10" s="18"/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0.27430555555555558</v>
      </c>
      <c r="F11" s="13">
        <v>0.32291666666666669</v>
      </c>
      <c r="G11" s="13">
        <v>0.36805555555555558</v>
      </c>
      <c r="H11" s="18" t="s">
        <v>93</v>
      </c>
      <c r="I11" s="18" t="s">
        <v>94</v>
      </c>
      <c r="J11" s="18" t="s">
        <v>95</v>
      </c>
      <c r="K11" s="13">
        <v>0.48958333333333331</v>
      </c>
      <c r="L11" s="13">
        <v>0.52777777777777779</v>
      </c>
      <c r="M11" s="13">
        <v>0.55555555555555558</v>
      </c>
      <c r="N11" s="13">
        <f t="shared" si="0"/>
        <v>4.5138888888888895E-2</v>
      </c>
      <c r="O11" s="13">
        <f t="shared" si="1"/>
        <v>2.777777777777779E-2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0.29166666666666669</v>
      </c>
      <c r="F12" s="13">
        <v>0.35069444444444442</v>
      </c>
      <c r="G12" s="13">
        <v>0.41666666666666669</v>
      </c>
      <c r="H12" s="18" t="s">
        <v>100</v>
      </c>
      <c r="I12" s="18" t="s">
        <v>101</v>
      </c>
      <c r="J12" s="18" t="s">
        <v>201</v>
      </c>
      <c r="K12" s="13">
        <v>0.39930555555555558</v>
      </c>
      <c r="L12" s="13">
        <v>0.46875</v>
      </c>
      <c r="M12" s="13">
        <v>0.51388888888888884</v>
      </c>
      <c r="N12" s="13">
        <f t="shared" si="0"/>
        <v>6.5972222222222265E-2</v>
      </c>
      <c r="O12" s="13">
        <f t="shared" si="1"/>
        <v>4.513888888888884E-2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 t="s">
        <v>189</v>
      </c>
      <c r="F15" s="13" t="s">
        <v>190</v>
      </c>
      <c r="G15" s="13"/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212</v>
      </c>
      <c r="E16" s="13">
        <v>0.36458333333333331</v>
      </c>
      <c r="F16" s="13">
        <v>0.44444444444444442</v>
      </c>
      <c r="G16" s="13">
        <v>0.5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>
        <f t="shared" si="0"/>
        <v>5.555555555555558E-2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 t="s">
        <v>189</v>
      </c>
      <c r="F17" s="13" t="s">
        <v>190</v>
      </c>
      <c r="G17" s="13"/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 t="e">
        <f t="shared" si="0"/>
        <v>#VALUE!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209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0.39930555555555558</v>
      </c>
      <c r="F19" s="13">
        <v>0.4201388888888889</v>
      </c>
      <c r="G19" s="13">
        <v>0.4548611111111111</v>
      </c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f t="shared" si="0"/>
        <v>3.472222222222221E-2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0.39930555555555558</v>
      </c>
      <c r="F20" s="13">
        <v>0.4236111111111111</v>
      </c>
      <c r="G20" s="13">
        <v>0.46180555555555558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3.8194444444444475E-2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0.40277777777777779</v>
      </c>
      <c r="F21" s="13">
        <v>0.4236111111111111</v>
      </c>
      <c r="G21" s="13">
        <v>0.49305555555555558</v>
      </c>
      <c r="H21" s="18" t="s">
        <v>73</v>
      </c>
      <c r="I21" s="18" t="s">
        <v>73</v>
      </c>
      <c r="J21" s="18" t="s">
        <v>73</v>
      </c>
      <c r="K21" s="13"/>
      <c r="L21" s="13"/>
      <c r="M21" s="13"/>
      <c r="N21" s="13">
        <f t="shared" si="0"/>
        <v>6.9444444444444475E-2</v>
      </c>
      <c r="O21" s="13">
        <f t="shared" si="1"/>
        <v>0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0.28125</v>
      </c>
      <c r="F23" s="13">
        <v>0.3125</v>
      </c>
      <c r="G23" s="13">
        <v>0.3263888888888889</v>
      </c>
      <c r="H23" s="18" t="s">
        <v>205</v>
      </c>
      <c r="I23" s="18" t="s">
        <v>98</v>
      </c>
      <c r="J23" s="18" t="s">
        <v>187</v>
      </c>
      <c r="K23" s="13" t="s">
        <v>189</v>
      </c>
      <c r="L23" s="13" t="s">
        <v>190</v>
      </c>
      <c r="M23" s="13"/>
      <c r="N23" s="13">
        <f t="shared" si="0"/>
        <v>1.3888888888888895E-2</v>
      </c>
      <c r="O23" s="13" t="e">
        <f t="shared" si="1"/>
        <v>#VALUE!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0.39930555555555558</v>
      </c>
      <c r="F25" s="13">
        <v>0.41319444444444442</v>
      </c>
      <c r="G25" s="13">
        <v>0.4548611111111111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4.1666666666666685E-2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73</v>
      </c>
      <c r="I26" s="18" t="s">
        <v>73</v>
      </c>
      <c r="J26" s="18" t="s">
        <v>73</v>
      </c>
      <c r="K26" s="13"/>
      <c r="L26" s="13"/>
      <c r="M26" s="13"/>
      <c r="N26" s="13" t="e">
        <f t="shared" si="0"/>
        <v>#VALUE!</v>
      </c>
      <c r="O26" s="13">
        <f t="shared" si="1"/>
        <v>0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166</v>
      </c>
      <c r="I27" s="18" t="s">
        <v>167</v>
      </c>
      <c r="J27" s="18" t="s">
        <v>168</v>
      </c>
      <c r="K27" s="13">
        <v>0.40625</v>
      </c>
      <c r="L27" s="13">
        <v>0.4513888888888889</v>
      </c>
      <c r="M27" s="13">
        <v>0.46527777777777779</v>
      </c>
      <c r="N27" s="13" t="e">
        <f t="shared" si="0"/>
        <v>#VALUE!</v>
      </c>
      <c r="O27" s="13">
        <f t="shared" si="1"/>
        <v>1.3888888888888895E-2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0.27430555555555558</v>
      </c>
      <c r="F28" s="13">
        <v>0.32291666666666669</v>
      </c>
      <c r="G28" s="13">
        <v>0.36805555555555558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4.5138888888888895E-2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 t="shared" si="0"/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0.39930555555555558</v>
      </c>
      <c r="F31" s="13">
        <v>0.4375</v>
      </c>
      <c r="G31" s="13">
        <v>0.49305555555555558</v>
      </c>
      <c r="H31" s="18"/>
      <c r="I31" s="18"/>
      <c r="J31" s="18"/>
      <c r="K31" s="13"/>
      <c r="L31" s="13"/>
      <c r="M31" s="13"/>
      <c r="N31" s="13">
        <f t="shared" si="0"/>
        <v>5.555555555555558E-2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FDD3-39A2-42BE-8339-6177B9567128}">
  <dimension ref="A1:R33"/>
  <sheetViews>
    <sheetView showGridLines="0" zoomScale="70" zoomScaleNormal="70" workbookViewId="0">
      <pane ySplit="3" topLeftCell="A4" activePane="bottomLeft" state="frozen"/>
      <selection pane="bottomLeft" activeCell="E26" sqref="E26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0.38194444444444442</v>
      </c>
      <c r="L5" s="13">
        <v>0.4548611111111111</v>
      </c>
      <c r="M5" s="13">
        <v>0.48958333333333331</v>
      </c>
      <c r="N5" s="13" t="e">
        <f>MOD(G5-F5, 1)</f>
        <v>#VALUE!</v>
      </c>
      <c r="O5" s="13">
        <f>MOD(M5-L5, 1)</f>
        <v>3.472222222222221E-2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0.27777777777777779</v>
      </c>
      <c r="F6" s="13">
        <v>0.2986111111111111</v>
      </c>
      <c r="G6" s="13">
        <v>0.34375</v>
      </c>
      <c r="H6" s="18" t="s">
        <v>66</v>
      </c>
      <c r="I6" s="18" t="s">
        <v>67</v>
      </c>
      <c r="J6" s="18" t="s">
        <v>68</v>
      </c>
      <c r="K6" s="13">
        <v>0.40972222222222221</v>
      </c>
      <c r="L6" s="13">
        <v>0.4513888888888889</v>
      </c>
      <c r="M6" s="13">
        <v>0.54166666666666663</v>
      </c>
      <c r="N6" s="13">
        <f t="shared" ref="N6:N32" si="0">MOD(G6-F6, 1)</f>
        <v>4.5138888888888895E-2</v>
      </c>
      <c r="O6" s="13">
        <f t="shared" ref="O6:O32" si="1">MOD(M6-L6, 1)</f>
        <v>9.0277777777777735E-2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0.38194444444444442</v>
      </c>
      <c r="F8" s="13">
        <v>0.4513888888888889</v>
      </c>
      <c r="G8" s="13">
        <v>0.51388888888888884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6.2499999999999944E-2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0.4236111111111111</v>
      </c>
      <c r="F9" s="13">
        <v>0.44791666666666669</v>
      </c>
      <c r="G9" s="13">
        <v>0.47916666666666669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3.125E-2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/>
      <c r="J10" s="18"/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0.28125</v>
      </c>
      <c r="F11" s="13">
        <v>0.31944444444444442</v>
      </c>
      <c r="G11" s="13">
        <v>0.44791666666666669</v>
      </c>
      <c r="H11" s="18" t="s">
        <v>93</v>
      </c>
      <c r="I11" s="18" t="s">
        <v>94</v>
      </c>
      <c r="J11" s="18" t="s">
        <v>95</v>
      </c>
      <c r="K11" s="13">
        <v>0.34375</v>
      </c>
      <c r="L11" s="13">
        <v>0.39930555555555558</v>
      </c>
      <c r="M11" s="13">
        <v>0.43055555555555558</v>
      </c>
      <c r="N11" s="13">
        <f t="shared" si="0"/>
        <v>0.12847222222222227</v>
      </c>
      <c r="O11" s="13">
        <f t="shared" si="1"/>
        <v>3.125E-2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0.30555555555555558</v>
      </c>
      <c r="F12" s="13">
        <v>0.37847222222222221</v>
      </c>
      <c r="G12" s="13">
        <v>0.4375</v>
      </c>
      <c r="H12" s="18" t="s">
        <v>100</v>
      </c>
      <c r="I12" s="18" t="s">
        <v>101</v>
      </c>
      <c r="J12" s="18" t="s">
        <v>201</v>
      </c>
      <c r="K12" s="13" t="s">
        <v>189</v>
      </c>
      <c r="L12" s="13" t="s">
        <v>190</v>
      </c>
      <c r="M12" s="13"/>
      <c r="N12" s="13">
        <f t="shared" si="0"/>
        <v>5.902777777777779E-2</v>
      </c>
      <c r="O12" s="13" t="e">
        <f t="shared" si="1"/>
        <v>#VALUE!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73</v>
      </c>
      <c r="I13" s="18" t="s">
        <v>73</v>
      </c>
      <c r="J13" s="18" t="s">
        <v>73</v>
      </c>
      <c r="K13" s="13"/>
      <c r="L13" s="13"/>
      <c r="M13" s="13"/>
      <c r="N13" s="13" t="e">
        <f t="shared" si="0"/>
        <v>#VALUE!</v>
      </c>
      <c r="O13" s="13">
        <f t="shared" si="1"/>
        <v>0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189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189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 t="s">
        <v>189</v>
      </c>
      <c r="F15" s="13" t="s">
        <v>190</v>
      </c>
      <c r="G15" s="13"/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216</v>
      </c>
      <c r="E16" s="13">
        <v>0.40972222222222221</v>
      </c>
      <c r="F16" s="13">
        <v>0.46527777777777779</v>
      </c>
      <c r="G16" s="13">
        <v>0.50694444444444442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>
        <f t="shared" si="0"/>
        <v>4.166666666666663E-2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0.4236111111111111</v>
      </c>
      <c r="F17" s="13">
        <v>0.4548611111111111</v>
      </c>
      <c r="G17" s="13">
        <v>0.47222222222222221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1.7361111111111105E-2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209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0.4236111111111111</v>
      </c>
      <c r="F19" s="13">
        <v>0.44097222222222221</v>
      </c>
      <c r="G19" s="13">
        <v>0.55902777777777779</v>
      </c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f t="shared" si="0"/>
        <v>0.11805555555555558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0.42708333333333331</v>
      </c>
      <c r="F20" s="13">
        <v>0.4513888888888889</v>
      </c>
      <c r="G20" s="13">
        <v>0.52430555555555558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7.2916666666666685E-2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>
        <v>0.40625</v>
      </c>
      <c r="F21" s="13">
        <v>0.44444444444444442</v>
      </c>
      <c r="G21" s="13">
        <v>0.49305555555555558</v>
      </c>
      <c r="H21" s="18" t="s">
        <v>138</v>
      </c>
      <c r="I21" s="18" t="s">
        <v>139</v>
      </c>
      <c r="J21" s="18" t="s">
        <v>140</v>
      </c>
      <c r="K21" s="13">
        <v>0.40625</v>
      </c>
      <c r="L21" s="13">
        <v>0.44444444444444442</v>
      </c>
      <c r="M21" s="13">
        <v>0.49305555555555558</v>
      </c>
      <c r="N21" s="13">
        <f t="shared" si="0"/>
        <v>4.861111111111116E-2</v>
      </c>
      <c r="O21" s="13">
        <f t="shared" si="1"/>
        <v>4.861111111111116E-2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0.28819444444444442</v>
      </c>
      <c r="F23" s="13">
        <v>0.3263888888888889</v>
      </c>
      <c r="G23" s="13">
        <v>0.36805555555555558</v>
      </c>
      <c r="H23" s="18" t="s">
        <v>213</v>
      </c>
      <c r="I23" s="18" t="s">
        <v>214</v>
      </c>
      <c r="J23" s="18" t="s">
        <v>215</v>
      </c>
      <c r="K23" s="13">
        <v>0.4236111111111111</v>
      </c>
      <c r="L23" s="13">
        <v>0.44791666666666669</v>
      </c>
      <c r="M23" s="13">
        <v>0.47222222222222221</v>
      </c>
      <c r="N23" s="13">
        <f t="shared" si="0"/>
        <v>4.1666666666666685E-2</v>
      </c>
      <c r="O23" s="13">
        <f t="shared" si="1"/>
        <v>2.4305555555555525E-2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0.42708333333333331</v>
      </c>
      <c r="F25" s="13">
        <v>0.44097222222222221</v>
      </c>
      <c r="G25" s="13">
        <v>0.47916666666666669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3.8194444444444475E-2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205</v>
      </c>
      <c r="I26" s="18" t="s">
        <v>98</v>
      </c>
      <c r="J26" s="18" t="s">
        <v>187</v>
      </c>
      <c r="K26" s="13" t="s">
        <v>189</v>
      </c>
      <c r="L26" s="13" t="s">
        <v>190</v>
      </c>
      <c r="M26" s="13"/>
      <c r="N26" s="13" t="e">
        <f t="shared" si="0"/>
        <v>#VALUE!</v>
      </c>
      <c r="O26" s="13" t="e">
        <f t="shared" si="1"/>
        <v>#VALUE!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166</v>
      </c>
      <c r="I27" s="18" t="s">
        <v>167</v>
      </c>
      <c r="J27" s="18" t="s">
        <v>168</v>
      </c>
      <c r="K27" s="13">
        <v>0.4236111111111111</v>
      </c>
      <c r="L27" s="13">
        <v>0.45833333333333331</v>
      </c>
      <c r="M27" s="13">
        <v>0.49652777777777779</v>
      </c>
      <c r="N27" s="13" t="e">
        <f t="shared" si="0"/>
        <v>#VALUE!</v>
      </c>
      <c r="O27" s="13">
        <f t="shared" si="1"/>
        <v>3.8194444444444475E-2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0.28125</v>
      </c>
      <c r="F28" s="13">
        <v>0.31944444444444442</v>
      </c>
      <c r="G28" s="13">
        <v>0.40972222222222221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9.027777777777779E-2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 t="shared" si="0"/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0.41666666666666669</v>
      </c>
      <c r="F31" s="13">
        <v>0.44097222222222221</v>
      </c>
      <c r="G31" s="13">
        <v>0.48958333333333331</v>
      </c>
      <c r="H31" s="18"/>
      <c r="I31" s="18"/>
      <c r="J31" s="18"/>
      <c r="K31" s="13"/>
      <c r="L31" s="13"/>
      <c r="M31" s="13"/>
      <c r="N31" s="13">
        <f t="shared" si="0"/>
        <v>4.8611111111111105E-2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3DC9-1BDD-4B49-ACC7-095E75B0532D}">
  <dimension ref="A1:R33"/>
  <sheetViews>
    <sheetView showGridLines="0" zoomScale="70" zoomScaleNormal="70" workbookViewId="0">
      <pane ySplit="3" topLeftCell="A4" activePane="bottomLeft" state="frozen"/>
      <selection pane="bottomLeft" activeCell="D6" sqref="D6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218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0.4236111111111111</v>
      </c>
      <c r="L5" s="13">
        <v>0.4513888888888889</v>
      </c>
      <c r="M5" s="13">
        <v>0.53472222222222221</v>
      </c>
      <c r="N5" s="13" t="e">
        <f>MOD(G5-F5, 1)</f>
        <v>#VALUE!</v>
      </c>
      <c r="O5" s="13">
        <f>MOD(M5-L5, 1)</f>
        <v>8.3333333333333315E-2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0.2361111111111111</v>
      </c>
      <c r="F6" s="13">
        <v>0.30902777777777779</v>
      </c>
      <c r="G6" s="13">
        <v>0.35416666666666669</v>
      </c>
      <c r="H6" s="18" t="s">
        <v>66</v>
      </c>
      <c r="I6" s="18" t="s">
        <v>67</v>
      </c>
      <c r="J6" s="18" t="s">
        <v>68</v>
      </c>
      <c r="K6" s="13">
        <v>0.4201388888888889</v>
      </c>
      <c r="L6" s="13">
        <v>0.4375</v>
      </c>
      <c r="M6" s="13">
        <v>0.4826388888888889</v>
      </c>
      <c r="N6" s="13">
        <f t="shared" ref="N6:N32" si="0">MOD(G6-F6, 1)</f>
        <v>4.5138888888888895E-2</v>
      </c>
      <c r="O6" s="13">
        <f t="shared" ref="O6:O32" si="1">MOD(M6-L6, 1)</f>
        <v>4.5138888888888895E-2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218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0.4236111111111111</v>
      </c>
      <c r="F8" s="13">
        <v>0.44791666666666669</v>
      </c>
      <c r="G8" s="13">
        <v>0.49652777777777779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4.8611111111111105E-2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0.4201388888888889</v>
      </c>
      <c r="F9" s="13">
        <v>0.44791666666666669</v>
      </c>
      <c r="G9" s="13">
        <v>0.50694444444444442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5.9027777777777735E-2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218</v>
      </c>
      <c r="F10" s="13" t="s">
        <v>190</v>
      </c>
      <c r="G10" s="13"/>
      <c r="H10" s="18" t="s">
        <v>73</v>
      </c>
      <c r="I10" s="18" t="s">
        <v>73</v>
      </c>
      <c r="J10" s="18" t="s">
        <v>73</v>
      </c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0.27430555555555558</v>
      </c>
      <c r="F11" s="13">
        <v>0.33333333333333331</v>
      </c>
      <c r="G11" s="13">
        <v>0.44791666666666669</v>
      </c>
      <c r="H11" s="18" t="s">
        <v>93</v>
      </c>
      <c r="I11" s="18" t="s">
        <v>94</v>
      </c>
      <c r="J11" s="18" t="s">
        <v>95</v>
      </c>
      <c r="K11" s="13">
        <v>0.3125</v>
      </c>
      <c r="L11" s="13">
        <v>0.37152777777777779</v>
      </c>
      <c r="M11" s="13">
        <v>0.41666666666666669</v>
      </c>
      <c r="N11" s="13">
        <f t="shared" si="0"/>
        <v>0.11458333333333337</v>
      </c>
      <c r="O11" s="13">
        <f t="shared" si="1"/>
        <v>4.5138888888888895E-2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0.29166666666666669</v>
      </c>
      <c r="F12" s="13">
        <v>0.3611111111111111</v>
      </c>
      <c r="G12" s="13">
        <v>0.42708333333333331</v>
      </c>
      <c r="H12" s="18" t="s">
        <v>100</v>
      </c>
      <c r="I12" s="18" t="s">
        <v>101</v>
      </c>
      <c r="J12" s="18" t="s">
        <v>217</v>
      </c>
      <c r="K12" s="13">
        <v>0.4201388888888889</v>
      </c>
      <c r="L12" s="13">
        <v>0.46180555555555558</v>
      </c>
      <c r="M12" s="13">
        <v>0.49652777777777779</v>
      </c>
      <c r="N12" s="13">
        <f t="shared" si="0"/>
        <v>6.597222222222221E-2</v>
      </c>
      <c r="O12" s="13">
        <f t="shared" si="1"/>
        <v>3.472222222222221E-2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218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218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107</v>
      </c>
      <c r="C14" s="18" t="s">
        <v>108</v>
      </c>
      <c r="D14" s="18" t="s">
        <v>109</v>
      </c>
      <c r="E14" s="13" t="s">
        <v>218</v>
      </c>
      <c r="F14" s="13" t="s">
        <v>190</v>
      </c>
      <c r="G14" s="13"/>
      <c r="H14" s="18" t="s">
        <v>110</v>
      </c>
      <c r="I14" s="18" t="s">
        <v>111</v>
      </c>
      <c r="J14" s="18" t="s">
        <v>112</v>
      </c>
      <c r="K14" s="13" t="s">
        <v>218</v>
      </c>
      <c r="L14" s="13" t="s">
        <v>190</v>
      </c>
      <c r="M14" s="13"/>
      <c r="N14" s="13" t="e">
        <f t="shared" si="0"/>
        <v>#VALUE!</v>
      </c>
      <c r="O14" s="13" t="e">
        <f t="shared" si="1"/>
        <v>#VALUE!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 t="s">
        <v>218</v>
      </c>
      <c r="F15" s="13" t="s">
        <v>190</v>
      </c>
      <c r="G15" s="13"/>
      <c r="H15" s="18" t="s">
        <v>73</v>
      </c>
      <c r="I15" s="18" t="s">
        <v>73</v>
      </c>
      <c r="J15" s="18" t="s">
        <v>73</v>
      </c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121</v>
      </c>
      <c r="E16" s="13">
        <v>0.41319444444444442</v>
      </c>
      <c r="F16" s="13">
        <v>0.46875</v>
      </c>
      <c r="G16" s="13">
        <v>0.50694444444444442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>
        <f t="shared" si="0"/>
        <v>3.819444444444442E-2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0.4201388888888889</v>
      </c>
      <c r="F17" s="13">
        <v>0.46527777777777779</v>
      </c>
      <c r="G17" s="13">
        <v>0.4861111111111111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2.0833333333333315E-2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70</v>
      </c>
      <c r="C18" s="18" t="s">
        <v>128</v>
      </c>
      <c r="D18" s="18" t="s">
        <v>129</v>
      </c>
      <c r="E18" s="13" t="s">
        <v>218</v>
      </c>
      <c r="F18" s="13" t="s">
        <v>190</v>
      </c>
      <c r="G18" s="13"/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187</v>
      </c>
      <c r="E19" s="13" t="s">
        <v>218</v>
      </c>
      <c r="F19" s="13" t="s">
        <v>190</v>
      </c>
      <c r="G19" s="13"/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 t="e">
        <f t="shared" si="0"/>
        <v>#VALUE!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0.42708333333333331</v>
      </c>
      <c r="F20" s="13">
        <v>0.4513888888888889</v>
      </c>
      <c r="G20" s="13">
        <v>0.53819444444444442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8.6805555555555525E-2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 t="s">
        <v>218</v>
      </c>
      <c r="F21" s="13" t="s">
        <v>190</v>
      </c>
      <c r="G21" s="13"/>
      <c r="H21" s="18" t="s">
        <v>73</v>
      </c>
      <c r="I21" s="18" t="s">
        <v>73</v>
      </c>
      <c r="J21" s="18" t="s">
        <v>73</v>
      </c>
      <c r="K21" s="13"/>
      <c r="L21" s="13"/>
      <c r="M21" s="13"/>
      <c r="N21" s="13" t="e">
        <f t="shared" si="0"/>
        <v>#VALUE!</v>
      </c>
      <c r="O21" s="13">
        <f t="shared" si="1"/>
        <v>0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218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0.28472222222222221</v>
      </c>
      <c r="F23" s="13">
        <v>0.34027777777777779</v>
      </c>
      <c r="G23" s="13">
        <v>0.375</v>
      </c>
      <c r="H23" s="18" t="s">
        <v>73</v>
      </c>
      <c r="I23" s="18" t="s">
        <v>73</v>
      </c>
      <c r="J23" s="18" t="s">
        <v>73</v>
      </c>
      <c r="K23" s="13"/>
      <c r="L23" s="13"/>
      <c r="M23" s="13"/>
      <c r="N23" s="13">
        <f t="shared" si="0"/>
        <v>3.472222222222221E-2</v>
      </c>
      <c r="O23" s="13">
        <f t="shared" si="1"/>
        <v>0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218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0.4201388888888889</v>
      </c>
      <c r="F25" s="13">
        <v>0.43402777777777779</v>
      </c>
      <c r="G25" s="13">
        <v>0.49305555555555558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5.902777777777779E-2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218</v>
      </c>
      <c r="F26" s="13" t="s">
        <v>190</v>
      </c>
      <c r="G26" s="13"/>
      <c r="H26" s="18" t="s">
        <v>161</v>
      </c>
      <c r="I26" s="18" t="s">
        <v>159</v>
      </c>
      <c r="J26" s="18" t="s">
        <v>162</v>
      </c>
      <c r="K26" s="13"/>
      <c r="L26" s="13"/>
      <c r="M26" s="13"/>
      <c r="N26" s="13" t="e">
        <f t="shared" si="0"/>
        <v>#VALUE!</v>
      </c>
      <c r="O26" s="13">
        <f t="shared" si="1"/>
        <v>0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>
        <v>0.23958333333333334</v>
      </c>
      <c r="F27" s="13">
        <v>0.36458333333333331</v>
      </c>
      <c r="G27" s="13">
        <v>0.44791666666666669</v>
      </c>
      <c r="H27" s="18" t="s">
        <v>166</v>
      </c>
      <c r="I27" s="18" t="s">
        <v>167</v>
      </c>
      <c r="J27" s="18" t="s">
        <v>168</v>
      </c>
      <c r="K27" s="13"/>
      <c r="L27" s="13"/>
      <c r="M27" s="13"/>
      <c r="N27" s="13">
        <f t="shared" si="0"/>
        <v>8.333333333333337E-2</v>
      </c>
      <c r="O27" s="13">
        <f t="shared" si="1"/>
        <v>0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0.28125</v>
      </c>
      <c r="F28" s="13">
        <v>0.32291666666666669</v>
      </c>
      <c r="G28" s="13">
        <v>0.375</v>
      </c>
      <c r="H28" s="18" t="s">
        <v>172</v>
      </c>
      <c r="I28" s="18" t="s">
        <v>173</v>
      </c>
      <c r="J28" s="18" t="s">
        <v>174</v>
      </c>
      <c r="K28" s="13"/>
      <c r="L28" s="13"/>
      <c r="M28" s="13"/>
      <c r="N28" s="13">
        <f t="shared" si="0"/>
        <v>5.2083333333333315E-2</v>
      </c>
      <c r="O28" s="13">
        <f t="shared" si="1"/>
        <v>0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218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 t="shared" si="0"/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218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0.40972222222222221</v>
      </c>
      <c r="F31" s="13">
        <v>0.44791666666666669</v>
      </c>
      <c r="G31" s="13">
        <v>0.49652777777777779</v>
      </c>
      <c r="H31" s="18"/>
      <c r="I31" s="18"/>
      <c r="J31" s="18"/>
      <c r="K31" s="13"/>
      <c r="L31" s="13"/>
      <c r="M31" s="13"/>
      <c r="N31" s="13">
        <f t="shared" si="0"/>
        <v>4.8611111111111105E-2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218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2 I5:I28" numberStoredAsText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7462-32EC-4771-9DA4-04F267C32AE9}">
  <dimension ref="A1:R33"/>
  <sheetViews>
    <sheetView showGridLines="0" zoomScale="70" zoomScaleNormal="70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>
        <v>0.42708333333333331</v>
      </c>
      <c r="L5" s="13">
        <v>0.4513888888888889</v>
      </c>
      <c r="M5" s="13">
        <v>0.51041666666666663</v>
      </c>
      <c r="N5" s="13" t="e">
        <f>MOD(G5-F5, 1)</f>
        <v>#VALUE!</v>
      </c>
      <c r="O5" s="13">
        <f>MOD(M5-L5, 1)</f>
        <v>5.9027777777777735E-2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0.2951388888888889</v>
      </c>
      <c r="F6" s="13">
        <v>0.31944444444444442</v>
      </c>
      <c r="G6" s="13">
        <v>0.36458333333333331</v>
      </c>
      <c r="H6" s="18" t="s">
        <v>66</v>
      </c>
      <c r="I6" s="18" t="s">
        <v>67</v>
      </c>
      <c r="J6" s="18" t="s">
        <v>68</v>
      </c>
      <c r="K6" s="13">
        <v>0.43055555555555558</v>
      </c>
      <c r="L6" s="13">
        <v>0.45833333333333331</v>
      </c>
      <c r="M6" s="13">
        <v>0.5</v>
      </c>
      <c r="N6" s="13">
        <f t="shared" ref="N6:N32" si="0">MOD(G6-F6, 1)</f>
        <v>4.5138888888888895E-2</v>
      </c>
      <c r="O6" s="13">
        <f t="shared" ref="O6:O32" si="1">MOD(M6-L6, 1)</f>
        <v>4.1666666666666685E-2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0.4236111111111111</v>
      </c>
      <c r="F8" s="13">
        <v>0.45833333333333331</v>
      </c>
      <c r="G8" s="13">
        <v>0.52777777777777779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6.9444444444444475E-2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0.41666666666666669</v>
      </c>
      <c r="F9" s="13">
        <v>0.44444444444444442</v>
      </c>
      <c r="G9" s="13">
        <v>0.5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5.555555555555558E-2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/>
      <c r="J10" s="18"/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0.2951388888888889</v>
      </c>
      <c r="F11" s="13">
        <v>0.34722222222222221</v>
      </c>
      <c r="G11" s="13">
        <v>0.44444444444444442</v>
      </c>
      <c r="H11" s="18" t="s">
        <v>93</v>
      </c>
      <c r="I11" s="18" t="s">
        <v>94</v>
      </c>
      <c r="J11" s="18" t="s">
        <v>95</v>
      </c>
      <c r="K11" s="13">
        <v>0.33680555555555558</v>
      </c>
      <c r="L11" s="13">
        <v>0.40972222222222221</v>
      </c>
      <c r="M11" s="13">
        <v>0.45833333333333331</v>
      </c>
      <c r="N11" s="13">
        <f t="shared" si="0"/>
        <v>9.722222222222221E-2</v>
      </c>
      <c r="O11" s="13">
        <f t="shared" si="1"/>
        <v>4.8611111111111105E-2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0.2361111111111111</v>
      </c>
      <c r="F12" s="13">
        <v>0.2638888888888889</v>
      </c>
      <c r="G12" s="13">
        <v>0.4201388888888889</v>
      </c>
      <c r="H12" s="18" t="s">
        <v>100</v>
      </c>
      <c r="I12" s="18" t="s">
        <v>101</v>
      </c>
      <c r="J12" s="18" t="s">
        <v>201</v>
      </c>
      <c r="K12" s="13">
        <v>0.41319444444444442</v>
      </c>
      <c r="L12" s="13">
        <v>0.47569444444444442</v>
      </c>
      <c r="M12" s="13">
        <v>0.53125</v>
      </c>
      <c r="N12" s="13">
        <f t="shared" si="0"/>
        <v>0.15625</v>
      </c>
      <c r="O12" s="13">
        <f t="shared" si="1"/>
        <v>5.555555555555558E-2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110</v>
      </c>
      <c r="C14" s="18" t="s">
        <v>111</v>
      </c>
      <c r="D14" s="18" t="s">
        <v>112</v>
      </c>
      <c r="E14" s="13" t="s">
        <v>189</v>
      </c>
      <c r="F14" s="13" t="s">
        <v>190</v>
      </c>
      <c r="G14" s="13"/>
      <c r="H14" s="18" t="s">
        <v>166</v>
      </c>
      <c r="I14" s="18" t="s">
        <v>167</v>
      </c>
      <c r="J14" s="18" t="s">
        <v>168</v>
      </c>
      <c r="K14" s="13">
        <v>0.40972222222222221</v>
      </c>
      <c r="L14" s="13">
        <v>0.47916666666666669</v>
      </c>
      <c r="M14" s="13">
        <v>0.51736111111111116</v>
      </c>
      <c r="N14" s="13" t="e">
        <f t="shared" si="0"/>
        <v>#VALUE!</v>
      </c>
      <c r="O14" s="13">
        <f t="shared" si="1"/>
        <v>3.8194444444444475E-2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 t="s">
        <v>189</v>
      </c>
      <c r="F15" s="13" t="s">
        <v>190</v>
      </c>
      <c r="G15" s="13"/>
      <c r="H15" s="18"/>
      <c r="I15" s="18"/>
      <c r="J15" s="18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219</v>
      </c>
      <c r="E16" s="13">
        <v>0.41666666666666669</v>
      </c>
      <c r="F16" s="13">
        <v>0.47916666666666669</v>
      </c>
      <c r="G16" s="13">
        <v>0.53125</v>
      </c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>
        <f t="shared" si="0"/>
        <v>5.2083333333333315E-2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0.41666666666666669</v>
      </c>
      <c r="F17" s="13">
        <v>0.4513888888888889</v>
      </c>
      <c r="G17" s="13">
        <v>0.5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4.8611111111111105E-2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 t="s">
        <v>189</v>
      </c>
      <c r="F18" s="13" t="s">
        <v>190</v>
      </c>
      <c r="G18" s="13"/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 t="e">
        <f t="shared" si="0"/>
        <v>#VALUE!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0.4201388888888889</v>
      </c>
      <c r="F19" s="13">
        <v>0.44444444444444442</v>
      </c>
      <c r="G19" s="13">
        <v>0.53472222222222221</v>
      </c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f t="shared" si="0"/>
        <v>9.027777777777779E-2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0.3576388888888889</v>
      </c>
      <c r="F20" s="13">
        <v>0.38541666666666669</v>
      </c>
      <c r="G20" s="13">
        <v>0.42708333333333331</v>
      </c>
      <c r="H20" s="18" t="s">
        <v>205</v>
      </c>
      <c r="I20" s="18" t="s">
        <v>98</v>
      </c>
      <c r="J20" s="18" t="s">
        <v>187</v>
      </c>
      <c r="K20" s="13" t="s">
        <v>189</v>
      </c>
      <c r="L20" s="13" t="s">
        <v>190</v>
      </c>
      <c r="M20" s="13"/>
      <c r="N20" s="13">
        <f t="shared" si="0"/>
        <v>4.166666666666663E-2</v>
      </c>
      <c r="O20" s="13" t="e">
        <f t="shared" si="1"/>
        <v>#VALUE!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 t="s">
        <v>189</v>
      </c>
      <c r="F21" s="13" t="s">
        <v>190</v>
      </c>
      <c r="G21" s="13"/>
      <c r="H21" s="18" t="s">
        <v>138</v>
      </c>
      <c r="I21" s="18" t="s">
        <v>139</v>
      </c>
      <c r="J21" s="18" t="s">
        <v>140</v>
      </c>
      <c r="K21" s="13" t="s">
        <v>189</v>
      </c>
      <c r="L21" s="13" t="s">
        <v>190</v>
      </c>
      <c r="M21" s="13"/>
      <c r="N21" s="13" t="e">
        <f t="shared" si="0"/>
        <v>#VALUE!</v>
      </c>
      <c r="O21" s="13" t="e">
        <f t="shared" si="1"/>
        <v>#VALUE!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>
        <v>0.41666666666666669</v>
      </c>
      <c r="F22" s="13">
        <v>0.44791666666666669</v>
      </c>
      <c r="G22" s="13">
        <v>0.49652777777777779</v>
      </c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>
        <f t="shared" si="0"/>
        <v>4.8611111111111105E-2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0.41319444444444442</v>
      </c>
      <c r="F23" s="13">
        <v>0.4513888888888889</v>
      </c>
      <c r="G23" s="13">
        <v>0.51041666666666663</v>
      </c>
      <c r="H23" s="18" t="s">
        <v>73</v>
      </c>
      <c r="I23" s="18" t="s">
        <v>73</v>
      </c>
      <c r="J23" s="18" t="s">
        <v>73</v>
      </c>
      <c r="K23" s="13"/>
      <c r="L23" s="13"/>
      <c r="M23" s="13"/>
      <c r="N23" s="13">
        <f t="shared" si="0"/>
        <v>5.9027777777777735E-2</v>
      </c>
      <c r="O23" s="13">
        <f t="shared" si="1"/>
        <v>0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0.4201388888888889</v>
      </c>
      <c r="F25" s="13">
        <v>0.4375</v>
      </c>
      <c r="G25" s="13">
        <v>0.47916666666666669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4.1666666666666685E-2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120</v>
      </c>
      <c r="I26" s="18" t="s">
        <v>91</v>
      </c>
      <c r="J26" s="18" t="s">
        <v>220</v>
      </c>
      <c r="K26" s="13">
        <v>0.41666666666666669</v>
      </c>
      <c r="L26" s="13">
        <v>0.46527777777777779</v>
      </c>
      <c r="M26" s="13">
        <v>0.4826388888888889</v>
      </c>
      <c r="N26" s="13" t="e">
        <f t="shared" si="0"/>
        <v>#VALUE!</v>
      </c>
      <c r="O26" s="13">
        <f t="shared" si="1"/>
        <v>1.7361111111111105E-2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>
        <v>0.27430555555555558</v>
      </c>
      <c r="F27" s="13">
        <v>0.33333333333333331</v>
      </c>
      <c r="G27" s="13">
        <v>0.42708333333333331</v>
      </c>
      <c r="H27" s="18" t="s">
        <v>213</v>
      </c>
      <c r="I27" s="18" t="s">
        <v>214</v>
      </c>
      <c r="J27" s="18" t="s">
        <v>215</v>
      </c>
      <c r="K27" s="13">
        <v>0.41319444444444442</v>
      </c>
      <c r="L27" s="13">
        <v>0.46527777777777779</v>
      </c>
      <c r="M27" s="13">
        <v>0.50347222222222221</v>
      </c>
      <c r="N27" s="13">
        <f t="shared" si="0"/>
        <v>9.375E-2</v>
      </c>
      <c r="O27" s="13">
        <f t="shared" si="1"/>
        <v>3.819444444444442E-2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>
        <v>0.2986111111111111</v>
      </c>
      <c r="F28" s="13">
        <v>0.35416666666666669</v>
      </c>
      <c r="G28" s="13">
        <v>0.4236111111111111</v>
      </c>
      <c r="H28" s="18" t="s">
        <v>172</v>
      </c>
      <c r="I28" s="18" t="s">
        <v>173</v>
      </c>
      <c r="J28" s="18" t="s">
        <v>174</v>
      </c>
      <c r="K28" s="13" t="s">
        <v>189</v>
      </c>
      <c r="L28" s="13" t="s">
        <v>190</v>
      </c>
      <c r="M28" s="13"/>
      <c r="N28" s="13">
        <f t="shared" si="0"/>
        <v>6.944444444444442E-2</v>
      </c>
      <c r="O28" s="13" t="e">
        <f t="shared" si="1"/>
        <v>#VALUE!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>
        <v>0.30208333333333331</v>
      </c>
      <c r="F29" s="13">
        <v>0.3888888888888889</v>
      </c>
      <c r="G29" s="13">
        <v>0.4201388888888889</v>
      </c>
      <c r="H29" s="18"/>
      <c r="I29" s="18"/>
      <c r="J29" s="18"/>
      <c r="K29" s="13"/>
      <c r="L29" s="13"/>
      <c r="M29" s="13"/>
      <c r="N29" s="13">
        <f t="shared" si="0"/>
        <v>3.125E-2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0.41666666666666669</v>
      </c>
      <c r="F31" s="13">
        <v>0.4513888888888889</v>
      </c>
      <c r="G31" s="13">
        <v>0.49652777777777779</v>
      </c>
      <c r="H31" s="18"/>
      <c r="I31" s="18"/>
      <c r="J31" s="18"/>
      <c r="K31" s="13"/>
      <c r="L31" s="13"/>
      <c r="M31" s="13"/>
      <c r="N31" s="13">
        <f t="shared" si="0"/>
        <v>4.5138888888888895E-2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2 I5:I28" numberStoredAsText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A998-8FF4-4DA7-804B-85DBDFD55A33}">
  <dimension ref="A1:J32"/>
  <sheetViews>
    <sheetView workbookViewId="0">
      <selection activeCell="G4" sqref="G4:I27"/>
    </sheetView>
  </sheetViews>
  <sheetFormatPr defaultRowHeight="12.75" x14ac:dyDescent="0.2"/>
  <cols>
    <col min="1" max="1" width="12.1640625" bestFit="1" customWidth="1"/>
    <col min="2" max="2" width="14.5" bestFit="1" customWidth="1"/>
    <col min="3" max="3" width="24" bestFit="1" customWidth="1"/>
    <col min="4" max="6" width="12.1640625" bestFit="1" customWidth="1"/>
    <col min="7" max="7" width="22.5" bestFit="1" customWidth="1"/>
    <col min="8" max="9" width="12.1640625" bestFit="1" customWidth="1"/>
    <col min="10" max="10" width="13.33203125" bestFit="1" customWidth="1"/>
  </cols>
  <sheetData>
    <row r="1" spans="1:10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">
      <c r="A2" s="21"/>
      <c r="B2" s="21" t="s">
        <v>50</v>
      </c>
      <c r="C2" s="21" t="s">
        <v>51</v>
      </c>
      <c r="D2" s="21"/>
      <c r="E2" s="21"/>
      <c r="F2" s="21" t="s">
        <v>221</v>
      </c>
      <c r="G2" s="21" t="s">
        <v>222</v>
      </c>
      <c r="H2" s="21"/>
      <c r="I2" s="21"/>
      <c r="J2" s="21"/>
    </row>
    <row r="3" spans="1:10" x14ac:dyDescent="0.2">
      <c r="A3" s="21" t="s">
        <v>209</v>
      </c>
      <c r="B3" s="21" t="s">
        <v>52</v>
      </c>
      <c r="C3" s="21" t="s">
        <v>53</v>
      </c>
      <c r="D3" s="21" t="s">
        <v>54</v>
      </c>
      <c r="E3" s="21" t="s">
        <v>2</v>
      </c>
      <c r="F3" s="21" t="s">
        <v>55</v>
      </c>
      <c r="G3" s="21" t="s">
        <v>56</v>
      </c>
      <c r="H3" s="21" t="s">
        <v>54</v>
      </c>
      <c r="I3" s="21" t="s">
        <v>2</v>
      </c>
      <c r="J3" s="21" t="s">
        <v>55</v>
      </c>
    </row>
    <row r="4" spans="1:10" x14ac:dyDescent="0.2">
      <c r="A4" s="21" t="s">
        <v>57</v>
      </c>
      <c r="B4" s="21" t="s">
        <v>58</v>
      </c>
      <c r="C4" s="21" t="s">
        <v>59</v>
      </c>
      <c r="D4" s="21" t="s">
        <v>60</v>
      </c>
      <c r="E4" s="21" t="s">
        <v>61</v>
      </c>
      <c r="F4" s="21" t="s">
        <v>62</v>
      </c>
      <c r="G4" s="21" t="s">
        <v>63</v>
      </c>
      <c r="H4" s="21" t="s">
        <v>64</v>
      </c>
      <c r="I4" s="21" t="s">
        <v>65</v>
      </c>
      <c r="J4" s="21" t="s">
        <v>62</v>
      </c>
    </row>
    <row r="5" spans="1:10" x14ac:dyDescent="0.2">
      <c r="A5" s="21" t="s">
        <v>58</v>
      </c>
      <c r="B5" s="21" t="s">
        <v>57</v>
      </c>
      <c r="C5" s="21" t="s">
        <v>66</v>
      </c>
      <c r="D5" s="21" t="s">
        <v>67</v>
      </c>
      <c r="E5" s="21" t="s">
        <v>68</v>
      </c>
      <c r="F5" s="21" t="s">
        <v>62</v>
      </c>
      <c r="G5" s="21" t="s">
        <v>73</v>
      </c>
      <c r="H5" s="21" t="s">
        <v>73</v>
      </c>
      <c r="I5" s="21" t="s">
        <v>73</v>
      </c>
      <c r="J5" s="21" t="s">
        <v>73</v>
      </c>
    </row>
    <row r="6" spans="1:10" x14ac:dyDescent="0.2">
      <c r="A6" s="21" t="s">
        <v>69</v>
      </c>
      <c r="B6" s="21" t="s">
        <v>57</v>
      </c>
      <c r="C6" s="21" t="s">
        <v>70</v>
      </c>
      <c r="D6" s="21" t="s">
        <v>71</v>
      </c>
      <c r="E6" s="21" t="s">
        <v>72</v>
      </c>
      <c r="F6" s="21" t="s">
        <v>62</v>
      </c>
      <c r="G6" s="21" t="s">
        <v>73</v>
      </c>
      <c r="H6" s="21" t="s">
        <v>73</v>
      </c>
      <c r="I6" s="21" t="s">
        <v>73</v>
      </c>
      <c r="J6" s="21" t="s">
        <v>73</v>
      </c>
    </row>
    <row r="7" spans="1:10" x14ac:dyDescent="0.2">
      <c r="A7" s="21" t="s">
        <v>74</v>
      </c>
      <c r="B7" s="21" t="s">
        <v>57</v>
      </c>
      <c r="C7" s="21" t="s">
        <v>75</v>
      </c>
      <c r="D7" s="21" t="s">
        <v>76</v>
      </c>
      <c r="E7" s="21" t="s">
        <v>77</v>
      </c>
      <c r="F7" s="21" t="s">
        <v>78</v>
      </c>
      <c r="G7" s="21" t="s">
        <v>73</v>
      </c>
      <c r="H7" s="21" t="s">
        <v>73</v>
      </c>
      <c r="I7" s="21" t="s">
        <v>73</v>
      </c>
      <c r="J7" s="21" t="s">
        <v>73</v>
      </c>
    </row>
    <row r="8" spans="1:10" x14ac:dyDescent="0.2">
      <c r="A8" s="21" t="s">
        <v>79</v>
      </c>
      <c r="B8" s="21" t="s">
        <v>57</v>
      </c>
      <c r="C8" s="21" t="s">
        <v>75</v>
      </c>
      <c r="D8" s="21" t="s">
        <v>80</v>
      </c>
      <c r="E8" s="21" t="s">
        <v>81</v>
      </c>
      <c r="F8" s="21" t="s">
        <v>78</v>
      </c>
      <c r="G8" s="21" t="s">
        <v>73</v>
      </c>
      <c r="H8" s="21" t="s">
        <v>73</v>
      </c>
      <c r="I8" s="21" t="s">
        <v>73</v>
      </c>
      <c r="J8" s="21" t="s">
        <v>73</v>
      </c>
    </row>
    <row r="9" spans="1:10" x14ac:dyDescent="0.2">
      <c r="A9" s="21" t="s">
        <v>85</v>
      </c>
      <c r="B9" s="21" t="s">
        <v>57</v>
      </c>
      <c r="C9" s="21" t="s">
        <v>86</v>
      </c>
      <c r="D9" s="21" t="s">
        <v>87</v>
      </c>
      <c r="E9" s="21" t="s">
        <v>88</v>
      </c>
      <c r="F9" s="21" t="s">
        <v>62</v>
      </c>
      <c r="G9" s="21" t="s">
        <v>73</v>
      </c>
      <c r="H9" s="21"/>
      <c r="I9" s="21"/>
      <c r="J9" s="21"/>
    </row>
    <row r="10" spans="1:10" x14ac:dyDescent="0.2">
      <c r="A10" s="21" t="s">
        <v>89</v>
      </c>
      <c r="B10" s="21" t="s">
        <v>58</v>
      </c>
      <c r="C10" s="21" t="s">
        <v>90</v>
      </c>
      <c r="D10" s="21" t="s">
        <v>91</v>
      </c>
      <c r="E10" s="21" t="s">
        <v>92</v>
      </c>
      <c r="F10" s="21" t="s">
        <v>62</v>
      </c>
      <c r="G10" s="21" t="s">
        <v>93</v>
      </c>
      <c r="H10" s="21" t="s">
        <v>94</v>
      </c>
      <c r="I10" s="21" t="s">
        <v>95</v>
      </c>
      <c r="J10" s="21" t="s">
        <v>62</v>
      </c>
    </row>
    <row r="11" spans="1:10" x14ac:dyDescent="0.2">
      <c r="A11" s="21" t="s">
        <v>96</v>
      </c>
      <c r="B11" s="21" t="s">
        <v>58</v>
      </c>
      <c r="C11" s="21" t="s">
        <v>97</v>
      </c>
      <c r="D11" s="21" t="s">
        <v>98</v>
      </c>
      <c r="E11" s="21" t="s">
        <v>99</v>
      </c>
      <c r="F11" s="21" t="s">
        <v>78</v>
      </c>
      <c r="G11" s="21" t="s">
        <v>100</v>
      </c>
      <c r="H11" s="21" t="s">
        <v>101</v>
      </c>
      <c r="I11" s="21" t="s">
        <v>201</v>
      </c>
      <c r="J11" s="21" t="s">
        <v>78</v>
      </c>
    </row>
    <row r="12" spans="1:10" x14ac:dyDescent="0.2">
      <c r="A12" s="21" t="s">
        <v>102</v>
      </c>
      <c r="B12" s="21" t="s">
        <v>58</v>
      </c>
      <c r="C12" s="21" t="s">
        <v>103</v>
      </c>
      <c r="D12" s="21" t="s">
        <v>104</v>
      </c>
      <c r="E12" s="21" t="s">
        <v>105</v>
      </c>
      <c r="F12" s="21" t="s">
        <v>62</v>
      </c>
      <c r="G12" s="21" t="s">
        <v>103</v>
      </c>
      <c r="H12" s="21" t="s">
        <v>104</v>
      </c>
      <c r="I12" s="21" t="s">
        <v>105</v>
      </c>
      <c r="J12" s="21" t="s">
        <v>62</v>
      </c>
    </row>
    <row r="13" spans="1:10" x14ac:dyDescent="0.2">
      <c r="A13" s="21" t="s">
        <v>106</v>
      </c>
      <c r="B13" s="21" t="s">
        <v>57</v>
      </c>
      <c r="C13" s="21" t="s">
        <v>110</v>
      </c>
      <c r="D13" s="21" t="s">
        <v>111</v>
      </c>
      <c r="E13" s="21" t="s">
        <v>112</v>
      </c>
      <c r="F13" s="21" t="s">
        <v>62</v>
      </c>
      <c r="G13" s="21" t="s">
        <v>73</v>
      </c>
      <c r="H13" s="21" t="s">
        <v>73</v>
      </c>
      <c r="I13" s="21" t="s">
        <v>73</v>
      </c>
      <c r="J13" s="21" t="s">
        <v>73</v>
      </c>
    </row>
    <row r="14" spans="1:10" x14ac:dyDescent="0.2">
      <c r="A14" s="21" t="s">
        <v>113</v>
      </c>
      <c r="B14" s="21" t="s">
        <v>57</v>
      </c>
      <c r="C14" s="21" t="s">
        <v>114</v>
      </c>
      <c r="D14" s="21" t="s">
        <v>115</v>
      </c>
      <c r="E14" s="21" t="s">
        <v>116</v>
      </c>
      <c r="F14" s="21" t="s">
        <v>73</v>
      </c>
      <c r="G14" s="21"/>
      <c r="H14" s="21"/>
      <c r="I14" s="21"/>
      <c r="J14" s="21"/>
    </row>
    <row r="15" spans="1:10" x14ac:dyDescent="0.2">
      <c r="A15" s="21" t="s">
        <v>117</v>
      </c>
      <c r="B15" s="21" t="s">
        <v>57</v>
      </c>
      <c r="C15" s="21" t="s">
        <v>118</v>
      </c>
      <c r="D15" s="21" t="s">
        <v>91</v>
      </c>
      <c r="E15" s="21" t="s">
        <v>219</v>
      </c>
      <c r="F15" s="21" t="s">
        <v>62</v>
      </c>
      <c r="G15" s="21" t="s">
        <v>73</v>
      </c>
      <c r="H15" s="21" t="s">
        <v>73</v>
      </c>
      <c r="I15" s="21" t="s">
        <v>73</v>
      </c>
      <c r="J15" s="21" t="s">
        <v>73</v>
      </c>
    </row>
    <row r="16" spans="1:10" x14ac:dyDescent="0.2">
      <c r="A16" s="21" t="s">
        <v>122</v>
      </c>
      <c r="B16" s="21" t="s">
        <v>57</v>
      </c>
      <c r="C16" s="21" t="s">
        <v>123</v>
      </c>
      <c r="D16" s="21" t="s">
        <v>124</v>
      </c>
      <c r="E16" s="21" t="s">
        <v>125</v>
      </c>
      <c r="F16" s="21" t="s">
        <v>78</v>
      </c>
      <c r="G16" s="21" t="s">
        <v>73</v>
      </c>
      <c r="H16" s="21" t="s">
        <v>73</v>
      </c>
      <c r="I16" s="21" t="s">
        <v>73</v>
      </c>
      <c r="J16" s="21" t="s">
        <v>73</v>
      </c>
    </row>
    <row r="17" spans="1:10" x14ac:dyDescent="0.2">
      <c r="A17" s="21" t="s">
        <v>126</v>
      </c>
      <c r="B17" s="21" t="s">
        <v>57</v>
      </c>
      <c r="C17" s="21" t="s">
        <v>127</v>
      </c>
      <c r="D17" s="21" t="s">
        <v>128</v>
      </c>
      <c r="E17" s="21" t="s">
        <v>129</v>
      </c>
      <c r="F17" s="21" t="s">
        <v>78</v>
      </c>
      <c r="G17" s="21" t="s">
        <v>73</v>
      </c>
      <c r="H17" s="21" t="s">
        <v>73</v>
      </c>
      <c r="I17" s="21" t="s">
        <v>73</v>
      </c>
      <c r="J17" s="21" t="s">
        <v>73</v>
      </c>
    </row>
    <row r="18" spans="1:10" x14ac:dyDescent="0.2">
      <c r="A18" s="21" t="s">
        <v>130</v>
      </c>
      <c r="B18" s="21" t="s">
        <v>57</v>
      </c>
      <c r="C18" s="21" t="s">
        <v>131</v>
      </c>
      <c r="D18" s="21" t="s">
        <v>98</v>
      </c>
      <c r="E18" s="21" t="s">
        <v>132</v>
      </c>
      <c r="F18" s="21" t="s">
        <v>62</v>
      </c>
      <c r="G18" s="21" t="s">
        <v>73</v>
      </c>
      <c r="H18" s="21" t="s">
        <v>73</v>
      </c>
      <c r="I18" s="21" t="s">
        <v>73</v>
      </c>
      <c r="J18" s="21" t="s">
        <v>73</v>
      </c>
    </row>
    <row r="19" spans="1:10" x14ac:dyDescent="0.2">
      <c r="A19" s="21" t="s">
        <v>133</v>
      </c>
      <c r="B19" s="21" t="s">
        <v>57</v>
      </c>
      <c r="C19" s="21" t="s">
        <v>134</v>
      </c>
      <c r="D19" s="21" t="s">
        <v>135</v>
      </c>
      <c r="E19" s="21" t="s">
        <v>136</v>
      </c>
      <c r="F19" s="21" t="s">
        <v>62</v>
      </c>
      <c r="G19" s="21" t="s">
        <v>73</v>
      </c>
      <c r="H19" s="21" t="s">
        <v>73</v>
      </c>
      <c r="I19" s="21" t="s">
        <v>73</v>
      </c>
      <c r="J19" s="21" t="s">
        <v>73</v>
      </c>
    </row>
    <row r="20" spans="1:10" x14ac:dyDescent="0.2">
      <c r="A20" s="21" t="s">
        <v>137</v>
      </c>
      <c r="B20" s="21" t="s">
        <v>57</v>
      </c>
      <c r="C20" s="21" t="s">
        <v>138</v>
      </c>
      <c r="D20" s="21" t="s">
        <v>139</v>
      </c>
      <c r="E20" s="21" t="s">
        <v>140</v>
      </c>
      <c r="F20" s="21" t="s">
        <v>62</v>
      </c>
      <c r="G20" s="21" t="s">
        <v>73</v>
      </c>
      <c r="H20" s="21" t="s">
        <v>73</v>
      </c>
      <c r="I20" s="21" t="s">
        <v>73</v>
      </c>
      <c r="J20" s="21" t="s">
        <v>73</v>
      </c>
    </row>
    <row r="21" spans="1:10" x14ac:dyDescent="0.2">
      <c r="A21" s="21" t="s">
        <v>142</v>
      </c>
      <c r="B21" s="21" t="s">
        <v>57</v>
      </c>
      <c r="C21" s="21" t="s">
        <v>143</v>
      </c>
      <c r="D21" s="21" t="s">
        <v>144</v>
      </c>
      <c r="E21" s="21" t="s">
        <v>145</v>
      </c>
      <c r="F21" s="21" t="s">
        <v>62</v>
      </c>
      <c r="G21" s="21" t="s">
        <v>73</v>
      </c>
      <c r="H21" s="21" t="s">
        <v>73</v>
      </c>
      <c r="I21" s="21" t="s">
        <v>73</v>
      </c>
      <c r="J21" s="21" t="s">
        <v>73</v>
      </c>
    </row>
    <row r="22" spans="1:10" x14ac:dyDescent="0.2">
      <c r="A22" s="21" t="s">
        <v>146</v>
      </c>
      <c r="B22" s="21" t="s">
        <v>57</v>
      </c>
      <c r="C22" s="21" t="s">
        <v>147</v>
      </c>
      <c r="D22" s="21" t="s">
        <v>148</v>
      </c>
      <c r="E22" s="21" t="s">
        <v>149</v>
      </c>
      <c r="F22" s="21" t="s">
        <v>62</v>
      </c>
      <c r="G22" s="21" t="s">
        <v>73</v>
      </c>
      <c r="H22" s="21" t="s">
        <v>73</v>
      </c>
      <c r="I22" s="21" t="s">
        <v>73</v>
      </c>
      <c r="J22" s="21" t="s">
        <v>73</v>
      </c>
    </row>
    <row r="23" spans="1:10" x14ac:dyDescent="0.2">
      <c r="A23" s="21" t="s">
        <v>150</v>
      </c>
      <c r="B23" s="21" t="s">
        <v>57</v>
      </c>
      <c r="C23" s="21" t="s">
        <v>151</v>
      </c>
      <c r="D23" s="21" t="s">
        <v>152</v>
      </c>
      <c r="E23" s="21" t="s">
        <v>153</v>
      </c>
      <c r="F23" s="21" t="s">
        <v>62</v>
      </c>
      <c r="G23" s="21" t="s">
        <v>73</v>
      </c>
      <c r="H23" s="21" t="s">
        <v>73</v>
      </c>
      <c r="I23" s="21" t="s">
        <v>73</v>
      </c>
      <c r="J23" s="21" t="s">
        <v>73</v>
      </c>
    </row>
    <row r="24" spans="1:10" x14ac:dyDescent="0.2">
      <c r="A24" s="21" t="s">
        <v>154</v>
      </c>
      <c r="B24" s="21" t="s">
        <v>57</v>
      </c>
      <c r="C24" s="21" t="s">
        <v>155</v>
      </c>
      <c r="D24" s="21" t="s">
        <v>146</v>
      </c>
      <c r="E24" s="21" t="s">
        <v>156</v>
      </c>
      <c r="F24" s="21" t="s">
        <v>78</v>
      </c>
      <c r="G24" s="21" t="s">
        <v>73</v>
      </c>
      <c r="H24" s="21" t="s">
        <v>73</v>
      </c>
      <c r="I24" s="21" t="s">
        <v>73</v>
      </c>
      <c r="J24" s="21" t="s">
        <v>73</v>
      </c>
    </row>
    <row r="25" spans="1:10" x14ac:dyDescent="0.2">
      <c r="A25" s="21" t="s">
        <v>157</v>
      </c>
      <c r="B25" s="21" t="s">
        <v>57</v>
      </c>
      <c r="C25" s="21" t="s">
        <v>158</v>
      </c>
      <c r="D25" s="21" t="s">
        <v>159</v>
      </c>
      <c r="E25" s="21" t="s">
        <v>160</v>
      </c>
      <c r="F25" s="21" t="s">
        <v>62</v>
      </c>
      <c r="G25" s="21" t="s">
        <v>73</v>
      </c>
      <c r="H25" s="21" t="s">
        <v>73</v>
      </c>
      <c r="I25" s="21" t="s">
        <v>73</v>
      </c>
      <c r="J25" s="21" t="s">
        <v>73</v>
      </c>
    </row>
    <row r="26" spans="1:10" x14ac:dyDescent="0.2">
      <c r="A26" s="21" t="s">
        <v>163</v>
      </c>
      <c r="B26" s="21" t="s">
        <v>57</v>
      </c>
      <c r="C26" s="21" t="s">
        <v>164</v>
      </c>
      <c r="D26" s="21" t="s">
        <v>60</v>
      </c>
      <c r="E26" s="21" t="s">
        <v>165</v>
      </c>
      <c r="F26" s="21" t="s">
        <v>62</v>
      </c>
      <c r="G26" s="21" t="s">
        <v>73</v>
      </c>
      <c r="H26" s="21" t="s">
        <v>73</v>
      </c>
      <c r="I26" s="21" t="s">
        <v>73</v>
      </c>
      <c r="J26" s="21" t="s">
        <v>73</v>
      </c>
    </row>
    <row r="27" spans="1:10" x14ac:dyDescent="0.2">
      <c r="A27" s="21" t="s">
        <v>169</v>
      </c>
      <c r="B27" s="21" t="s">
        <v>58</v>
      </c>
      <c r="C27" s="21" t="s">
        <v>170</v>
      </c>
      <c r="D27" s="21" t="s">
        <v>91</v>
      </c>
      <c r="E27" s="21" t="s">
        <v>171</v>
      </c>
      <c r="F27" s="21" t="s">
        <v>62</v>
      </c>
      <c r="G27" s="21" t="s">
        <v>172</v>
      </c>
      <c r="H27" s="21" t="s">
        <v>173</v>
      </c>
      <c r="I27" s="21" t="s">
        <v>174</v>
      </c>
      <c r="J27" s="21" t="s">
        <v>62</v>
      </c>
    </row>
    <row r="28" spans="1:10" x14ac:dyDescent="0.2">
      <c r="A28" s="21" t="s">
        <v>175</v>
      </c>
      <c r="B28" s="21" t="s">
        <v>57</v>
      </c>
      <c r="C28" s="21" t="s">
        <v>176</v>
      </c>
      <c r="D28" s="21" t="s">
        <v>60</v>
      </c>
      <c r="E28" s="21" t="s">
        <v>177</v>
      </c>
      <c r="F28" s="21" t="s">
        <v>78</v>
      </c>
      <c r="G28" s="21" t="s">
        <v>73</v>
      </c>
      <c r="H28" s="21" t="s">
        <v>73</v>
      </c>
      <c r="I28" s="21" t="s">
        <v>73</v>
      </c>
      <c r="J28" s="21" t="s">
        <v>73</v>
      </c>
    </row>
    <row r="29" spans="1:10" x14ac:dyDescent="0.2">
      <c r="A29" s="21" t="s">
        <v>178</v>
      </c>
      <c r="B29" s="21" t="s">
        <v>57</v>
      </c>
      <c r="C29" s="21" t="s">
        <v>179</v>
      </c>
      <c r="D29" s="21" t="s">
        <v>74</v>
      </c>
      <c r="E29" s="21" t="s">
        <v>180</v>
      </c>
      <c r="F29" s="21" t="s">
        <v>62</v>
      </c>
      <c r="G29" s="21" t="s">
        <v>73</v>
      </c>
      <c r="H29" s="21" t="s">
        <v>73</v>
      </c>
      <c r="I29" s="21" t="s">
        <v>73</v>
      </c>
      <c r="J29" s="21" t="s">
        <v>73</v>
      </c>
    </row>
    <row r="30" spans="1:10" x14ac:dyDescent="0.2">
      <c r="A30" s="21" t="s">
        <v>181</v>
      </c>
      <c r="B30" s="21" t="s">
        <v>57</v>
      </c>
      <c r="C30" s="21" t="s">
        <v>182</v>
      </c>
      <c r="D30" s="21" t="s">
        <v>101</v>
      </c>
      <c r="E30" s="21" t="s">
        <v>183</v>
      </c>
      <c r="F30" s="21" t="s">
        <v>73</v>
      </c>
      <c r="G30" s="21"/>
      <c r="H30" s="21"/>
      <c r="I30" s="21"/>
      <c r="J30" s="21" t="s">
        <v>73</v>
      </c>
    </row>
    <row r="31" spans="1:10" x14ac:dyDescent="0.2">
      <c r="A31" s="21" t="s">
        <v>185</v>
      </c>
      <c r="B31" s="21" t="s">
        <v>57</v>
      </c>
      <c r="C31" s="21" t="s">
        <v>193</v>
      </c>
      <c r="D31" s="21" t="s">
        <v>74</v>
      </c>
      <c r="E31" s="21" t="s">
        <v>194</v>
      </c>
      <c r="F31" s="21" t="s">
        <v>78</v>
      </c>
      <c r="G31" s="21" t="s">
        <v>73</v>
      </c>
      <c r="H31" s="21" t="s">
        <v>73</v>
      </c>
      <c r="I31" s="21" t="s">
        <v>73</v>
      </c>
      <c r="J31" s="21" t="s">
        <v>73</v>
      </c>
    </row>
    <row r="32" spans="1:10" x14ac:dyDescent="0.2">
      <c r="A32" s="21" t="s">
        <v>188</v>
      </c>
      <c r="B32" s="21" t="s">
        <v>223</v>
      </c>
      <c r="C32" s="21" t="s">
        <v>73</v>
      </c>
      <c r="D32" s="21"/>
      <c r="E32" s="21"/>
      <c r="F32" s="21"/>
      <c r="G32" s="21"/>
      <c r="H32" s="21"/>
      <c r="I32" s="21"/>
      <c r="J32" s="2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5900-EBC9-4222-BE4C-32AA8EAEE436}">
  <dimension ref="A1:R33"/>
  <sheetViews>
    <sheetView showGridLines="0" tabSelected="1" topLeftCell="B1" zoomScale="70" zoomScaleNormal="70" workbookViewId="0">
      <pane ySplit="3" topLeftCell="A4" activePane="bottomLeft" state="frozen"/>
      <selection pane="bottomLeft" activeCell="H16" sqref="H16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 t="s">
        <v>59</v>
      </c>
      <c r="C5" s="18" t="s">
        <v>60</v>
      </c>
      <c r="D5" s="18" t="s">
        <v>61</v>
      </c>
      <c r="E5" s="13" t="s">
        <v>189</v>
      </c>
      <c r="F5" s="13" t="s">
        <v>190</v>
      </c>
      <c r="G5" s="13"/>
      <c r="H5" s="18" t="s">
        <v>63</v>
      </c>
      <c r="I5" s="18" t="s">
        <v>64</v>
      </c>
      <c r="J5" s="18" t="s">
        <v>65</v>
      </c>
      <c r="K5" s="13"/>
      <c r="L5" s="13"/>
      <c r="M5" s="13"/>
      <c r="N5" s="13" t="e">
        <f>MOD(G5-F5, 1)</f>
        <v>#VALUE!</v>
      </c>
      <c r="O5" s="13">
        <f>MOD(M5-L5, 1)</f>
        <v>0</v>
      </c>
    </row>
    <row r="6" spans="1:18" ht="23.25" customHeight="1" x14ac:dyDescent="0.25">
      <c r="A6" s="17" t="s">
        <v>9</v>
      </c>
      <c r="B6" s="18" t="s">
        <v>66</v>
      </c>
      <c r="C6" s="18" t="s">
        <v>67</v>
      </c>
      <c r="D6" s="18" t="s">
        <v>68</v>
      </c>
      <c r="E6" s="13">
        <v>0.40277777777777779</v>
      </c>
      <c r="F6" s="13">
        <v>0.41666666666666669</v>
      </c>
      <c r="G6" s="13">
        <v>0.48958333333333331</v>
      </c>
      <c r="H6" s="18" t="s">
        <v>73</v>
      </c>
      <c r="I6" s="18" t="s">
        <v>73</v>
      </c>
      <c r="J6" s="18" t="s">
        <v>73</v>
      </c>
      <c r="K6" s="13"/>
      <c r="L6" s="13"/>
      <c r="M6" s="13"/>
      <c r="N6" s="13">
        <f t="shared" ref="N6:N32" si="0">MOD(G6-F6, 1)</f>
        <v>7.291666666666663E-2</v>
      </c>
      <c r="O6" s="13">
        <f t="shared" ref="O6:O32" si="1">MOD(M6-L6, 1)</f>
        <v>0</v>
      </c>
      <c r="P6" s="20"/>
      <c r="Q6" s="20"/>
      <c r="R6" s="20"/>
    </row>
    <row r="7" spans="1:18" ht="23.25" customHeight="1" x14ac:dyDescent="0.25">
      <c r="A7" s="17" t="s">
        <v>10</v>
      </c>
      <c r="B7" s="18" t="s">
        <v>70</v>
      </c>
      <c r="C7" s="18" t="s">
        <v>71</v>
      </c>
      <c r="D7" s="18" t="s">
        <v>72</v>
      </c>
      <c r="E7" s="13" t="s">
        <v>189</v>
      </c>
      <c r="F7" s="13" t="s">
        <v>190</v>
      </c>
      <c r="G7" s="13"/>
      <c r="H7" s="18" t="s">
        <v>73</v>
      </c>
      <c r="I7" s="18" t="s">
        <v>73</v>
      </c>
      <c r="J7" s="18" t="s">
        <v>73</v>
      </c>
      <c r="K7" s="13"/>
      <c r="L7" s="13"/>
      <c r="M7" s="13"/>
      <c r="N7" s="13" t="e">
        <f t="shared" si="0"/>
        <v>#VALUE!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 t="s">
        <v>75</v>
      </c>
      <c r="C8" s="18" t="s">
        <v>76</v>
      </c>
      <c r="D8" s="18" t="s">
        <v>77</v>
      </c>
      <c r="E8" s="13">
        <v>0.40277777777777779</v>
      </c>
      <c r="F8" s="13">
        <v>0.42708333333333331</v>
      </c>
      <c r="G8" s="13">
        <v>0.47569444444444442</v>
      </c>
      <c r="H8" s="18" t="s">
        <v>73</v>
      </c>
      <c r="I8" s="18" t="s">
        <v>73</v>
      </c>
      <c r="J8" s="18" t="s">
        <v>73</v>
      </c>
      <c r="K8" s="13"/>
      <c r="L8" s="13"/>
      <c r="M8" s="13"/>
      <c r="N8" s="13">
        <f t="shared" si="0"/>
        <v>4.8611111111111105E-2</v>
      </c>
      <c r="O8" s="13">
        <f t="shared" si="1"/>
        <v>0</v>
      </c>
    </row>
    <row r="9" spans="1:18" ht="23.25" customHeight="1" x14ac:dyDescent="0.25">
      <c r="A9" s="17" t="s">
        <v>12</v>
      </c>
      <c r="B9" s="18" t="s">
        <v>75</v>
      </c>
      <c r="C9" s="18" t="s">
        <v>80</v>
      </c>
      <c r="D9" s="18" t="s">
        <v>81</v>
      </c>
      <c r="E9" s="13">
        <v>0.40277777777777779</v>
      </c>
      <c r="F9" s="13">
        <v>0.43055555555555558</v>
      </c>
      <c r="G9" s="13">
        <v>0.46527777777777779</v>
      </c>
      <c r="H9" s="18" t="s">
        <v>73</v>
      </c>
      <c r="I9" s="18" t="s">
        <v>73</v>
      </c>
      <c r="J9" s="18" t="s">
        <v>73</v>
      </c>
      <c r="K9" s="13"/>
      <c r="L9" s="13"/>
      <c r="M9" s="13"/>
      <c r="N9" s="13">
        <f t="shared" si="0"/>
        <v>3.472222222222221E-2</v>
      </c>
      <c r="O9" s="13">
        <f t="shared" si="1"/>
        <v>0</v>
      </c>
    </row>
    <row r="10" spans="1:18" ht="23.25" customHeight="1" x14ac:dyDescent="0.25">
      <c r="A10" s="17" t="s">
        <v>13</v>
      </c>
      <c r="B10" s="18" t="s">
        <v>86</v>
      </c>
      <c r="C10" s="18" t="s">
        <v>87</v>
      </c>
      <c r="D10" s="18" t="s">
        <v>88</v>
      </c>
      <c r="E10" s="13" t="s">
        <v>189</v>
      </c>
      <c r="F10" s="13" t="s">
        <v>190</v>
      </c>
      <c r="G10" s="13"/>
      <c r="H10" s="18" t="s">
        <v>73</v>
      </c>
      <c r="I10" s="18"/>
      <c r="J10" s="18"/>
      <c r="K10" s="13"/>
      <c r="L10" s="13"/>
      <c r="M10" s="13"/>
      <c r="N10" s="13" t="e">
        <f t="shared" si="0"/>
        <v>#VALUE!</v>
      </c>
      <c r="O10" s="13">
        <f t="shared" si="1"/>
        <v>0</v>
      </c>
    </row>
    <row r="11" spans="1:18" ht="23.25" customHeight="1" x14ac:dyDescent="0.25">
      <c r="A11" s="17" t="s">
        <v>14</v>
      </c>
      <c r="B11" s="18" t="s">
        <v>90</v>
      </c>
      <c r="C11" s="18" t="s">
        <v>91</v>
      </c>
      <c r="D11" s="18" t="s">
        <v>92</v>
      </c>
      <c r="E11" s="13">
        <v>0.28819444444444442</v>
      </c>
      <c r="F11" s="13">
        <v>0.34375</v>
      </c>
      <c r="G11" s="13">
        <v>0.4548611111111111</v>
      </c>
      <c r="H11" s="18" t="s">
        <v>93</v>
      </c>
      <c r="I11" s="18" t="s">
        <v>94</v>
      </c>
      <c r="J11" s="18" t="s">
        <v>95</v>
      </c>
      <c r="K11" s="13">
        <v>0.30902777777777779</v>
      </c>
      <c r="L11" s="13">
        <v>0.38541666666666669</v>
      </c>
      <c r="M11" s="13">
        <v>0.4201388888888889</v>
      </c>
      <c r="N11" s="13">
        <f t="shared" si="0"/>
        <v>0.1111111111111111</v>
      </c>
      <c r="O11" s="13">
        <f t="shared" si="1"/>
        <v>3.472222222222221E-2</v>
      </c>
    </row>
    <row r="12" spans="1:18" ht="23.25" customHeight="1" x14ac:dyDescent="0.25">
      <c r="A12" s="17" t="s">
        <v>15</v>
      </c>
      <c r="B12" s="18" t="s">
        <v>97</v>
      </c>
      <c r="C12" s="18" t="s">
        <v>98</v>
      </c>
      <c r="D12" s="18" t="s">
        <v>99</v>
      </c>
      <c r="E12" s="13">
        <v>0.30208333333333331</v>
      </c>
      <c r="F12" s="13">
        <v>0.36458333333333331</v>
      </c>
      <c r="G12" s="13">
        <v>0.42708333333333331</v>
      </c>
      <c r="H12" s="18" t="s">
        <v>100</v>
      </c>
      <c r="I12" s="18" t="s">
        <v>101</v>
      </c>
      <c r="J12" s="18" t="s">
        <v>201</v>
      </c>
      <c r="K12" s="13">
        <v>0.40277777777777779</v>
      </c>
      <c r="L12" s="13">
        <v>0.44444444444444442</v>
      </c>
      <c r="M12" s="13">
        <v>0.47916666666666669</v>
      </c>
      <c r="N12" s="13">
        <f t="shared" si="0"/>
        <v>6.25E-2</v>
      </c>
      <c r="O12" s="13">
        <f t="shared" si="1"/>
        <v>3.4722222222222265E-2</v>
      </c>
    </row>
    <row r="13" spans="1:18" ht="23.25" customHeight="1" x14ac:dyDescent="0.25">
      <c r="A13" s="17" t="s">
        <v>16</v>
      </c>
      <c r="B13" s="18" t="s">
        <v>103</v>
      </c>
      <c r="C13" s="18" t="s">
        <v>104</v>
      </c>
      <c r="D13" s="18" t="s">
        <v>105</v>
      </c>
      <c r="E13" s="13" t="s">
        <v>189</v>
      </c>
      <c r="F13" s="13" t="s">
        <v>190</v>
      </c>
      <c r="G13" s="13"/>
      <c r="H13" s="18" t="s">
        <v>103</v>
      </c>
      <c r="I13" s="18" t="s">
        <v>104</v>
      </c>
      <c r="J13" s="18" t="s">
        <v>105</v>
      </c>
      <c r="K13" s="13" t="s">
        <v>189</v>
      </c>
      <c r="L13" s="13" t="s">
        <v>190</v>
      </c>
      <c r="M13" s="13"/>
      <c r="N13" s="13" t="e">
        <f t="shared" si="0"/>
        <v>#VALUE!</v>
      </c>
      <c r="O13" s="13" t="e">
        <f t="shared" si="1"/>
        <v>#VALUE!</v>
      </c>
    </row>
    <row r="14" spans="1:18" ht="23.25" customHeight="1" x14ac:dyDescent="0.25">
      <c r="A14" s="17" t="s">
        <v>17</v>
      </c>
      <c r="B14" s="18" t="s">
        <v>110</v>
      </c>
      <c r="C14" s="18" t="s">
        <v>111</v>
      </c>
      <c r="D14" s="18" t="s">
        <v>112</v>
      </c>
      <c r="E14" s="13" t="s">
        <v>189</v>
      </c>
      <c r="F14" s="13" t="s">
        <v>190</v>
      </c>
      <c r="G14" s="13"/>
      <c r="H14" s="18" t="s">
        <v>73</v>
      </c>
      <c r="I14" s="18" t="s">
        <v>73</v>
      </c>
      <c r="J14" s="18" t="s">
        <v>73</v>
      </c>
      <c r="K14" s="13"/>
      <c r="L14" s="13"/>
      <c r="M14" s="13"/>
      <c r="N14" s="13" t="e">
        <f t="shared" si="0"/>
        <v>#VALUE!</v>
      </c>
      <c r="O14" s="13">
        <f t="shared" si="1"/>
        <v>0</v>
      </c>
    </row>
    <row r="15" spans="1:18" ht="23.25" customHeight="1" x14ac:dyDescent="0.25">
      <c r="A15" s="17" t="s">
        <v>18</v>
      </c>
      <c r="B15" s="18" t="s">
        <v>114</v>
      </c>
      <c r="C15" s="18" t="s">
        <v>115</v>
      </c>
      <c r="D15" s="18" t="s">
        <v>116</v>
      </c>
      <c r="E15" s="13" t="s">
        <v>189</v>
      </c>
      <c r="F15" s="13" t="s">
        <v>190</v>
      </c>
      <c r="G15" s="13"/>
      <c r="H15" s="18"/>
      <c r="I15" s="18"/>
      <c r="J15" s="18"/>
      <c r="K15" s="13"/>
      <c r="L15" s="13"/>
      <c r="M15" s="13"/>
      <c r="N15" s="13" t="e">
        <f t="shared" si="0"/>
        <v>#VALUE!</v>
      </c>
      <c r="O15" s="13">
        <f t="shared" si="1"/>
        <v>0</v>
      </c>
    </row>
    <row r="16" spans="1:18" ht="23.25" customHeight="1" x14ac:dyDescent="0.25">
      <c r="A16" s="17" t="s">
        <v>19</v>
      </c>
      <c r="B16" s="18" t="s">
        <v>118</v>
      </c>
      <c r="C16" s="18" t="s">
        <v>91</v>
      </c>
      <c r="D16" s="18" t="s">
        <v>219</v>
      </c>
      <c r="E16" s="13" t="s">
        <v>189</v>
      </c>
      <c r="F16" s="13" t="s">
        <v>190</v>
      </c>
      <c r="G16" s="13"/>
      <c r="H16" s="18" t="s">
        <v>73</v>
      </c>
      <c r="I16" s="18" t="s">
        <v>73</v>
      </c>
      <c r="J16" s="18" t="s">
        <v>73</v>
      </c>
      <c r="K16" s="13"/>
      <c r="L16" s="13"/>
      <c r="M16" s="13"/>
      <c r="N16" s="13" t="e">
        <f t="shared" si="0"/>
        <v>#VALUE!</v>
      </c>
      <c r="O16" s="13">
        <f t="shared" si="1"/>
        <v>0</v>
      </c>
    </row>
    <row r="17" spans="1:15" ht="23.25" customHeight="1" x14ac:dyDescent="0.25">
      <c r="A17" s="17" t="s">
        <v>20</v>
      </c>
      <c r="B17" s="18" t="s">
        <v>123</v>
      </c>
      <c r="C17" s="18" t="s">
        <v>124</v>
      </c>
      <c r="D17" s="18" t="s">
        <v>125</v>
      </c>
      <c r="E17" s="13">
        <v>0.38194444444444442</v>
      </c>
      <c r="F17" s="13">
        <v>0.40972222222222221</v>
      </c>
      <c r="G17" s="13">
        <v>0.43402777777777779</v>
      </c>
      <c r="H17" s="18" t="s">
        <v>73</v>
      </c>
      <c r="I17" s="18" t="s">
        <v>73</v>
      </c>
      <c r="J17" s="18" t="s">
        <v>73</v>
      </c>
      <c r="K17" s="13"/>
      <c r="L17" s="13"/>
      <c r="M17" s="13"/>
      <c r="N17" s="13">
        <f t="shared" si="0"/>
        <v>2.430555555555558E-2</v>
      </c>
      <c r="O17" s="13">
        <f t="shared" si="1"/>
        <v>0</v>
      </c>
    </row>
    <row r="18" spans="1:15" ht="23.25" customHeight="1" x14ac:dyDescent="0.25">
      <c r="A18" s="17" t="s">
        <v>21</v>
      </c>
      <c r="B18" s="18" t="s">
        <v>127</v>
      </c>
      <c r="C18" s="18" t="s">
        <v>128</v>
      </c>
      <c r="D18" s="18" t="s">
        <v>129</v>
      </c>
      <c r="E18" s="13">
        <v>0.40277777777777779</v>
      </c>
      <c r="F18" s="13">
        <v>0.4236111111111111</v>
      </c>
      <c r="G18" s="13">
        <v>0.55902777777777779</v>
      </c>
      <c r="H18" s="18" t="s">
        <v>73</v>
      </c>
      <c r="I18" s="18" t="s">
        <v>73</v>
      </c>
      <c r="J18" s="18" t="s">
        <v>73</v>
      </c>
      <c r="K18" s="13"/>
      <c r="L18" s="13"/>
      <c r="M18" s="13"/>
      <c r="N18" s="13">
        <f t="shared" si="0"/>
        <v>0.13541666666666669</v>
      </c>
      <c r="O18" s="13">
        <f t="shared" si="1"/>
        <v>0</v>
      </c>
    </row>
    <row r="19" spans="1:15" ht="23.25" customHeight="1" x14ac:dyDescent="0.25">
      <c r="A19" s="17" t="s">
        <v>22</v>
      </c>
      <c r="B19" s="18" t="s">
        <v>131</v>
      </c>
      <c r="C19" s="18" t="s">
        <v>98</v>
      </c>
      <c r="D19" s="18" t="s">
        <v>132</v>
      </c>
      <c r="E19" s="13">
        <v>0.40277777777777779</v>
      </c>
      <c r="F19" s="13">
        <v>0.42708333333333331</v>
      </c>
      <c r="G19" s="13">
        <v>0.50694444444444442</v>
      </c>
      <c r="H19" s="18" t="s">
        <v>73</v>
      </c>
      <c r="I19" s="18" t="s">
        <v>73</v>
      </c>
      <c r="J19" s="18" t="s">
        <v>73</v>
      </c>
      <c r="K19" s="13"/>
      <c r="L19" s="13"/>
      <c r="M19" s="13"/>
      <c r="N19" s="13">
        <f t="shared" si="0"/>
        <v>7.9861111111111105E-2</v>
      </c>
      <c r="O19" s="13">
        <f t="shared" si="1"/>
        <v>0</v>
      </c>
    </row>
    <row r="20" spans="1:15" ht="23.25" customHeight="1" x14ac:dyDescent="0.25">
      <c r="A20" s="17" t="s">
        <v>23</v>
      </c>
      <c r="B20" s="18" t="s">
        <v>134</v>
      </c>
      <c r="C20" s="18" t="s">
        <v>135</v>
      </c>
      <c r="D20" s="18" t="s">
        <v>136</v>
      </c>
      <c r="E20" s="13">
        <v>0.40277777777777779</v>
      </c>
      <c r="F20" s="13">
        <v>0.42708333333333331</v>
      </c>
      <c r="G20" s="13">
        <v>0.4861111111111111</v>
      </c>
      <c r="H20" s="18" t="s">
        <v>73</v>
      </c>
      <c r="I20" s="18" t="s">
        <v>73</v>
      </c>
      <c r="J20" s="18" t="s">
        <v>73</v>
      </c>
      <c r="K20" s="13"/>
      <c r="L20" s="13"/>
      <c r="M20" s="13"/>
      <c r="N20" s="13">
        <f t="shared" si="0"/>
        <v>5.902777777777779E-2</v>
      </c>
      <c r="O20" s="13">
        <f t="shared" si="1"/>
        <v>0</v>
      </c>
    </row>
    <row r="21" spans="1:15" ht="23.25" customHeight="1" x14ac:dyDescent="0.25">
      <c r="A21" s="17" t="s">
        <v>24</v>
      </c>
      <c r="B21" s="18" t="s">
        <v>138</v>
      </c>
      <c r="C21" s="18" t="s">
        <v>139</v>
      </c>
      <c r="D21" s="18" t="s">
        <v>140</v>
      </c>
      <c r="E21" s="13" t="s">
        <v>189</v>
      </c>
      <c r="F21" s="13" t="s">
        <v>190</v>
      </c>
      <c r="G21" s="13"/>
      <c r="H21" s="18" t="s">
        <v>73</v>
      </c>
      <c r="I21" s="18" t="s">
        <v>73</v>
      </c>
      <c r="J21" s="18" t="s">
        <v>73</v>
      </c>
      <c r="K21" s="13"/>
      <c r="L21" s="13"/>
      <c r="M21" s="13"/>
      <c r="N21" s="13" t="e">
        <f t="shared" si="0"/>
        <v>#VALUE!</v>
      </c>
      <c r="O21" s="13">
        <f t="shared" si="1"/>
        <v>0</v>
      </c>
    </row>
    <row r="22" spans="1:15" ht="23.25" customHeight="1" x14ac:dyDescent="0.25">
      <c r="A22" s="17" t="s">
        <v>25</v>
      </c>
      <c r="B22" s="18" t="s">
        <v>143</v>
      </c>
      <c r="C22" s="18" t="s">
        <v>144</v>
      </c>
      <c r="D22" s="18" t="s">
        <v>145</v>
      </c>
      <c r="E22" s="13" t="s">
        <v>189</v>
      </c>
      <c r="F22" s="13" t="s">
        <v>190</v>
      </c>
      <c r="G22" s="13"/>
      <c r="H22" s="18" t="s">
        <v>73</v>
      </c>
      <c r="I22" s="18" t="s">
        <v>73</v>
      </c>
      <c r="J22" s="18" t="s">
        <v>73</v>
      </c>
      <c r="K22" s="13"/>
      <c r="L22" s="13"/>
      <c r="M22" s="13"/>
      <c r="N22" s="13" t="e">
        <f t="shared" si="0"/>
        <v>#VALUE!</v>
      </c>
      <c r="O22" s="13">
        <f t="shared" si="1"/>
        <v>0</v>
      </c>
    </row>
    <row r="23" spans="1:15" ht="23.25" customHeight="1" x14ac:dyDescent="0.25">
      <c r="A23" s="17" t="s">
        <v>26</v>
      </c>
      <c r="B23" s="18" t="s">
        <v>147</v>
      </c>
      <c r="C23" s="18" t="s">
        <v>148</v>
      </c>
      <c r="D23" s="18" t="s">
        <v>149</v>
      </c>
      <c r="E23" s="13">
        <v>0.39583333333333331</v>
      </c>
      <c r="F23" s="13">
        <v>0.43055555555555558</v>
      </c>
      <c r="G23" s="13">
        <v>0.47222222222222221</v>
      </c>
      <c r="H23" s="18" t="s">
        <v>73</v>
      </c>
      <c r="I23" s="18" t="s">
        <v>73</v>
      </c>
      <c r="J23" s="18" t="s">
        <v>73</v>
      </c>
      <c r="K23" s="13"/>
      <c r="L23" s="13"/>
      <c r="M23" s="13"/>
      <c r="N23" s="13">
        <f t="shared" si="0"/>
        <v>4.166666666666663E-2</v>
      </c>
      <c r="O23" s="13">
        <f t="shared" si="1"/>
        <v>0</v>
      </c>
    </row>
    <row r="24" spans="1:15" ht="23.25" customHeight="1" x14ac:dyDescent="0.25">
      <c r="A24" s="17" t="s">
        <v>27</v>
      </c>
      <c r="B24" s="18" t="s">
        <v>151</v>
      </c>
      <c r="C24" s="18" t="s">
        <v>152</v>
      </c>
      <c r="D24" s="18" t="s">
        <v>153</v>
      </c>
      <c r="E24" s="13" t="s">
        <v>189</v>
      </c>
      <c r="F24" s="13" t="s">
        <v>190</v>
      </c>
      <c r="G24" s="13"/>
      <c r="H24" s="18" t="s">
        <v>73</v>
      </c>
      <c r="I24" s="18" t="s">
        <v>73</v>
      </c>
      <c r="J24" s="18" t="s">
        <v>73</v>
      </c>
      <c r="K24" s="13"/>
      <c r="L24" s="13"/>
      <c r="M24" s="13"/>
      <c r="N24" s="13" t="e">
        <f t="shared" si="0"/>
        <v>#VALUE!</v>
      </c>
      <c r="O24" s="13">
        <f t="shared" si="1"/>
        <v>0</v>
      </c>
    </row>
    <row r="25" spans="1:15" ht="23.25" customHeight="1" x14ac:dyDescent="0.25">
      <c r="A25" s="17" t="s">
        <v>28</v>
      </c>
      <c r="B25" s="18" t="s">
        <v>155</v>
      </c>
      <c r="C25" s="18" t="s">
        <v>146</v>
      </c>
      <c r="D25" s="18" t="s">
        <v>156</v>
      </c>
      <c r="E25" s="13">
        <v>0.40277777777777779</v>
      </c>
      <c r="F25" s="13">
        <v>0.41666666666666669</v>
      </c>
      <c r="G25" s="13">
        <v>0.45833333333333331</v>
      </c>
      <c r="H25" s="18" t="s">
        <v>73</v>
      </c>
      <c r="I25" s="18" t="s">
        <v>73</v>
      </c>
      <c r="J25" s="18" t="s">
        <v>73</v>
      </c>
      <c r="K25" s="13"/>
      <c r="L25" s="13"/>
      <c r="M25" s="13"/>
      <c r="N25" s="13">
        <f t="shared" si="0"/>
        <v>4.166666666666663E-2</v>
      </c>
      <c r="O25" s="13">
        <f t="shared" si="1"/>
        <v>0</v>
      </c>
    </row>
    <row r="26" spans="1:15" ht="23.25" customHeight="1" x14ac:dyDescent="0.25">
      <c r="A26" s="17" t="s">
        <v>29</v>
      </c>
      <c r="B26" s="18" t="s">
        <v>158</v>
      </c>
      <c r="C26" s="18" t="s">
        <v>159</v>
      </c>
      <c r="D26" s="18" t="s">
        <v>160</v>
      </c>
      <c r="E26" s="13" t="s">
        <v>189</v>
      </c>
      <c r="F26" s="13" t="s">
        <v>190</v>
      </c>
      <c r="G26" s="13"/>
      <c r="H26" s="18" t="s">
        <v>73</v>
      </c>
      <c r="I26" s="18" t="s">
        <v>73</v>
      </c>
      <c r="J26" s="18" t="s">
        <v>73</v>
      </c>
      <c r="K26" s="13"/>
      <c r="L26" s="13"/>
      <c r="M26" s="13"/>
      <c r="N26" s="13" t="e">
        <f t="shared" si="0"/>
        <v>#VALUE!</v>
      </c>
      <c r="O26" s="13">
        <f t="shared" si="1"/>
        <v>0</v>
      </c>
    </row>
    <row r="27" spans="1:15" ht="23.25" customHeight="1" x14ac:dyDescent="0.25">
      <c r="A27" s="17" t="s">
        <v>30</v>
      </c>
      <c r="B27" s="18" t="s">
        <v>164</v>
      </c>
      <c r="C27" s="18" t="s">
        <v>60</v>
      </c>
      <c r="D27" s="18" t="s">
        <v>165</v>
      </c>
      <c r="E27" s="13" t="s">
        <v>189</v>
      </c>
      <c r="F27" s="13" t="s">
        <v>190</v>
      </c>
      <c r="G27" s="13"/>
      <c r="H27" s="18" t="s">
        <v>73</v>
      </c>
      <c r="I27" s="18" t="s">
        <v>73</v>
      </c>
      <c r="J27" s="18" t="s">
        <v>73</v>
      </c>
      <c r="K27" s="13"/>
      <c r="L27" s="13"/>
      <c r="M27" s="13"/>
      <c r="N27" s="13" t="e">
        <f t="shared" si="0"/>
        <v>#VALUE!</v>
      </c>
      <c r="O27" s="13">
        <f t="shared" si="1"/>
        <v>0</v>
      </c>
    </row>
    <row r="28" spans="1:15" ht="23.25" customHeight="1" x14ac:dyDescent="0.25">
      <c r="A28" s="17" t="s">
        <v>31</v>
      </c>
      <c r="B28" s="18" t="s">
        <v>170</v>
      </c>
      <c r="C28" s="18" t="s">
        <v>91</v>
      </c>
      <c r="D28" s="18" t="s">
        <v>171</v>
      </c>
      <c r="E28" s="13" t="s">
        <v>189</v>
      </c>
      <c r="F28" s="13" t="s">
        <v>190</v>
      </c>
      <c r="G28" s="13"/>
      <c r="H28" s="18"/>
      <c r="I28" s="18"/>
      <c r="J28" s="18"/>
      <c r="K28" s="13"/>
      <c r="L28" s="13"/>
      <c r="M28" s="13"/>
      <c r="N28" s="13" t="e">
        <f t="shared" si="0"/>
        <v>#VALUE!</v>
      </c>
      <c r="O28" s="13">
        <f t="shared" si="1"/>
        <v>0</v>
      </c>
    </row>
    <row r="29" spans="1:15" ht="23.25" customHeight="1" x14ac:dyDescent="0.25">
      <c r="A29" s="17" t="s">
        <v>32</v>
      </c>
      <c r="B29" s="18" t="s">
        <v>176</v>
      </c>
      <c r="C29" s="18" t="s">
        <v>60</v>
      </c>
      <c r="D29" s="18" t="s">
        <v>177</v>
      </c>
      <c r="E29" s="13" t="s">
        <v>189</v>
      </c>
      <c r="F29" s="13" t="s">
        <v>190</v>
      </c>
      <c r="G29" s="13"/>
      <c r="H29" s="18"/>
      <c r="I29" s="18"/>
      <c r="J29" s="18"/>
      <c r="K29" s="13"/>
      <c r="L29" s="13"/>
      <c r="M29" s="13"/>
      <c r="N29" s="13" t="e">
        <f t="shared" si="0"/>
        <v>#VALUE!</v>
      </c>
      <c r="O29" s="13">
        <f t="shared" si="1"/>
        <v>0</v>
      </c>
    </row>
    <row r="30" spans="1:15" ht="23.25" customHeight="1" x14ac:dyDescent="0.25">
      <c r="A30" s="17" t="s">
        <v>33</v>
      </c>
      <c r="B30" s="18" t="s">
        <v>179</v>
      </c>
      <c r="C30" s="18" t="s">
        <v>74</v>
      </c>
      <c r="D30" s="18" t="s">
        <v>180</v>
      </c>
      <c r="E30" s="13" t="s">
        <v>189</v>
      </c>
      <c r="F30" s="13" t="s">
        <v>190</v>
      </c>
      <c r="G30" s="13"/>
      <c r="H30" s="18"/>
      <c r="I30" s="18"/>
      <c r="J30" s="18"/>
      <c r="K30" s="13"/>
      <c r="L30" s="13"/>
      <c r="M30" s="13"/>
      <c r="N30" s="13" t="e">
        <f t="shared" si="0"/>
        <v>#VALUE!</v>
      </c>
      <c r="O30" s="13">
        <f t="shared" si="1"/>
        <v>0</v>
      </c>
    </row>
    <row r="31" spans="1:15" ht="23.25" customHeight="1" x14ac:dyDescent="0.25">
      <c r="A31" s="17" t="s">
        <v>34</v>
      </c>
      <c r="B31" s="18" t="s">
        <v>182</v>
      </c>
      <c r="C31" s="18" t="s">
        <v>101</v>
      </c>
      <c r="D31" s="18" t="s">
        <v>183</v>
      </c>
      <c r="E31" s="13">
        <v>0.40277777777777779</v>
      </c>
      <c r="F31" s="13">
        <v>0.42708333333333331</v>
      </c>
      <c r="G31" s="13">
        <v>0.4826388888888889</v>
      </c>
      <c r="H31" s="18"/>
      <c r="I31" s="18"/>
      <c r="J31" s="18"/>
      <c r="K31" s="13"/>
      <c r="L31" s="13"/>
      <c r="M31" s="13"/>
      <c r="N31" s="13">
        <f t="shared" si="0"/>
        <v>5.555555555555558E-2</v>
      </c>
      <c r="O31" s="13">
        <f t="shared" si="1"/>
        <v>0</v>
      </c>
    </row>
    <row r="32" spans="1:15" ht="23.25" customHeight="1" x14ac:dyDescent="0.25">
      <c r="A32" s="17" t="s">
        <v>35</v>
      </c>
      <c r="B32" s="18" t="s">
        <v>193</v>
      </c>
      <c r="C32" s="18" t="s">
        <v>74</v>
      </c>
      <c r="D32" s="18" t="s">
        <v>194</v>
      </c>
      <c r="E32" s="13" t="s">
        <v>189</v>
      </c>
      <c r="F32" s="13" t="s">
        <v>190</v>
      </c>
      <c r="G32" s="13"/>
      <c r="H32" s="18"/>
      <c r="I32" s="18"/>
      <c r="J32" s="18"/>
      <c r="K32" s="13"/>
      <c r="L32" s="13"/>
      <c r="M32" s="13"/>
      <c r="N32" s="13" t="e">
        <f t="shared" si="0"/>
        <v>#VALUE!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B2:G2"/>
    <mergeCell ref="H2:M2"/>
    <mergeCell ref="P6:R6"/>
    <mergeCell ref="P7:R7"/>
  </mergeCells>
  <conditionalFormatting sqref="N4:O35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C32 I5:I27" numberStoredAsText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4F81-9E1B-4BD0-89D3-3F8F630E4EC2}">
  <dimension ref="A1:R33"/>
  <sheetViews>
    <sheetView showGridLines="0" zoomScale="70" zoomScaleNormal="70" workbookViewId="0">
      <pane ySplit="3" topLeftCell="A4" activePane="bottomLeft" state="frozen"/>
      <selection pane="bottomLeft" activeCell="D14" sqref="D14"/>
    </sheetView>
  </sheetViews>
  <sheetFormatPr defaultRowHeight="15" x14ac:dyDescent="0.25"/>
  <cols>
    <col min="1" max="1" width="36" style="1" bestFit="1" customWidth="1"/>
    <col min="2" max="2" width="27.83203125" style="1" bestFit="1" customWidth="1"/>
    <col min="3" max="3" width="15.83203125" style="1" bestFit="1" customWidth="1"/>
    <col min="4" max="4" width="19.5" style="1" bestFit="1" customWidth="1"/>
    <col min="5" max="5" width="23.6640625" style="1" bestFit="1" customWidth="1"/>
    <col min="6" max="6" width="24.6640625" style="1" bestFit="1" customWidth="1"/>
    <col min="7" max="7" width="27.5" style="1" bestFit="1" customWidth="1"/>
    <col min="8" max="8" width="27.83203125" style="1" bestFit="1" customWidth="1"/>
    <col min="9" max="9" width="15.83203125" style="1" bestFit="1" customWidth="1"/>
    <col min="10" max="10" width="19.5" style="1" bestFit="1" customWidth="1"/>
    <col min="11" max="11" width="23.6640625" style="1" bestFit="1" customWidth="1"/>
    <col min="12" max="12" width="24.6640625" style="1" bestFit="1" customWidth="1"/>
    <col min="13" max="13" width="27.5" style="1" bestFit="1" customWidth="1"/>
    <col min="14" max="15" width="29.5" style="1" bestFit="1" customWidth="1"/>
    <col min="16" max="17" width="18.6640625" style="1" customWidth="1"/>
    <col min="18" max="16384" width="9.33203125" style="1"/>
  </cols>
  <sheetData>
    <row r="1" spans="1:18" ht="86.25" x14ac:dyDescent="0.35">
      <c r="A1" s="4" t="s">
        <v>5</v>
      </c>
      <c r="B1" s="5"/>
      <c r="C1" s="5"/>
      <c r="D1" s="6"/>
      <c r="E1" s="7"/>
      <c r="F1" s="7"/>
      <c r="G1" s="8"/>
      <c r="H1" s="9"/>
      <c r="I1" s="9"/>
      <c r="J1" s="9"/>
      <c r="K1" s="10"/>
      <c r="L1" s="10"/>
      <c r="M1" s="10"/>
      <c r="N1" s="14"/>
      <c r="O1" s="14"/>
    </row>
    <row r="2" spans="1:18" s="3" customFormat="1" ht="18.75" x14ac:dyDescent="0.3">
      <c r="A2" s="15"/>
      <c r="B2" s="19" t="s">
        <v>6</v>
      </c>
      <c r="C2" s="19"/>
      <c r="D2" s="19"/>
      <c r="E2" s="19"/>
      <c r="F2" s="19"/>
      <c r="G2" s="19"/>
      <c r="H2" s="19" t="s">
        <v>7</v>
      </c>
      <c r="I2" s="19"/>
      <c r="J2" s="19"/>
      <c r="K2" s="19"/>
      <c r="L2" s="19"/>
      <c r="M2" s="19"/>
      <c r="N2" s="16"/>
      <c r="O2" s="16"/>
    </row>
    <row r="3" spans="1:18" s="2" customFormat="1" ht="20.25" x14ac:dyDescent="0.2">
      <c r="A3" s="11" t="s">
        <v>0</v>
      </c>
      <c r="B3" s="11" t="s">
        <v>1</v>
      </c>
      <c r="C3" s="11" t="s">
        <v>36</v>
      </c>
      <c r="D3" s="11" t="s">
        <v>2</v>
      </c>
      <c r="E3" s="11" t="s">
        <v>3</v>
      </c>
      <c r="F3" s="11" t="s">
        <v>37</v>
      </c>
      <c r="G3" s="11" t="s">
        <v>4</v>
      </c>
      <c r="H3" s="11" t="s">
        <v>1</v>
      </c>
      <c r="I3" s="11" t="s">
        <v>36</v>
      </c>
      <c r="J3" s="11" t="s">
        <v>2</v>
      </c>
      <c r="K3" s="11" t="s">
        <v>3</v>
      </c>
      <c r="L3" s="11" t="s">
        <v>37</v>
      </c>
      <c r="M3" s="11" t="s">
        <v>4</v>
      </c>
      <c r="N3" s="12" t="s">
        <v>38</v>
      </c>
      <c r="O3" s="12" t="s">
        <v>39</v>
      </c>
    </row>
    <row r="4" spans="1:18" s="2" customFormat="1" ht="23.25" customHeight="1" x14ac:dyDescent="0.2">
      <c r="A4" s="17"/>
      <c r="B4" s="18"/>
      <c r="C4" s="18"/>
      <c r="D4" s="18"/>
      <c r="E4" s="13"/>
      <c r="F4" s="13"/>
      <c r="G4" s="13"/>
      <c r="H4" s="18"/>
      <c r="I4" s="18"/>
      <c r="J4" s="18"/>
      <c r="K4" s="13"/>
      <c r="L4" s="13"/>
      <c r="M4" s="13"/>
      <c r="N4" s="13"/>
      <c r="O4" s="13"/>
    </row>
    <row r="5" spans="1:18" ht="23.25" customHeight="1" x14ac:dyDescent="0.25">
      <c r="A5" s="17" t="s">
        <v>8</v>
      </c>
      <c r="B5" s="18"/>
      <c r="C5" s="18"/>
      <c r="D5" s="18"/>
      <c r="E5" s="13"/>
      <c r="F5" s="13"/>
      <c r="G5" s="13"/>
      <c r="H5" s="18"/>
      <c r="I5" s="18"/>
      <c r="J5" s="18"/>
      <c r="K5" s="13"/>
      <c r="L5" s="13"/>
      <c r="M5" s="13"/>
      <c r="N5" s="13">
        <f>MOD(G5-F5, 1)</f>
        <v>0</v>
      </c>
      <c r="O5" s="13">
        <f>MOD(M5-L5, 1)</f>
        <v>0</v>
      </c>
    </row>
    <row r="6" spans="1:18" ht="23.25" customHeight="1" x14ac:dyDescent="0.25">
      <c r="A6" s="17" t="s">
        <v>9</v>
      </c>
      <c r="B6" s="18"/>
      <c r="C6" s="18"/>
      <c r="D6" s="18"/>
      <c r="E6" s="13"/>
      <c r="F6" s="13"/>
      <c r="G6" s="13"/>
      <c r="H6" s="18"/>
      <c r="I6" s="18"/>
      <c r="J6" s="18"/>
      <c r="K6" s="13"/>
      <c r="L6" s="13"/>
      <c r="M6" s="13"/>
      <c r="N6" s="13">
        <f t="shared" ref="N6:N32" si="0">MOD(G6-F6, 1)</f>
        <v>0</v>
      </c>
      <c r="O6" s="13">
        <f t="shared" ref="O6:O32" si="1">MOD(M6-L6, 1)</f>
        <v>0</v>
      </c>
      <c r="P6" s="20"/>
      <c r="Q6" s="20"/>
      <c r="R6" s="20"/>
    </row>
    <row r="7" spans="1:18" ht="23.25" customHeight="1" x14ac:dyDescent="0.25">
      <c r="A7" s="17" t="s">
        <v>10</v>
      </c>
      <c r="B7" s="18"/>
      <c r="C7" s="18"/>
      <c r="D7" s="18"/>
      <c r="E7" s="13"/>
      <c r="F7" s="13"/>
      <c r="G7" s="13"/>
      <c r="H7" s="18"/>
      <c r="I7" s="18"/>
      <c r="J7" s="18"/>
      <c r="K7" s="13"/>
      <c r="L7" s="13"/>
      <c r="M7" s="13"/>
      <c r="N7" s="13">
        <f t="shared" si="0"/>
        <v>0</v>
      </c>
      <c r="O7" s="13">
        <f t="shared" si="1"/>
        <v>0</v>
      </c>
      <c r="P7" s="20"/>
      <c r="Q7" s="20"/>
      <c r="R7" s="20"/>
    </row>
    <row r="8" spans="1:18" ht="23.25" customHeight="1" x14ac:dyDescent="0.25">
      <c r="A8" s="17" t="s">
        <v>11</v>
      </c>
      <c r="B8" s="18"/>
      <c r="C8" s="18"/>
      <c r="D8" s="18"/>
      <c r="E8" s="13"/>
      <c r="F8" s="13"/>
      <c r="G8" s="13"/>
      <c r="H8" s="18"/>
      <c r="I8" s="18"/>
      <c r="J8" s="18"/>
      <c r="K8" s="13"/>
      <c r="L8" s="13"/>
      <c r="M8" s="13"/>
      <c r="N8" s="13">
        <f t="shared" si="0"/>
        <v>0</v>
      </c>
      <c r="O8" s="13">
        <f t="shared" si="1"/>
        <v>0</v>
      </c>
    </row>
    <row r="9" spans="1:18" ht="23.25" customHeight="1" x14ac:dyDescent="0.25">
      <c r="A9" s="17" t="s">
        <v>12</v>
      </c>
      <c r="B9" s="18"/>
      <c r="C9" s="18"/>
      <c r="D9" s="18"/>
      <c r="E9" s="13"/>
      <c r="F9" s="13"/>
      <c r="G9" s="13"/>
      <c r="H9" s="18"/>
      <c r="I9" s="18"/>
      <c r="J9" s="18"/>
      <c r="K9" s="13"/>
      <c r="L9" s="13"/>
      <c r="M9" s="13"/>
      <c r="N9" s="13">
        <f t="shared" si="0"/>
        <v>0</v>
      </c>
      <c r="O9" s="13">
        <f t="shared" si="1"/>
        <v>0</v>
      </c>
    </row>
    <row r="10" spans="1:18" ht="23.25" customHeight="1" x14ac:dyDescent="0.25">
      <c r="A10" s="17" t="s">
        <v>13</v>
      </c>
      <c r="B10" s="18"/>
      <c r="C10" s="18"/>
      <c r="D10" s="18"/>
      <c r="E10" s="13"/>
      <c r="F10" s="13"/>
      <c r="G10" s="13"/>
      <c r="H10" s="18"/>
      <c r="I10" s="18"/>
      <c r="J10" s="18"/>
      <c r="K10" s="13"/>
      <c r="L10" s="13"/>
      <c r="M10" s="13"/>
      <c r="N10" s="13">
        <f t="shared" si="0"/>
        <v>0</v>
      </c>
      <c r="O10" s="13">
        <f t="shared" si="1"/>
        <v>0</v>
      </c>
    </row>
    <row r="11" spans="1:18" ht="23.25" customHeight="1" x14ac:dyDescent="0.25">
      <c r="A11" s="17" t="s">
        <v>14</v>
      </c>
      <c r="B11" s="18"/>
      <c r="C11" s="18"/>
      <c r="D11" s="18"/>
      <c r="E11" s="13"/>
      <c r="F11" s="13"/>
      <c r="G11" s="13"/>
      <c r="H11" s="18"/>
      <c r="I11" s="18"/>
      <c r="J11" s="18"/>
      <c r="K11" s="13"/>
      <c r="L11" s="13"/>
      <c r="M11" s="13"/>
      <c r="N11" s="13">
        <f t="shared" si="0"/>
        <v>0</v>
      </c>
      <c r="O11" s="13">
        <f t="shared" si="1"/>
        <v>0</v>
      </c>
    </row>
    <row r="12" spans="1:18" ht="23.25" customHeight="1" x14ac:dyDescent="0.25">
      <c r="A12" s="17" t="s">
        <v>15</v>
      </c>
      <c r="B12" s="18"/>
      <c r="C12" s="18"/>
      <c r="D12" s="18"/>
      <c r="E12" s="13"/>
      <c r="F12" s="13"/>
      <c r="G12" s="13"/>
      <c r="H12" s="18"/>
      <c r="I12" s="18"/>
      <c r="J12" s="18"/>
      <c r="K12" s="13"/>
      <c r="L12" s="13"/>
      <c r="M12" s="13"/>
      <c r="N12" s="13">
        <f t="shared" si="0"/>
        <v>0</v>
      </c>
      <c r="O12" s="13">
        <f t="shared" si="1"/>
        <v>0</v>
      </c>
    </row>
    <row r="13" spans="1:18" ht="23.25" customHeight="1" x14ac:dyDescent="0.25">
      <c r="A13" s="17" t="s">
        <v>16</v>
      </c>
      <c r="B13" s="18"/>
      <c r="C13" s="18"/>
      <c r="D13" s="18"/>
      <c r="E13" s="13"/>
      <c r="F13" s="13"/>
      <c r="G13" s="13"/>
      <c r="H13" s="18"/>
      <c r="I13" s="18"/>
      <c r="J13" s="18"/>
      <c r="K13" s="13"/>
      <c r="L13" s="13"/>
      <c r="M13" s="13"/>
      <c r="N13" s="13">
        <f t="shared" si="0"/>
        <v>0</v>
      </c>
      <c r="O13" s="13">
        <f t="shared" si="1"/>
        <v>0</v>
      </c>
    </row>
    <row r="14" spans="1:18" ht="23.25" customHeight="1" x14ac:dyDescent="0.25">
      <c r="A14" s="17" t="s">
        <v>17</v>
      </c>
      <c r="B14" s="18"/>
      <c r="C14" s="18"/>
      <c r="D14" s="18"/>
      <c r="E14" s="13"/>
      <c r="F14" s="13"/>
      <c r="G14" s="13"/>
      <c r="H14" s="18"/>
      <c r="I14" s="18"/>
      <c r="J14" s="18"/>
      <c r="K14" s="13"/>
      <c r="L14" s="13"/>
      <c r="M14" s="13"/>
      <c r="N14" s="13">
        <f t="shared" si="0"/>
        <v>0</v>
      </c>
      <c r="O14" s="13">
        <f t="shared" si="1"/>
        <v>0</v>
      </c>
    </row>
    <row r="15" spans="1:18" ht="23.25" customHeight="1" x14ac:dyDescent="0.25">
      <c r="A15" s="17" t="s">
        <v>18</v>
      </c>
      <c r="B15" s="18"/>
      <c r="C15" s="18"/>
      <c r="D15" s="18"/>
      <c r="E15" s="13"/>
      <c r="F15" s="13"/>
      <c r="G15" s="13"/>
      <c r="H15" s="18"/>
      <c r="I15" s="18"/>
      <c r="J15" s="18"/>
      <c r="K15" s="13"/>
      <c r="L15" s="13"/>
      <c r="M15" s="13"/>
      <c r="N15" s="13">
        <f t="shared" si="0"/>
        <v>0</v>
      </c>
      <c r="O15" s="13">
        <f t="shared" si="1"/>
        <v>0</v>
      </c>
    </row>
    <row r="16" spans="1:18" ht="23.25" customHeight="1" x14ac:dyDescent="0.25">
      <c r="A16" s="17" t="s">
        <v>19</v>
      </c>
      <c r="B16" s="18"/>
      <c r="C16" s="18"/>
      <c r="D16" s="18"/>
      <c r="E16" s="13"/>
      <c r="F16" s="13"/>
      <c r="G16" s="13"/>
      <c r="H16" s="18"/>
      <c r="I16" s="18"/>
      <c r="J16" s="18"/>
      <c r="K16" s="13"/>
      <c r="L16" s="13"/>
      <c r="M16" s="13"/>
      <c r="N16" s="13">
        <f t="shared" si="0"/>
        <v>0</v>
      </c>
      <c r="O16" s="13">
        <f t="shared" si="1"/>
        <v>0</v>
      </c>
    </row>
    <row r="17" spans="1:15" ht="23.25" customHeight="1" x14ac:dyDescent="0.25">
      <c r="A17" s="17" t="s">
        <v>20</v>
      </c>
      <c r="B17" s="18"/>
      <c r="C17" s="18"/>
      <c r="D17" s="18"/>
      <c r="E17" s="13"/>
      <c r="F17" s="13"/>
      <c r="G17" s="13"/>
      <c r="H17" s="18"/>
      <c r="I17" s="18"/>
      <c r="J17" s="18"/>
      <c r="K17" s="13"/>
      <c r="L17" s="13"/>
      <c r="M17" s="13"/>
      <c r="N17" s="13">
        <f t="shared" si="0"/>
        <v>0</v>
      </c>
      <c r="O17" s="13">
        <f t="shared" si="1"/>
        <v>0</v>
      </c>
    </row>
    <row r="18" spans="1:15" ht="23.25" customHeight="1" x14ac:dyDescent="0.25">
      <c r="A18" s="17" t="s">
        <v>21</v>
      </c>
      <c r="B18" s="18"/>
      <c r="C18" s="18"/>
      <c r="D18" s="18"/>
      <c r="E18" s="13"/>
      <c r="F18" s="13"/>
      <c r="G18" s="13"/>
      <c r="H18" s="18"/>
      <c r="I18" s="18"/>
      <c r="J18" s="18"/>
      <c r="K18" s="13"/>
      <c r="L18" s="13"/>
      <c r="M18" s="13"/>
      <c r="N18" s="13">
        <f t="shared" si="0"/>
        <v>0</v>
      </c>
      <c r="O18" s="13">
        <f t="shared" si="1"/>
        <v>0</v>
      </c>
    </row>
    <row r="19" spans="1:15" ht="23.25" customHeight="1" x14ac:dyDescent="0.25">
      <c r="A19" s="17" t="s">
        <v>22</v>
      </c>
      <c r="B19" s="18"/>
      <c r="C19" s="18"/>
      <c r="D19" s="18"/>
      <c r="E19" s="13"/>
      <c r="F19" s="13"/>
      <c r="G19" s="13"/>
      <c r="H19" s="18"/>
      <c r="I19" s="18"/>
      <c r="J19" s="18"/>
      <c r="K19" s="13"/>
      <c r="L19" s="13"/>
      <c r="M19" s="13"/>
      <c r="N19" s="13">
        <f t="shared" si="0"/>
        <v>0</v>
      </c>
      <c r="O19" s="13">
        <f t="shared" si="1"/>
        <v>0</v>
      </c>
    </row>
    <row r="20" spans="1:15" ht="23.25" customHeight="1" x14ac:dyDescent="0.25">
      <c r="A20" s="17" t="s">
        <v>23</v>
      </c>
      <c r="B20" s="18"/>
      <c r="C20" s="18"/>
      <c r="D20" s="18"/>
      <c r="E20" s="13"/>
      <c r="F20" s="13"/>
      <c r="G20" s="13"/>
      <c r="H20" s="18"/>
      <c r="I20" s="18"/>
      <c r="J20" s="18"/>
      <c r="K20" s="13"/>
      <c r="L20" s="13"/>
      <c r="M20" s="13"/>
      <c r="N20" s="13">
        <f t="shared" si="0"/>
        <v>0</v>
      </c>
      <c r="O20" s="13">
        <f t="shared" si="1"/>
        <v>0</v>
      </c>
    </row>
    <row r="21" spans="1:15" ht="23.25" customHeight="1" x14ac:dyDescent="0.25">
      <c r="A21" s="17" t="s">
        <v>24</v>
      </c>
      <c r="B21" s="18"/>
      <c r="C21" s="18"/>
      <c r="D21" s="18"/>
      <c r="E21" s="13"/>
      <c r="F21" s="13"/>
      <c r="G21" s="13"/>
      <c r="H21" s="18"/>
      <c r="I21" s="18"/>
      <c r="J21" s="18"/>
      <c r="K21" s="13"/>
      <c r="L21" s="13"/>
      <c r="M21" s="13"/>
      <c r="N21" s="13">
        <f t="shared" si="0"/>
        <v>0</v>
      </c>
      <c r="O21" s="13">
        <f t="shared" si="1"/>
        <v>0</v>
      </c>
    </row>
    <row r="22" spans="1:15" ht="23.25" customHeight="1" x14ac:dyDescent="0.25">
      <c r="A22" s="17" t="s">
        <v>25</v>
      </c>
      <c r="B22" s="18"/>
      <c r="C22" s="18"/>
      <c r="D22" s="18"/>
      <c r="E22" s="13"/>
      <c r="F22" s="13"/>
      <c r="G22" s="13"/>
      <c r="H22" s="18"/>
      <c r="I22" s="18"/>
      <c r="J22" s="18"/>
      <c r="K22" s="13"/>
      <c r="L22" s="13"/>
      <c r="M22" s="13"/>
      <c r="N22" s="13">
        <f t="shared" si="0"/>
        <v>0</v>
      </c>
      <c r="O22" s="13">
        <f t="shared" si="1"/>
        <v>0</v>
      </c>
    </row>
    <row r="23" spans="1:15" ht="23.25" customHeight="1" x14ac:dyDescent="0.25">
      <c r="A23" s="17" t="s">
        <v>26</v>
      </c>
      <c r="B23" s="18"/>
      <c r="C23" s="18"/>
      <c r="D23" s="18"/>
      <c r="E23" s="13"/>
      <c r="F23" s="13"/>
      <c r="G23" s="13"/>
      <c r="H23" s="18"/>
      <c r="I23" s="18"/>
      <c r="J23" s="18"/>
      <c r="K23" s="13"/>
      <c r="L23" s="13"/>
      <c r="M23" s="13"/>
      <c r="N23" s="13">
        <f t="shared" si="0"/>
        <v>0</v>
      </c>
      <c r="O23" s="13">
        <f t="shared" si="1"/>
        <v>0</v>
      </c>
    </row>
    <row r="24" spans="1:15" ht="23.25" customHeight="1" x14ac:dyDescent="0.25">
      <c r="A24" s="17" t="s">
        <v>27</v>
      </c>
      <c r="B24" s="18"/>
      <c r="C24" s="18"/>
      <c r="D24" s="18"/>
      <c r="E24" s="13"/>
      <c r="F24" s="13"/>
      <c r="G24" s="13"/>
      <c r="H24" s="18"/>
      <c r="I24" s="18"/>
      <c r="J24" s="18"/>
      <c r="K24" s="13"/>
      <c r="L24" s="13"/>
      <c r="M24" s="13"/>
      <c r="N24" s="13">
        <f t="shared" si="0"/>
        <v>0</v>
      </c>
      <c r="O24" s="13">
        <f t="shared" si="1"/>
        <v>0</v>
      </c>
    </row>
    <row r="25" spans="1:15" ht="23.25" customHeight="1" x14ac:dyDescent="0.25">
      <c r="A25" s="17" t="s">
        <v>28</v>
      </c>
      <c r="B25" s="18"/>
      <c r="C25" s="18"/>
      <c r="D25" s="18"/>
      <c r="E25" s="13"/>
      <c r="F25" s="13"/>
      <c r="G25" s="13"/>
      <c r="H25" s="18"/>
      <c r="I25" s="18"/>
      <c r="J25" s="18"/>
      <c r="K25" s="13"/>
      <c r="L25" s="13"/>
      <c r="M25" s="13"/>
      <c r="N25" s="13">
        <f t="shared" si="0"/>
        <v>0</v>
      </c>
      <c r="O25" s="13">
        <f t="shared" si="1"/>
        <v>0</v>
      </c>
    </row>
    <row r="26" spans="1:15" ht="23.25" customHeight="1" x14ac:dyDescent="0.25">
      <c r="A26" s="17" t="s">
        <v>29</v>
      </c>
      <c r="B26" s="18"/>
      <c r="C26" s="18"/>
      <c r="D26" s="18"/>
      <c r="E26" s="13"/>
      <c r="F26" s="13"/>
      <c r="G26" s="13"/>
      <c r="H26" s="18"/>
      <c r="I26" s="18"/>
      <c r="J26" s="18"/>
      <c r="K26" s="13"/>
      <c r="L26" s="13"/>
      <c r="M26" s="13"/>
      <c r="N26" s="13">
        <f t="shared" si="0"/>
        <v>0</v>
      </c>
      <c r="O26" s="13">
        <f t="shared" si="1"/>
        <v>0</v>
      </c>
    </row>
    <row r="27" spans="1:15" ht="23.25" customHeight="1" x14ac:dyDescent="0.25">
      <c r="A27" s="17" t="s">
        <v>30</v>
      </c>
      <c r="B27" s="18"/>
      <c r="C27" s="18"/>
      <c r="D27" s="18"/>
      <c r="E27" s="13"/>
      <c r="F27" s="13"/>
      <c r="G27" s="13"/>
      <c r="H27" s="18"/>
      <c r="I27" s="18"/>
      <c r="J27" s="18"/>
      <c r="K27" s="13"/>
      <c r="L27" s="13"/>
      <c r="M27" s="13"/>
      <c r="N27" s="13">
        <f t="shared" si="0"/>
        <v>0</v>
      </c>
      <c r="O27" s="13">
        <f t="shared" si="1"/>
        <v>0</v>
      </c>
    </row>
    <row r="28" spans="1:15" ht="23.25" customHeight="1" x14ac:dyDescent="0.25">
      <c r="A28" s="17" t="s">
        <v>31</v>
      </c>
      <c r="B28" s="18"/>
      <c r="C28" s="18"/>
      <c r="D28" s="18"/>
      <c r="E28" s="13"/>
      <c r="F28" s="13"/>
      <c r="G28" s="13"/>
      <c r="H28" s="18"/>
      <c r="I28" s="18"/>
      <c r="J28" s="18"/>
      <c r="K28" s="13"/>
      <c r="L28" s="13"/>
      <c r="M28" s="13"/>
      <c r="N28" s="13">
        <f t="shared" si="0"/>
        <v>0</v>
      </c>
      <c r="O28" s="13">
        <f t="shared" si="1"/>
        <v>0</v>
      </c>
    </row>
    <row r="29" spans="1:15" ht="23.25" customHeight="1" x14ac:dyDescent="0.25">
      <c r="A29" s="17" t="s">
        <v>32</v>
      </c>
      <c r="B29" s="18"/>
      <c r="C29" s="18"/>
      <c r="D29" s="18"/>
      <c r="E29" s="13"/>
      <c r="F29" s="13"/>
      <c r="G29" s="13"/>
      <c r="H29" s="18"/>
      <c r="I29" s="18"/>
      <c r="J29" s="18"/>
      <c r="K29" s="13"/>
      <c r="L29" s="13"/>
      <c r="M29" s="13"/>
      <c r="N29" s="13">
        <f t="shared" si="0"/>
        <v>0</v>
      </c>
      <c r="O29" s="13">
        <f t="shared" si="1"/>
        <v>0</v>
      </c>
    </row>
    <row r="30" spans="1:15" ht="23.25" customHeight="1" x14ac:dyDescent="0.25">
      <c r="A30" s="17" t="s">
        <v>33</v>
      </c>
      <c r="B30" s="18"/>
      <c r="C30" s="18"/>
      <c r="D30" s="18"/>
      <c r="E30" s="13"/>
      <c r="F30" s="13"/>
      <c r="G30" s="13"/>
      <c r="H30" s="18"/>
      <c r="I30" s="18"/>
      <c r="J30" s="18"/>
      <c r="K30" s="13"/>
      <c r="L30" s="13"/>
      <c r="M30" s="13"/>
      <c r="N30" s="13">
        <f t="shared" si="0"/>
        <v>0</v>
      </c>
      <c r="O30" s="13">
        <f t="shared" si="1"/>
        <v>0</v>
      </c>
    </row>
    <row r="31" spans="1:15" ht="23.25" customHeight="1" x14ac:dyDescent="0.25">
      <c r="A31" s="17" t="s">
        <v>34</v>
      </c>
      <c r="B31" s="18"/>
      <c r="C31" s="18"/>
      <c r="D31" s="18"/>
      <c r="E31" s="13"/>
      <c r="F31" s="13"/>
      <c r="G31" s="13"/>
      <c r="H31" s="18"/>
      <c r="I31" s="18"/>
      <c r="J31" s="18"/>
      <c r="K31" s="13"/>
      <c r="L31" s="13"/>
      <c r="M31" s="13"/>
      <c r="N31" s="13">
        <f t="shared" si="0"/>
        <v>0</v>
      </c>
      <c r="O31" s="13">
        <f t="shared" si="1"/>
        <v>0</v>
      </c>
    </row>
    <row r="32" spans="1:15" ht="23.25" customHeight="1" x14ac:dyDescent="0.25">
      <c r="A32" s="17" t="s">
        <v>35</v>
      </c>
      <c r="B32" s="18"/>
      <c r="C32" s="18"/>
      <c r="D32" s="18"/>
      <c r="E32" s="13"/>
      <c r="F32" s="13"/>
      <c r="G32" s="13"/>
      <c r="H32" s="18"/>
      <c r="I32" s="18"/>
      <c r="J32" s="18"/>
      <c r="K32" s="13"/>
      <c r="L32" s="13"/>
      <c r="M32" s="13"/>
      <c r="N32" s="13">
        <f t="shared" si="0"/>
        <v>0</v>
      </c>
      <c r="O32" s="13">
        <f t="shared" si="1"/>
        <v>0</v>
      </c>
    </row>
    <row r="33" spans="1:15" ht="23.25" customHeight="1" x14ac:dyDescent="0.25">
      <c r="A33" s="17"/>
      <c r="B33" s="18"/>
      <c r="C33" s="18"/>
      <c r="D33" s="18"/>
      <c r="E33" s="13"/>
      <c r="F33" s="13"/>
      <c r="G33" s="13"/>
      <c r="H33" s="18"/>
      <c r="I33" s="18"/>
      <c r="J33" s="18"/>
      <c r="K33" s="13"/>
      <c r="L33" s="13"/>
      <c r="M33" s="13"/>
      <c r="N33" s="13"/>
      <c r="O33" s="13"/>
    </row>
  </sheetData>
  <autoFilter ref="A3:M32" xr:uid="{27212909-E8C2-43A1-879C-B9DCFF20023A}"/>
  <mergeCells count="4">
    <mergeCell ref="P6:R6"/>
    <mergeCell ref="P7:R7"/>
    <mergeCell ref="B2:G2"/>
    <mergeCell ref="H2:M2"/>
  </mergeCells>
  <conditionalFormatting sqref="N4:O35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7EC4F4-646C-4D26-8455-3A7891956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15</vt:lpstr>
      <vt:lpstr>18</vt:lpstr>
      <vt:lpstr>19</vt:lpstr>
      <vt:lpstr>Table001 (Page 1) (53)</vt:lpstr>
      <vt:lpstr>21</vt:lpstr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FEVEREIRO 2026.xlsx</dc:title>
  <dc:creator>HOME</dc:creator>
  <cp:lastModifiedBy>WIliam  Souza Cortes dso Santos</cp:lastModifiedBy>
  <dcterms:created xsi:type="dcterms:W3CDTF">2026-02-16T22:20:07Z</dcterms:created>
  <dcterms:modified xsi:type="dcterms:W3CDTF">2026-05-21T18:25:10Z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2026-02-16T00:00:00Z</vt:filetime>
  </property>
  <property fmtid="{D5CDD505-2E9C-101B-9397-08002B2CF9AE}" pid="3" name="LastSaved">
    <vt:filetime>2026-02-16T00:00:00Z</vt:filetime>
  </property>
  <property fmtid="{D5CDD505-2E9C-101B-9397-08002B2CF9AE}" pid="4" name="Producer">
    <vt:lpwstr>Microsoft: Print To PDF</vt:lpwstr>
  </property>
</Properties>
</file>