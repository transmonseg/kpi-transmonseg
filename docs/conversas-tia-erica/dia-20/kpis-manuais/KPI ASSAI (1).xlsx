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74338F3F-A596-4C39-B225-EA0ECBE5CCF7}" xr6:coauthVersionLast="47" xr6:coauthVersionMax="47" xr10:uidLastSave="{00000000-0000-0000-0000-000000000000}"/>
  <bookViews>
    <workbookView xWindow="14295" yWindow="0" windowWidth="14610" windowHeight="15585" firstSheet="8" activeTab="16" xr2:uid="{4C8C8FED-C2DE-4916-A3B0-5571435FA6BF}"/>
  </bookViews>
  <sheets>
    <sheet name="02" sheetId="16" r:id="rId1"/>
    <sheet name="04" sheetId="17" r:id="rId2"/>
    <sheet name="05" sheetId="18" r:id="rId3"/>
    <sheet name="06" sheetId="19" r:id="rId4"/>
    <sheet name="07" sheetId="20" r:id="rId5"/>
    <sheet name="08" sheetId="21" r:id="rId6"/>
    <sheet name="09" sheetId="22" r:id="rId7"/>
    <sheet name="11" sheetId="23" r:id="rId8"/>
    <sheet name="12" sheetId="24" r:id="rId9"/>
    <sheet name="13" sheetId="25" r:id="rId10"/>
    <sheet name="14" sheetId="26" r:id="rId11"/>
    <sheet name="15" sheetId="27" r:id="rId12"/>
    <sheet name="16" sheetId="28" r:id="rId13"/>
    <sheet name="18" sheetId="29" r:id="rId14"/>
    <sheet name="19" sheetId="30" r:id="rId15"/>
    <sheet name="20" sheetId="31" r:id="rId16"/>
    <sheet name="21" sheetId="32" r:id="rId17"/>
    <sheet name="matriz" sheetId="15" r:id="rId18"/>
  </sheets>
  <definedNames>
    <definedName name="_xlnm._FilterDatabase" localSheetId="0" hidden="1">'02'!$A$3:$M$46</definedName>
    <definedName name="_xlnm._FilterDatabase" localSheetId="1" hidden="1">'04'!$A$3:$M$46</definedName>
    <definedName name="_xlnm._FilterDatabase" localSheetId="2" hidden="1">'05'!$A$3:$M$46</definedName>
    <definedName name="_xlnm._FilterDatabase" localSheetId="3" hidden="1">'06'!$A$3:$M$46</definedName>
    <definedName name="_xlnm._FilterDatabase" localSheetId="4" hidden="1">'07'!$A$3:$M$46</definedName>
    <definedName name="_xlnm._FilterDatabase" localSheetId="5" hidden="1">'08'!$A$3:$M$46</definedName>
    <definedName name="_xlnm._FilterDatabase" localSheetId="6" hidden="1">'09'!$A$3:$M$46</definedName>
    <definedName name="_xlnm._FilterDatabase" localSheetId="7" hidden="1">'11'!$A$3:$M$46</definedName>
    <definedName name="_xlnm._FilterDatabase" localSheetId="8" hidden="1">'12'!$A$3:$M$46</definedName>
    <definedName name="_xlnm._FilterDatabase" localSheetId="9" hidden="1">'13'!$A$3:$M$46</definedName>
    <definedName name="_xlnm._FilterDatabase" localSheetId="10" hidden="1">'14'!$A$3:$M$46</definedName>
    <definedName name="_xlnm._FilterDatabase" localSheetId="11" hidden="1">'15'!$A$3:$M$46</definedName>
    <definedName name="_xlnm._FilterDatabase" localSheetId="12" hidden="1">'16'!$A$3:$M$46</definedName>
    <definedName name="_xlnm._FilterDatabase" localSheetId="13" hidden="1">'18'!$A$3:$M$46</definedName>
    <definedName name="_xlnm._FilterDatabase" localSheetId="14" hidden="1">'19'!$A$3:$M$46</definedName>
    <definedName name="_xlnm._FilterDatabase" localSheetId="15" hidden="1">'20'!$A$3:$M$46</definedName>
    <definedName name="_xlnm._FilterDatabase" localSheetId="16" hidden="1">'21'!$A$3:$M$46</definedName>
    <definedName name="_xlnm._FilterDatabase" localSheetId="17" hidden="1">matriz!$A$3:$M$46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32" l="1"/>
  <c r="N45" i="32"/>
  <c r="O44" i="32"/>
  <c r="N44" i="32"/>
  <c r="O43" i="32"/>
  <c r="N43" i="32"/>
  <c r="O42" i="32"/>
  <c r="N42" i="32"/>
  <c r="O41" i="32"/>
  <c r="N41" i="32"/>
  <c r="O40" i="32"/>
  <c r="N40" i="32"/>
  <c r="O39" i="32"/>
  <c r="N39" i="32"/>
  <c r="O38" i="32"/>
  <c r="N38" i="32"/>
  <c r="O37" i="32"/>
  <c r="N37" i="32"/>
  <c r="O36" i="32"/>
  <c r="N36" i="32"/>
  <c r="O35" i="32"/>
  <c r="N35" i="32"/>
  <c r="O34" i="32"/>
  <c r="N34" i="32"/>
  <c r="O33" i="32"/>
  <c r="N33" i="32"/>
  <c r="O32" i="32"/>
  <c r="N32" i="32"/>
  <c r="O31" i="32"/>
  <c r="N31" i="32"/>
  <c r="O30" i="32"/>
  <c r="N30" i="32"/>
  <c r="O29" i="32"/>
  <c r="N29" i="32"/>
  <c r="O28" i="32"/>
  <c r="N28" i="32"/>
  <c r="O27" i="32"/>
  <c r="N27" i="32"/>
  <c r="O26" i="32"/>
  <c r="N26" i="32"/>
  <c r="O25" i="32"/>
  <c r="N25" i="32"/>
  <c r="O24" i="32"/>
  <c r="N24" i="32"/>
  <c r="O23" i="32"/>
  <c r="N23" i="32"/>
  <c r="O22" i="32"/>
  <c r="N22" i="32"/>
  <c r="O21" i="32"/>
  <c r="N21" i="32"/>
  <c r="O20" i="32"/>
  <c r="N20" i="32"/>
  <c r="O19" i="32"/>
  <c r="N19" i="32"/>
  <c r="O18" i="32"/>
  <c r="N18" i="32"/>
  <c r="O17" i="32"/>
  <c r="N17" i="32"/>
  <c r="O16" i="32"/>
  <c r="N16" i="32"/>
  <c r="O15" i="32"/>
  <c r="N15" i="32"/>
  <c r="O14" i="32"/>
  <c r="N14" i="32"/>
  <c r="O13" i="32"/>
  <c r="N13" i="32"/>
  <c r="O12" i="32"/>
  <c r="N12" i="32"/>
  <c r="O11" i="32"/>
  <c r="N11" i="32"/>
  <c r="O10" i="32"/>
  <c r="N10" i="32"/>
  <c r="O9" i="32"/>
  <c r="N9" i="32"/>
  <c r="O8" i="32"/>
  <c r="N8" i="32"/>
  <c r="O7" i="32"/>
  <c r="N7" i="32"/>
  <c r="O6" i="32"/>
  <c r="N6" i="32"/>
  <c r="O5" i="32"/>
  <c r="N5" i="32"/>
  <c r="O45" i="31" l="1"/>
  <c r="N45" i="31"/>
  <c r="O44" i="31"/>
  <c r="N44" i="31"/>
  <c r="O43" i="31"/>
  <c r="N43" i="31"/>
  <c r="O42" i="31"/>
  <c r="N42" i="31"/>
  <c r="O41" i="31"/>
  <c r="N41" i="31"/>
  <c r="O40" i="31"/>
  <c r="N40" i="31"/>
  <c r="O39" i="31"/>
  <c r="N39" i="31"/>
  <c r="O38" i="31"/>
  <c r="N38" i="31"/>
  <c r="O37" i="31"/>
  <c r="N37" i="31"/>
  <c r="O36" i="31"/>
  <c r="N36" i="31"/>
  <c r="O35" i="31"/>
  <c r="N35" i="31"/>
  <c r="O34" i="31"/>
  <c r="N34" i="31"/>
  <c r="O33" i="31"/>
  <c r="N33" i="31"/>
  <c r="O32" i="31"/>
  <c r="N32" i="31"/>
  <c r="O31" i="31"/>
  <c r="N31" i="31"/>
  <c r="O30" i="31"/>
  <c r="N30" i="31"/>
  <c r="O29" i="31"/>
  <c r="N29" i="31"/>
  <c r="O28" i="31"/>
  <c r="N28" i="31"/>
  <c r="O27" i="31"/>
  <c r="N27" i="31"/>
  <c r="O26" i="31"/>
  <c r="N26" i="31"/>
  <c r="O25" i="31"/>
  <c r="N25" i="31"/>
  <c r="O24" i="31"/>
  <c r="N24" i="31"/>
  <c r="O23" i="31"/>
  <c r="N23" i="31"/>
  <c r="O22" i="31"/>
  <c r="N22" i="31"/>
  <c r="O21" i="31"/>
  <c r="N21" i="31"/>
  <c r="O20" i="31"/>
  <c r="N20" i="31"/>
  <c r="O19" i="31"/>
  <c r="N19" i="31"/>
  <c r="O18" i="31"/>
  <c r="N18" i="31"/>
  <c r="O17" i="31"/>
  <c r="N17" i="31"/>
  <c r="O16" i="31"/>
  <c r="N16" i="31"/>
  <c r="O15" i="31"/>
  <c r="N15" i="31"/>
  <c r="O14" i="31"/>
  <c r="N14" i="31"/>
  <c r="O13" i="31"/>
  <c r="N13" i="31"/>
  <c r="O12" i="31"/>
  <c r="N12" i="31"/>
  <c r="O11" i="31"/>
  <c r="N11" i="31"/>
  <c r="O10" i="31"/>
  <c r="N10" i="31"/>
  <c r="O9" i="31"/>
  <c r="N9" i="31"/>
  <c r="O8" i="31"/>
  <c r="N8" i="31"/>
  <c r="O7" i="31"/>
  <c r="N7" i="31"/>
  <c r="O6" i="31"/>
  <c r="N6" i="31"/>
  <c r="O5" i="31"/>
  <c r="N5" i="31"/>
  <c r="O45" i="30" l="1"/>
  <c r="N45" i="30"/>
  <c r="O44" i="30"/>
  <c r="N44" i="30"/>
  <c r="O43" i="30"/>
  <c r="N43" i="30"/>
  <c r="O42" i="30"/>
  <c r="N42" i="30"/>
  <c r="O41" i="30"/>
  <c r="N41" i="30"/>
  <c r="O40" i="30"/>
  <c r="N40" i="30"/>
  <c r="O39" i="30"/>
  <c r="N39" i="30"/>
  <c r="O38" i="30"/>
  <c r="N38" i="30"/>
  <c r="O37" i="30"/>
  <c r="N37" i="30"/>
  <c r="O36" i="30"/>
  <c r="N36" i="30"/>
  <c r="O35" i="30"/>
  <c r="N35" i="30"/>
  <c r="O34" i="30"/>
  <c r="N34" i="30"/>
  <c r="O33" i="30"/>
  <c r="N33" i="30"/>
  <c r="O32" i="30"/>
  <c r="N32" i="30"/>
  <c r="O31" i="30"/>
  <c r="N31" i="30"/>
  <c r="O30" i="30"/>
  <c r="N30" i="30"/>
  <c r="O29" i="30"/>
  <c r="N29" i="30"/>
  <c r="O28" i="30"/>
  <c r="N28" i="30"/>
  <c r="O27" i="30"/>
  <c r="N27" i="30"/>
  <c r="O26" i="30"/>
  <c r="N26" i="30"/>
  <c r="O25" i="30"/>
  <c r="N25" i="30"/>
  <c r="O24" i="30"/>
  <c r="N24" i="30"/>
  <c r="O23" i="30"/>
  <c r="N23" i="30"/>
  <c r="O22" i="30"/>
  <c r="N22" i="30"/>
  <c r="O21" i="30"/>
  <c r="N21" i="30"/>
  <c r="O20" i="30"/>
  <c r="N20" i="30"/>
  <c r="O19" i="30"/>
  <c r="N19" i="30"/>
  <c r="O18" i="30"/>
  <c r="N18" i="30"/>
  <c r="O17" i="30"/>
  <c r="N17" i="30"/>
  <c r="O16" i="30"/>
  <c r="N16" i="30"/>
  <c r="O15" i="30"/>
  <c r="N15" i="30"/>
  <c r="O14" i="30"/>
  <c r="N14" i="30"/>
  <c r="O13" i="30"/>
  <c r="N13" i="30"/>
  <c r="O12" i="30"/>
  <c r="N12" i="30"/>
  <c r="O11" i="30"/>
  <c r="N11" i="30"/>
  <c r="O10" i="30"/>
  <c r="N10" i="30"/>
  <c r="O9" i="30"/>
  <c r="N9" i="30"/>
  <c r="O8" i="30"/>
  <c r="N8" i="30"/>
  <c r="O7" i="30"/>
  <c r="N7" i="30"/>
  <c r="O6" i="30"/>
  <c r="N6" i="30"/>
  <c r="O5" i="30"/>
  <c r="N5" i="30"/>
  <c r="O45" i="29" l="1"/>
  <c r="N45" i="29"/>
  <c r="O44" i="29"/>
  <c r="N44" i="29"/>
  <c r="O43" i="29"/>
  <c r="N43" i="29"/>
  <c r="O42" i="29"/>
  <c r="N42" i="29"/>
  <c r="O41" i="29"/>
  <c r="N41" i="29"/>
  <c r="O40" i="29"/>
  <c r="N40" i="29"/>
  <c r="O39" i="29"/>
  <c r="N39" i="29"/>
  <c r="O38" i="29"/>
  <c r="N38" i="29"/>
  <c r="O37" i="29"/>
  <c r="N37" i="29"/>
  <c r="O36" i="29"/>
  <c r="N36" i="29"/>
  <c r="O35" i="29"/>
  <c r="N35" i="29"/>
  <c r="O34" i="29"/>
  <c r="N34" i="29"/>
  <c r="O33" i="29"/>
  <c r="N33" i="29"/>
  <c r="O32" i="29"/>
  <c r="N32" i="29"/>
  <c r="O31" i="29"/>
  <c r="N31" i="29"/>
  <c r="O30" i="29"/>
  <c r="N30" i="29"/>
  <c r="O29" i="29"/>
  <c r="N29" i="29"/>
  <c r="O28" i="29"/>
  <c r="N28" i="29"/>
  <c r="O27" i="29"/>
  <c r="N27" i="29"/>
  <c r="O26" i="29"/>
  <c r="N26" i="29"/>
  <c r="O25" i="29"/>
  <c r="N25" i="29"/>
  <c r="O24" i="29"/>
  <c r="N24" i="29"/>
  <c r="O23" i="29"/>
  <c r="N23" i="29"/>
  <c r="O22" i="29"/>
  <c r="N22" i="29"/>
  <c r="O21" i="29"/>
  <c r="N21" i="29"/>
  <c r="O20" i="29"/>
  <c r="N20" i="29"/>
  <c r="O19" i="29"/>
  <c r="N19" i="29"/>
  <c r="O18" i="29"/>
  <c r="N18" i="29"/>
  <c r="O17" i="29"/>
  <c r="N17" i="29"/>
  <c r="O16" i="29"/>
  <c r="N16" i="29"/>
  <c r="O15" i="29"/>
  <c r="N15" i="29"/>
  <c r="O14" i="29"/>
  <c r="N14" i="29"/>
  <c r="O13" i="29"/>
  <c r="N13" i="29"/>
  <c r="O12" i="29"/>
  <c r="N12" i="29"/>
  <c r="O11" i="29"/>
  <c r="N11" i="29"/>
  <c r="O10" i="29"/>
  <c r="N10" i="29"/>
  <c r="O9" i="29"/>
  <c r="N9" i="29"/>
  <c r="O8" i="29"/>
  <c r="N8" i="29"/>
  <c r="O7" i="29"/>
  <c r="N7" i="29"/>
  <c r="O6" i="29"/>
  <c r="N6" i="29"/>
  <c r="O5" i="29"/>
  <c r="N5" i="29"/>
  <c r="O45" i="28" l="1"/>
  <c r="N45" i="28"/>
  <c r="O44" i="28"/>
  <c r="N44" i="28"/>
  <c r="O43" i="28"/>
  <c r="N43" i="28"/>
  <c r="O42" i="28"/>
  <c r="N42" i="28"/>
  <c r="O41" i="28"/>
  <c r="N41" i="28"/>
  <c r="O40" i="28"/>
  <c r="N40" i="28"/>
  <c r="O39" i="28"/>
  <c r="N39" i="28"/>
  <c r="O38" i="28"/>
  <c r="N38" i="28"/>
  <c r="O37" i="28"/>
  <c r="N37" i="28"/>
  <c r="O36" i="28"/>
  <c r="N36" i="28"/>
  <c r="O35" i="28"/>
  <c r="N35" i="28"/>
  <c r="O34" i="28"/>
  <c r="N34" i="28"/>
  <c r="O33" i="28"/>
  <c r="N33" i="28"/>
  <c r="O32" i="28"/>
  <c r="N32" i="28"/>
  <c r="O31" i="28"/>
  <c r="N31" i="28"/>
  <c r="O30" i="28"/>
  <c r="N30" i="28"/>
  <c r="O29" i="28"/>
  <c r="N29" i="28"/>
  <c r="O28" i="28"/>
  <c r="N28" i="28"/>
  <c r="O27" i="28"/>
  <c r="N27" i="28"/>
  <c r="O26" i="28"/>
  <c r="N26" i="28"/>
  <c r="O25" i="28"/>
  <c r="N25" i="28"/>
  <c r="O24" i="28"/>
  <c r="N24" i="28"/>
  <c r="O23" i="28"/>
  <c r="N23" i="28"/>
  <c r="O22" i="28"/>
  <c r="N22" i="28"/>
  <c r="O21" i="28"/>
  <c r="N21" i="28"/>
  <c r="O20" i="28"/>
  <c r="N20" i="28"/>
  <c r="O19" i="28"/>
  <c r="N19" i="28"/>
  <c r="O18" i="28"/>
  <c r="N18" i="28"/>
  <c r="O17" i="28"/>
  <c r="N17" i="28"/>
  <c r="O16" i="28"/>
  <c r="N16" i="28"/>
  <c r="O15" i="28"/>
  <c r="N15" i="28"/>
  <c r="O14" i="28"/>
  <c r="N14" i="28"/>
  <c r="O13" i="28"/>
  <c r="N13" i="28"/>
  <c r="O12" i="28"/>
  <c r="N12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45" i="27" l="1"/>
  <c r="N45" i="27"/>
  <c r="O44" i="27"/>
  <c r="N44" i="27"/>
  <c r="O43" i="27"/>
  <c r="N43" i="27"/>
  <c r="O42" i="27"/>
  <c r="N42" i="27"/>
  <c r="O41" i="27"/>
  <c r="N41" i="27"/>
  <c r="O40" i="27"/>
  <c r="N40" i="27"/>
  <c r="O39" i="27"/>
  <c r="N39" i="27"/>
  <c r="O38" i="27"/>
  <c r="N38" i="27"/>
  <c r="O37" i="27"/>
  <c r="N37" i="27"/>
  <c r="O36" i="27"/>
  <c r="N36" i="27"/>
  <c r="O35" i="27"/>
  <c r="N35" i="27"/>
  <c r="O34" i="27"/>
  <c r="N34" i="27"/>
  <c r="O33" i="27"/>
  <c r="N33" i="27"/>
  <c r="O32" i="27"/>
  <c r="N32" i="27"/>
  <c r="O31" i="27"/>
  <c r="N31" i="27"/>
  <c r="O30" i="27"/>
  <c r="N30" i="27"/>
  <c r="O29" i="27"/>
  <c r="N29" i="27"/>
  <c r="O28" i="27"/>
  <c r="N28" i="27"/>
  <c r="O27" i="27"/>
  <c r="N27" i="27"/>
  <c r="O26" i="27"/>
  <c r="N26" i="27"/>
  <c r="O25" i="27"/>
  <c r="N25" i="27"/>
  <c r="O24" i="27"/>
  <c r="N24" i="27"/>
  <c r="O23" i="27"/>
  <c r="N23" i="27"/>
  <c r="O22" i="27"/>
  <c r="N22" i="27"/>
  <c r="O21" i="27"/>
  <c r="N21" i="27"/>
  <c r="O20" i="27"/>
  <c r="N20" i="27"/>
  <c r="O19" i="27"/>
  <c r="N19" i="27"/>
  <c r="O18" i="27"/>
  <c r="N18" i="27"/>
  <c r="O17" i="27"/>
  <c r="N17" i="27"/>
  <c r="O16" i="27"/>
  <c r="N16" i="27"/>
  <c r="O15" i="27"/>
  <c r="N15" i="27"/>
  <c r="O14" i="27"/>
  <c r="N14" i="27"/>
  <c r="O13" i="27"/>
  <c r="N13" i="27"/>
  <c r="O12" i="27"/>
  <c r="N12" i="27"/>
  <c r="O11" i="27"/>
  <c r="N11" i="27"/>
  <c r="O10" i="27"/>
  <c r="N10" i="27"/>
  <c r="O9" i="27"/>
  <c r="N9" i="27"/>
  <c r="O8" i="27"/>
  <c r="N8" i="27"/>
  <c r="O7" i="27"/>
  <c r="N7" i="27"/>
  <c r="O6" i="27"/>
  <c r="N6" i="27"/>
  <c r="O5" i="27"/>
  <c r="N5" i="27"/>
  <c r="O45" i="26" l="1"/>
  <c r="N45" i="26"/>
  <c r="O44" i="26"/>
  <c r="N44" i="26"/>
  <c r="O43" i="26"/>
  <c r="N43" i="26"/>
  <c r="O42" i="26"/>
  <c r="N42" i="26"/>
  <c r="O41" i="26"/>
  <c r="N41" i="26"/>
  <c r="O40" i="26"/>
  <c r="N40" i="26"/>
  <c r="O39" i="26"/>
  <c r="N39" i="26"/>
  <c r="O38" i="26"/>
  <c r="N38" i="26"/>
  <c r="O37" i="26"/>
  <c r="N37" i="26"/>
  <c r="O36" i="26"/>
  <c r="N36" i="26"/>
  <c r="O35" i="26"/>
  <c r="N35" i="26"/>
  <c r="O34" i="26"/>
  <c r="N34" i="26"/>
  <c r="O33" i="26"/>
  <c r="N33" i="26"/>
  <c r="O32" i="26"/>
  <c r="N32" i="26"/>
  <c r="O31" i="26"/>
  <c r="N31" i="26"/>
  <c r="O30" i="26"/>
  <c r="N30" i="26"/>
  <c r="O29" i="26"/>
  <c r="N29" i="26"/>
  <c r="O28" i="26"/>
  <c r="N28" i="26"/>
  <c r="O27" i="26"/>
  <c r="N27" i="26"/>
  <c r="O26" i="26"/>
  <c r="N26" i="26"/>
  <c r="O25" i="26"/>
  <c r="N25" i="26"/>
  <c r="O24" i="26"/>
  <c r="N24" i="26"/>
  <c r="O23" i="26"/>
  <c r="N23" i="26"/>
  <c r="O22" i="26"/>
  <c r="N22" i="26"/>
  <c r="O21" i="26"/>
  <c r="N21" i="26"/>
  <c r="O20" i="26"/>
  <c r="N20" i="26"/>
  <c r="O19" i="26"/>
  <c r="N19" i="26"/>
  <c r="O18" i="26"/>
  <c r="N18" i="26"/>
  <c r="O17" i="26"/>
  <c r="N17" i="26"/>
  <c r="O16" i="26"/>
  <c r="N16" i="26"/>
  <c r="O15" i="26"/>
  <c r="N15" i="26"/>
  <c r="O14" i="26"/>
  <c r="N14" i="26"/>
  <c r="O13" i="26"/>
  <c r="N13" i="26"/>
  <c r="O12" i="26"/>
  <c r="N12" i="26"/>
  <c r="O11" i="26"/>
  <c r="N11" i="26"/>
  <c r="O10" i="26"/>
  <c r="N10" i="26"/>
  <c r="O9" i="26"/>
  <c r="N9" i="26"/>
  <c r="O8" i="26"/>
  <c r="N8" i="26"/>
  <c r="O7" i="26"/>
  <c r="N7" i="26"/>
  <c r="O6" i="26"/>
  <c r="N6" i="26"/>
  <c r="O5" i="26"/>
  <c r="N5" i="26"/>
  <c r="O45" i="25" l="1"/>
  <c r="N45" i="25"/>
  <c r="O44" i="25"/>
  <c r="N44" i="25"/>
  <c r="O43" i="25"/>
  <c r="N43" i="25"/>
  <c r="O42" i="25"/>
  <c r="N42" i="25"/>
  <c r="O41" i="25"/>
  <c r="N41" i="25"/>
  <c r="O40" i="25"/>
  <c r="N40" i="25"/>
  <c r="O39" i="25"/>
  <c r="N39" i="25"/>
  <c r="O38" i="25"/>
  <c r="N38" i="25"/>
  <c r="O37" i="25"/>
  <c r="N37" i="25"/>
  <c r="O36" i="25"/>
  <c r="N36" i="25"/>
  <c r="O35" i="25"/>
  <c r="N35" i="25"/>
  <c r="O34" i="25"/>
  <c r="N34" i="25"/>
  <c r="O33" i="25"/>
  <c r="N33" i="25"/>
  <c r="O32" i="25"/>
  <c r="N32" i="25"/>
  <c r="O31" i="25"/>
  <c r="N31" i="25"/>
  <c r="O30" i="25"/>
  <c r="N30" i="25"/>
  <c r="O29" i="25"/>
  <c r="N29" i="25"/>
  <c r="O28" i="25"/>
  <c r="N28" i="25"/>
  <c r="O27" i="25"/>
  <c r="N27" i="25"/>
  <c r="O26" i="25"/>
  <c r="N26" i="25"/>
  <c r="O25" i="25"/>
  <c r="N25" i="25"/>
  <c r="O24" i="25"/>
  <c r="N24" i="25"/>
  <c r="O23" i="25"/>
  <c r="N23" i="25"/>
  <c r="O22" i="25"/>
  <c r="N22" i="25"/>
  <c r="O21" i="25"/>
  <c r="N21" i="25"/>
  <c r="O20" i="25"/>
  <c r="N20" i="25"/>
  <c r="O19" i="25"/>
  <c r="N19" i="25"/>
  <c r="O18" i="25"/>
  <c r="N18" i="25"/>
  <c r="O17" i="25"/>
  <c r="N17" i="25"/>
  <c r="O16" i="25"/>
  <c r="N16" i="25"/>
  <c r="O15" i="25"/>
  <c r="N15" i="25"/>
  <c r="O14" i="25"/>
  <c r="N14" i="25"/>
  <c r="O13" i="25"/>
  <c r="N13" i="25"/>
  <c r="O12" i="25"/>
  <c r="N12" i="25"/>
  <c r="O11" i="25"/>
  <c r="N11" i="25"/>
  <c r="O10" i="25"/>
  <c r="N10" i="25"/>
  <c r="O9" i="25"/>
  <c r="N9" i="25"/>
  <c r="O8" i="25"/>
  <c r="N8" i="25"/>
  <c r="O7" i="25"/>
  <c r="N7" i="25"/>
  <c r="O6" i="25"/>
  <c r="N6" i="25"/>
  <c r="O5" i="25"/>
  <c r="N5" i="25"/>
  <c r="O45" i="24" l="1"/>
  <c r="N45" i="24"/>
  <c r="O44" i="24"/>
  <c r="N44" i="24"/>
  <c r="O43" i="24"/>
  <c r="N43" i="24"/>
  <c r="O42" i="24"/>
  <c r="N42" i="24"/>
  <c r="O41" i="24"/>
  <c r="N41" i="24"/>
  <c r="O40" i="24"/>
  <c r="N40" i="24"/>
  <c r="O39" i="24"/>
  <c r="N39" i="24"/>
  <c r="O38" i="24"/>
  <c r="N38" i="24"/>
  <c r="O37" i="24"/>
  <c r="N37" i="24"/>
  <c r="O36" i="24"/>
  <c r="N36" i="24"/>
  <c r="O35" i="24"/>
  <c r="N35" i="24"/>
  <c r="O34" i="24"/>
  <c r="N34" i="24"/>
  <c r="O33" i="24"/>
  <c r="N33" i="24"/>
  <c r="O32" i="24"/>
  <c r="N32" i="24"/>
  <c r="O31" i="24"/>
  <c r="N31" i="24"/>
  <c r="O30" i="24"/>
  <c r="N30" i="24"/>
  <c r="O29" i="24"/>
  <c r="N29" i="24"/>
  <c r="O28" i="24"/>
  <c r="N28" i="24"/>
  <c r="O27" i="24"/>
  <c r="N27" i="24"/>
  <c r="O26" i="24"/>
  <c r="N26" i="24"/>
  <c r="O25" i="24"/>
  <c r="N25" i="24"/>
  <c r="O24" i="24"/>
  <c r="N24" i="24"/>
  <c r="O23" i="24"/>
  <c r="N23" i="24"/>
  <c r="O22" i="24"/>
  <c r="N22" i="24"/>
  <c r="O21" i="24"/>
  <c r="N21" i="24"/>
  <c r="O20" i="24"/>
  <c r="N20" i="24"/>
  <c r="O19" i="24"/>
  <c r="N19" i="24"/>
  <c r="O18" i="24"/>
  <c r="N18" i="24"/>
  <c r="O17" i="24"/>
  <c r="N17" i="24"/>
  <c r="O16" i="24"/>
  <c r="N16" i="24"/>
  <c r="O15" i="24"/>
  <c r="N15" i="24"/>
  <c r="O14" i="24"/>
  <c r="N14" i="24"/>
  <c r="O13" i="24"/>
  <c r="N13" i="24"/>
  <c r="O12" i="24"/>
  <c r="N12" i="24"/>
  <c r="O11" i="24"/>
  <c r="N11" i="24"/>
  <c r="O10" i="24"/>
  <c r="N10" i="24"/>
  <c r="O9" i="24"/>
  <c r="N9" i="24"/>
  <c r="O8" i="24"/>
  <c r="N8" i="24"/>
  <c r="O7" i="24"/>
  <c r="N7" i="24"/>
  <c r="O6" i="24"/>
  <c r="N6" i="24"/>
  <c r="O5" i="24"/>
  <c r="N5" i="24"/>
  <c r="O45" i="23" l="1"/>
  <c r="N45" i="23"/>
  <c r="O44" i="23"/>
  <c r="N44" i="23"/>
  <c r="O43" i="23"/>
  <c r="N43" i="23"/>
  <c r="O42" i="23"/>
  <c r="N42" i="23"/>
  <c r="O41" i="23"/>
  <c r="N41" i="23"/>
  <c r="O40" i="23"/>
  <c r="N40" i="23"/>
  <c r="O39" i="23"/>
  <c r="N39" i="23"/>
  <c r="O38" i="23"/>
  <c r="N38" i="23"/>
  <c r="O37" i="23"/>
  <c r="N37" i="23"/>
  <c r="O36" i="23"/>
  <c r="N36" i="23"/>
  <c r="O35" i="23"/>
  <c r="N35" i="23"/>
  <c r="O34" i="23"/>
  <c r="N34" i="23"/>
  <c r="O33" i="23"/>
  <c r="N33" i="23"/>
  <c r="O32" i="23"/>
  <c r="N32" i="23"/>
  <c r="O31" i="23"/>
  <c r="N31" i="23"/>
  <c r="O30" i="23"/>
  <c r="N30" i="23"/>
  <c r="O29" i="23"/>
  <c r="N29" i="23"/>
  <c r="O28" i="23"/>
  <c r="N28" i="23"/>
  <c r="O27" i="23"/>
  <c r="N27" i="23"/>
  <c r="O26" i="23"/>
  <c r="N26" i="23"/>
  <c r="O25" i="23"/>
  <c r="N25" i="23"/>
  <c r="O24" i="23"/>
  <c r="N24" i="23"/>
  <c r="O23" i="23"/>
  <c r="N23" i="23"/>
  <c r="O22" i="23"/>
  <c r="N22" i="23"/>
  <c r="O21" i="23"/>
  <c r="N21" i="23"/>
  <c r="O20" i="23"/>
  <c r="N20" i="23"/>
  <c r="O19" i="23"/>
  <c r="N19" i="23"/>
  <c r="O18" i="23"/>
  <c r="N18" i="23"/>
  <c r="O17" i="23"/>
  <c r="N17" i="23"/>
  <c r="O16" i="23"/>
  <c r="N16" i="23"/>
  <c r="O15" i="23"/>
  <c r="N15" i="23"/>
  <c r="O14" i="23"/>
  <c r="N14" i="23"/>
  <c r="O13" i="23"/>
  <c r="N13" i="23"/>
  <c r="O12" i="23"/>
  <c r="N12" i="23"/>
  <c r="O11" i="23"/>
  <c r="N11" i="23"/>
  <c r="O10" i="23"/>
  <c r="N10" i="23"/>
  <c r="O9" i="23"/>
  <c r="N9" i="23"/>
  <c r="O8" i="23"/>
  <c r="N8" i="23"/>
  <c r="O7" i="23"/>
  <c r="N7" i="23"/>
  <c r="O6" i="23"/>
  <c r="N6" i="23"/>
  <c r="O5" i="23"/>
  <c r="N5" i="23"/>
  <c r="O45" i="22" l="1"/>
  <c r="N45" i="22"/>
  <c r="O44" i="22"/>
  <c r="N44" i="22"/>
  <c r="O43" i="22"/>
  <c r="N43" i="22"/>
  <c r="O42" i="22"/>
  <c r="N42" i="22"/>
  <c r="O41" i="22"/>
  <c r="N41" i="22"/>
  <c r="O40" i="22"/>
  <c r="N40" i="22"/>
  <c r="O39" i="22"/>
  <c r="N39" i="22"/>
  <c r="O38" i="22"/>
  <c r="N38" i="22"/>
  <c r="O37" i="22"/>
  <c r="N37" i="22"/>
  <c r="O36" i="22"/>
  <c r="N36" i="22"/>
  <c r="O35" i="22"/>
  <c r="N35" i="22"/>
  <c r="O34" i="22"/>
  <c r="N34" i="22"/>
  <c r="O33" i="22"/>
  <c r="N33" i="22"/>
  <c r="O32" i="22"/>
  <c r="N32" i="22"/>
  <c r="O31" i="22"/>
  <c r="N31" i="22"/>
  <c r="O30" i="22"/>
  <c r="N30" i="22"/>
  <c r="O29" i="22"/>
  <c r="N29" i="22"/>
  <c r="O28" i="22"/>
  <c r="N28" i="22"/>
  <c r="O27" i="22"/>
  <c r="N27" i="22"/>
  <c r="O26" i="22"/>
  <c r="N26" i="22"/>
  <c r="O25" i="22"/>
  <c r="N25" i="22"/>
  <c r="O24" i="22"/>
  <c r="N24" i="22"/>
  <c r="O23" i="22"/>
  <c r="N23" i="22"/>
  <c r="O22" i="22"/>
  <c r="N22" i="22"/>
  <c r="O21" i="22"/>
  <c r="N21" i="22"/>
  <c r="O20" i="22"/>
  <c r="N20" i="22"/>
  <c r="O19" i="22"/>
  <c r="N19" i="22"/>
  <c r="O18" i="22"/>
  <c r="N18" i="22"/>
  <c r="O17" i="22"/>
  <c r="N17" i="22"/>
  <c r="O16" i="22"/>
  <c r="N16" i="22"/>
  <c r="O15" i="22"/>
  <c r="N15" i="22"/>
  <c r="O14" i="22"/>
  <c r="N14" i="22"/>
  <c r="O13" i="22"/>
  <c r="N13" i="22"/>
  <c r="O12" i="22"/>
  <c r="N12" i="22"/>
  <c r="O11" i="22"/>
  <c r="N11" i="22"/>
  <c r="O10" i="22"/>
  <c r="N10" i="22"/>
  <c r="O9" i="22"/>
  <c r="N9" i="22"/>
  <c r="O8" i="22"/>
  <c r="N8" i="22"/>
  <c r="O7" i="22"/>
  <c r="N7" i="22"/>
  <c r="O6" i="22"/>
  <c r="N6" i="22"/>
  <c r="O5" i="22"/>
  <c r="N5" i="22"/>
  <c r="O45" i="21" l="1"/>
  <c r="N45" i="21"/>
  <c r="O44" i="21"/>
  <c r="N44" i="21"/>
  <c r="O43" i="21"/>
  <c r="N43" i="21"/>
  <c r="O42" i="21"/>
  <c r="N42" i="21"/>
  <c r="O41" i="21"/>
  <c r="N41" i="21"/>
  <c r="O40" i="21"/>
  <c r="N40" i="21"/>
  <c r="O39" i="21"/>
  <c r="N39" i="21"/>
  <c r="O38" i="21"/>
  <c r="N38" i="21"/>
  <c r="O37" i="21"/>
  <c r="N37" i="21"/>
  <c r="O36" i="21"/>
  <c r="N36" i="21"/>
  <c r="O35" i="21"/>
  <c r="N35" i="21"/>
  <c r="O34" i="21"/>
  <c r="N34" i="21"/>
  <c r="O33" i="21"/>
  <c r="N33" i="21"/>
  <c r="O32" i="21"/>
  <c r="N32" i="21"/>
  <c r="O31" i="21"/>
  <c r="N31" i="21"/>
  <c r="O30" i="21"/>
  <c r="N30" i="21"/>
  <c r="O29" i="21"/>
  <c r="N29" i="21"/>
  <c r="O28" i="21"/>
  <c r="N28" i="21"/>
  <c r="O27" i="21"/>
  <c r="N27" i="21"/>
  <c r="O26" i="21"/>
  <c r="N26" i="21"/>
  <c r="O25" i="21"/>
  <c r="N25" i="21"/>
  <c r="O24" i="21"/>
  <c r="N24" i="21"/>
  <c r="O23" i="21"/>
  <c r="N23" i="21"/>
  <c r="O22" i="21"/>
  <c r="N22" i="21"/>
  <c r="O21" i="21"/>
  <c r="N21" i="21"/>
  <c r="O20" i="21"/>
  <c r="N20" i="21"/>
  <c r="O19" i="21"/>
  <c r="N19" i="21"/>
  <c r="O18" i="21"/>
  <c r="N18" i="21"/>
  <c r="O17" i="21"/>
  <c r="N17" i="21"/>
  <c r="O16" i="21"/>
  <c r="N16" i="21"/>
  <c r="O15" i="21"/>
  <c r="N15" i="21"/>
  <c r="O14" i="21"/>
  <c r="N14" i="21"/>
  <c r="O13" i="21"/>
  <c r="N13" i="21"/>
  <c r="O12" i="21"/>
  <c r="N12" i="21"/>
  <c r="O11" i="21"/>
  <c r="N11" i="21"/>
  <c r="O10" i="21"/>
  <c r="N10" i="21"/>
  <c r="O9" i="21"/>
  <c r="N9" i="21"/>
  <c r="O8" i="21"/>
  <c r="N8" i="21"/>
  <c r="O7" i="21"/>
  <c r="N7" i="21"/>
  <c r="O6" i="21"/>
  <c r="N6" i="21"/>
  <c r="O5" i="21"/>
  <c r="N5" i="21"/>
  <c r="O45" i="20" l="1"/>
  <c r="N45" i="20"/>
  <c r="O44" i="20"/>
  <c r="N44" i="20"/>
  <c r="O43" i="20"/>
  <c r="N43" i="20"/>
  <c r="O42" i="20"/>
  <c r="N42" i="20"/>
  <c r="O41" i="20"/>
  <c r="N41" i="20"/>
  <c r="O40" i="20"/>
  <c r="N40" i="20"/>
  <c r="O39" i="20"/>
  <c r="N39" i="20"/>
  <c r="O38" i="20"/>
  <c r="N38" i="20"/>
  <c r="O37" i="20"/>
  <c r="N37" i="20"/>
  <c r="O36" i="20"/>
  <c r="N36" i="20"/>
  <c r="O35" i="20"/>
  <c r="N35" i="20"/>
  <c r="O34" i="20"/>
  <c r="N34" i="20"/>
  <c r="O33" i="20"/>
  <c r="N33" i="20"/>
  <c r="O32" i="20"/>
  <c r="N32" i="20"/>
  <c r="O31" i="20"/>
  <c r="N31" i="20"/>
  <c r="O30" i="20"/>
  <c r="N30" i="20"/>
  <c r="O29" i="20"/>
  <c r="N29" i="20"/>
  <c r="O28" i="20"/>
  <c r="N28" i="20"/>
  <c r="O27" i="20"/>
  <c r="N27" i="20"/>
  <c r="O26" i="20"/>
  <c r="N26" i="20"/>
  <c r="O25" i="20"/>
  <c r="N25" i="20"/>
  <c r="O24" i="20"/>
  <c r="N24" i="20"/>
  <c r="O23" i="20"/>
  <c r="N23" i="20"/>
  <c r="O22" i="20"/>
  <c r="N22" i="20"/>
  <c r="O21" i="20"/>
  <c r="N21" i="20"/>
  <c r="O20" i="20"/>
  <c r="N20" i="20"/>
  <c r="O19" i="20"/>
  <c r="N19" i="20"/>
  <c r="O18" i="20"/>
  <c r="N18" i="20"/>
  <c r="O17" i="20"/>
  <c r="N17" i="20"/>
  <c r="O16" i="20"/>
  <c r="N16" i="20"/>
  <c r="O15" i="20"/>
  <c r="N15" i="20"/>
  <c r="O14" i="20"/>
  <c r="N14" i="20"/>
  <c r="O13" i="20"/>
  <c r="N13" i="20"/>
  <c r="O12" i="20"/>
  <c r="N12" i="20"/>
  <c r="O11" i="20"/>
  <c r="N11" i="20"/>
  <c r="O10" i="20"/>
  <c r="N10" i="20"/>
  <c r="O9" i="20"/>
  <c r="N9" i="20"/>
  <c r="O8" i="20"/>
  <c r="N8" i="20"/>
  <c r="O7" i="20"/>
  <c r="N7" i="20"/>
  <c r="O6" i="20"/>
  <c r="N6" i="20"/>
  <c r="O5" i="20"/>
  <c r="N5" i="20"/>
  <c r="O45" i="19" l="1"/>
  <c r="N45" i="19"/>
  <c r="O44" i="19"/>
  <c r="N44" i="19"/>
  <c r="O43" i="19"/>
  <c r="N43" i="19"/>
  <c r="O42" i="19"/>
  <c r="N42" i="19"/>
  <c r="O41" i="19"/>
  <c r="N41" i="19"/>
  <c r="O40" i="19"/>
  <c r="N40" i="19"/>
  <c r="O39" i="19"/>
  <c r="N39" i="19"/>
  <c r="O38" i="19"/>
  <c r="N38" i="19"/>
  <c r="O37" i="19"/>
  <c r="N37" i="19"/>
  <c r="O36" i="19"/>
  <c r="N36" i="19"/>
  <c r="O35" i="19"/>
  <c r="N35" i="19"/>
  <c r="O34" i="19"/>
  <c r="N34" i="19"/>
  <c r="O33" i="19"/>
  <c r="N33" i="19"/>
  <c r="O32" i="19"/>
  <c r="N32" i="19"/>
  <c r="O31" i="19"/>
  <c r="N31" i="19"/>
  <c r="O30" i="19"/>
  <c r="N30" i="19"/>
  <c r="O29" i="19"/>
  <c r="N29" i="19"/>
  <c r="O28" i="19"/>
  <c r="N28" i="19"/>
  <c r="O27" i="19"/>
  <c r="N27" i="19"/>
  <c r="O26" i="19"/>
  <c r="N26" i="19"/>
  <c r="O25" i="19"/>
  <c r="N25" i="19"/>
  <c r="O24" i="19"/>
  <c r="N24" i="19"/>
  <c r="O23" i="19"/>
  <c r="N23" i="19"/>
  <c r="O22" i="19"/>
  <c r="N22" i="19"/>
  <c r="O21" i="19"/>
  <c r="N21" i="19"/>
  <c r="O20" i="19"/>
  <c r="N20" i="19"/>
  <c r="O19" i="19"/>
  <c r="N19" i="19"/>
  <c r="O18" i="19"/>
  <c r="N18" i="19"/>
  <c r="O17" i="19"/>
  <c r="N17" i="19"/>
  <c r="O16" i="19"/>
  <c r="N16" i="19"/>
  <c r="O15" i="19"/>
  <c r="N15" i="19"/>
  <c r="O14" i="19"/>
  <c r="N14" i="19"/>
  <c r="O13" i="19"/>
  <c r="N13" i="19"/>
  <c r="O12" i="19"/>
  <c r="N12" i="19"/>
  <c r="O11" i="19"/>
  <c r="N11" i="19"/>
  <c r="O10" i="19"/>
  <c r="N10" i="19"/>
  <c r="O9" i="19"/>
  <c r="N9" i="19"/>
  <c r="O8" i="19"/>
  <c r="N8" i="19"/>
  <c r="O7" i="19"/>
  <c r="N7" i="19"/>
  <c r="O6" i="19"/>
  <c r="N6" i="19"/>
  <c r="O5" i="19"/>
  <c r="N5" i="19"/>
  <c r="O45" i="18" l="1"/>
  <c r="N45" i="18"/>
  <c r="O44" i="18"/>
  <c r="N44" i="18"/>
  <c r="O43" i="18"/>
  <c r="N43" i="18"/>
  <c r="O42" i="18"/>
  <c r="O41" i="18"/>
  <c r="N41" i="18"/>
  <c r="O40" i="18"/>
  <c r="O39" i="18"/>
  <c r="O38" i="18"/>
  <c r="O37" i="18"/>
  <c r="O36" i="18"/>
  <c r="N36" i="18"/>
  <c r="O35" i="18"/>
  <c r="N35" i="18"/>
  <c r="O34" i="18"/>
  <c r="O33" i="18"/>
  <c r="N33" i="18"/>
  <c r="O31" i="18"/>
  <c r="N31" i="18"/>
  <c r="O30" i="18"/>
  <c r="N30" i="18"/>
  <c r="O29" i="18"/>
  <c r="N29" i="18"/>
  <c r="O28" i="18"/>
  <c r="O27" i="18"/>
  <c r="N27" i="18"/>
  <c r="O26" i="18"/>
  <c r="N26" i="18"/>
  <c r="O25" i="18"/>
  <c r="N25" i="18"/>
  <c r="O24" i="18"/>
  <c r="N24" i="18"/>
  <c r="O23" i="18"/>
  <c r="O22" i="18"/>
  <c r="N22" i="18"/>
  <c r="O21" i="18"/>
  <c r="O20" i="18"/>
  <c r="N20" i="18"/>
  <c r="O19" i="18"/>
  <c r="N19" i="18"/>
  <c r="O18" i="18"/>
  <c r="O17" i="18"/>
  <c r="O16" i="18"/>
  <c r="N16" i="18"/>
  <c r="O15" i="18"/>
  <c r="N15" i="18"/>
  <c r="O14" i="18"/>
  <c r="N14" i="18"/>
  <c r="O13" i="18"/>
  <c r="N13" i="18"/>
  <c r="O12" i="18"/>
  <c r="N12" i="18"/>
  <c r="O11" i="18"/>
  <c r="O10" i="18"/>
  <c r="N10" i="18"/>
  <c r="O9" i="18"/>
  <c r="N9" i="18"/>
  <c r="O8" i="18"/>
  <c r="N8" i="18"/>
  <c r="O7" i="18"/>
  <c r="N7" i="18"/>
  <c r="O6" i="18"/>
  <c r="O5" i="18"/>
  <c r="N5" i="18"/>
  <c r="O45" i="17" l="1"/>
  <c r="N45" i="17"/>
  <c r="O44" i="17"/>
  <c r="N44" i="17"/>
  <c r="O43" i="17"/>
  <c r="N43" i="17"/>
  <c r="O42" i="17"/>
  <c r="O41" i="17"/>
  <c r="N41" i="17"/>
  <c r="O40" i="17"/>
  <c r="O39" i="17"/>
  <c r="O38" i="17"/>
  <c r="O37" i="17"/>
  <c r="O36" i="17"/>
  <c r="N36" i="17"/>
  <c r="O35" i="17"/>
  <c r="N35" i="17"/>
  <c r="O34" i="17"/>
  <c r="N34" i="17"/>
  <c r="O33" i="17"/>
  <c r="N33" i="17"/>
  <c r="O32" i="17"/>
  <c r="N32" i="17"/>
  <c r="O31" i="17"/>
  <c r="O30" i="17"/>
  <c r="N30" i="17"/>
  <c r="O29" i="17"/>
  <c r="O28" i="17"/>
  <c r="N28" i="17"/>
  <c r="O27" i="17"/>
  <c r="N27" i="17"/>
  <c r="O26" i="17"/>
  <c r="N26" i="17"/>
  <c r="O25" i="17"/>
  <c r="N25" i="17"/>
  <c r="O24" i="17"/>
  <c r="N24" i="17"/>
  <c r="O23" i="17"/>
  <c r="O22" i="17"/>
  <c r="N22" i="17"/>
  <c r="O21" i="17"/>
  <c r="N21" i="17"/>
  <c r="O20" i="17"/>
  <c r="N20" i="17"/>
  <c r="O19" i="17"/>
  <c r="N19" i="17"/>
  <c r="O18" i="17"/>
  <c r="O17" i="17"/>
  <c r="O16" i="17"/>
  <c r="N16" i="17"/>
  <c r="O15" i="17"/>
  <c r="N15" i="17"/>
  <c r="O14" i="17"/>
  <c r="O13" i="17"/>
  <c r="N13" i="17"/>
  <c r="O12" i="17"/>
  <c r="N12" i="17"/>
  <c r="O11" i="17"/>
  <c r="N11" i="17"/>
  <c r="O10" i="17"/>
  <c r="O9" i="17"/>
  <c r="N9" i="17"/>
  <c r="N8" i="17"/>
  <c r="O7" i="17"/>
  <c r="N7" i="17"/>
  <c r="O6" i="17"/>
  <c r="O5" i="17"/>
  <c r="N5" i="17"/>
  <c r="O45" i="16" l="1"/>
  <c r="N45" i="16"/>
  <c r="O44" i="16"/>
  <c r="N44" i="16"/>
  <c r="O43" i="16"/>
  <c r="N43" i="16"/>
  <c r="O42" i="16"/>
  <c r="N42" i="16"/>
  <c r="O41" i="16"/>
  <c r="N41" i="16"/>
  <c r="O40" i="16"/>
  <c r="N40" i="16"/>
  <c r="O39" i="16"/>
  <c r="N39" i="16"/>
  <c r="O38" i="16"/>
  <c r="N38" i="16"/>
  <c r="O37" i="16"/>
  <c r="N37" i="16"/>
  <c r="O36" i="16"/>
  <c r="N36" i="16"/>
  <c r="O35" i="16"/>
  <c r="N35" i="16"/>
  <c r="O34" i="16"/>
  <c r="N34" i="16"/>
  <c r="O33" i="16"/>
  <c r="N33" i="16"/>
  <c r="O32" i="16"/>
  <c r="N32" i="16"/>
  <c r="O31" i="16"/>
  <c r="N31" i="16"/>
  <c r="O30" i="16"/>
  <c r="N30" i="16"/>
  <c r="O29" i="16"/>
  <c r="N29" i="16"/>
  <c r="O28" i="16"/>
  <c r="N28" i="16"/>
  <c r="O27" i="16"/>
  <c r="N27" i="16"/>
  <c r="O26" i="16"/>
  <c r="N26" i="16"/>
  <c r="O25" i="16"/>
  <c r="N25" i="16"/>
  <c r="O24" i="16"/>
  <c r="N24" i="16"/>
  <c r="O23" i="16"/>
  <c r="N23" i="16"/>
  <c r="O22" i="16"/>
  <c r="N22" i="16"/>
  <c r="O21" i="16"/>
  <c r="N21" i="16"/>
  <c r="O20" i="16"/>
  <c r="N20" i="16"/>
  <c r="O19" i="16"/>
  <c r="N19" i="16"/>
  <c r="O18" i="16"/>
  <c r="N18" i="16"/>
  <c r="O17" i="16"/>
  <c r="N17" i="16"/>
  <c r="O16" i="16"/>
  <c r="N16" i="16"/>
  <c r="O15" i="16"/>
  <c r="N15" i="16"/>
  <c r="O14" i="16"/>
  <c r="N14" i="16"/>
  <c r="O13" i="16"/>
  <c r="N13" i="16"/>
  <c r="O12" i="16"/>
  <c r="N12" i="16"/>
  <c r="O11" i="16"/>
  <c r="N11" i="16"/>
  <c r="O10" i="16"/>
  <c r="N10" i="16"/>
  <c r="O9" i="16"/>
  <c r="N9" i="16"/>
  <c r="O8" i="16"/>
  <c r="N8" i="16"/>
  <c r="O7" i="16"/>
  <c r="N7" i="16"/>
  <c r="O6" i="16"/>
  <c r="N6" i="16"/>
  <c r="O5" i="16"/>
  <c r="N5" i="16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5" i="15"/>
</calcChain>
</file>

<file path=xl/sharedStrings.xml><?xml version="1.0" encoding="utf-8"?>
<sst xmlns="http://schemas.openxmlformats.org/spreadsheetml/2006/main" count="2853" uniqueCount="300">
  <si>
    <t>REDES / FILIAIS</t>
  </si>
  <si>
    <t>MOTORISTA</t>
  </si>
  <si>
    <t>PLACA</t>
  </si>
  <si>
    <t>SAIDA CD</t>
  </si>
  <si>
    <t>SAIDA LOJA</t>
  </si>
  <si>
    <t>Assaí - Alcântara I - Loja 35</t>
  </si>
  <si>
    <t>Assaí - Alcântara II - Loja 293</t>
  </si>
  <si>
    <t>Assaí - Araruama - Loja 221</t>
  </si>
  <si>
    <t>Assaí - Bangu I - Loja 55</t>
  </si>
  <si>
    <t>Assaí - Bangu II - Loja 332</t>
  </si>
  <si>
    <t>Assaí - Barra I (Senna) - Loja 133</t>
  </si>
  <si>
    <t>Assaí - Barra II  - Loja 245</t>
  </si>
  <si>
    <t>Assaí - Boulevard (Vila Isabel) - Loja 294</t>
  </si>
  <si>
    <t>Assaí - Cabo Frio - Loja 82</t>
  </si>
  <si>
    <t>Assaí - Campinho - Loja 37</t>
  </si>
  <si>
    <t>Assaí - Campos dos Goytacazes- Loja 188</t>
  </si>
  <si>
    <t>Assaí - Carioca Shopping - Loja 316</t>
  </si>
  <si>
    <t>Assaí - Caxias I - Loja 131</t>
  </si>
  <si>
    <t>Assaí - Caxias II (Parque Fluminense) - Loja 219</t>
  </si>
  <si>
    <t>Assaí - Ceasa - Loja 42</t>
  </si>
  <si>
    <t>Assaí - Cesário de Melo - Loja 202</t>
  </si>
  <si>
    <t>Assaí - Cordovil - Loja 231</t>
  </si>
  <si>
    <t>Assaí - Freguesia - Loja 28</t>
  </si>
  <si>
    <t>Assaí - Galeão - Loja 302</t>
  </si>
  <si>
    <t>AssaÍ - Ilha do Governador - Loja 29</t>
  </si>
  <si>
    <t>Assaí - Macaé - Loja 232</t>
  </si>
  <si>
    <t>Assaí - Maracanã - Loja 286</t>
  </si>
  <si>
    <t>Assaí - Méier - Loja 160</t>
  </si>
  <si>
    <t>Assaí - Mendanha (Campo Grande) - Loja 65</t>
  </si>
  <si>
    <t>Assaí - Mesquita (Dutra) - Loja 142</t>
  </si>
  <si>
    <t>Assaí - Nilópolis - Loja 36</t>
  </si>
  <si>
    <t>Assaí - Niterói - Loja 41</t>
  </si>
  <si>
    <t>Assaí - Niterói Ponte - Loja 292</t>
  </si>
  <si>
    <t>Assaí - Nova Iguaçu - Loja 30</t>
  </si>
  <si>
    <t>Assaí - Nova Iguaçu 2 - Loja 291</t>
  </si>
  <si>
    <t>Assaí - Petrópolis- Loja 181</t>
  </si>
  <si>
    <t>Assaí - Pilares - Loja 128</t>
  </si>
  <si>
    <t>Assaí - Sabão Rio (Benfica) - Loja 136</t>
  </si>
  <si>
    <t>Assaí - Santa Cruz - Loja 201</t>
  </si>
  <si>
    <t>Assaí - Santa Cruz 2 - Loja 338</t>
  </si>
  <si>
    <t>Assaí - São Gonçalo Camil - Loja 211</t>
  </si>
  <si>
    <t>Assaí - São Gonçalo Centro - Loja 266</t>
  </si>
  <si>
    <t>Assaí - São João do Meriti  - Loja 217</t>
  </si>
  <si>
    <t>Assaí - Taquara   - Loja 340</t>
  </si>
  <si>
    <t>Assaí - Tijuca II  - Loja 150</t>
  </si>
  <si>
    <t>Assaí - Tribobó - Loja 248</t>
  </si>
  <si>
    <r>
      <t xml:space="preserve">RELATÓRIO KPI - Assaí
</t>
    </r>
    <r>
      <rPr>
        <b/>
        <sz val="20"/>
        <color theme="0"/>
        <rFont val="Arial"/>
        <family val="2"/>
      </rPr>
      <t>BENASSI</t>
    </r>
  </si>
  <si>
    <t>ASSAÍ 1º CARRO</t>
  </si>
  <si>
    <t>ASSAÍ 2º CARRO</t>
  </si>
  <si>
    <t>COD</t>
  </si>
  <si>
    <t>CHD LOJA</t>
  </si>
  <si>
    <t>TEMPO EM LOJA 1</t>
  </si>
  <si>
    <t>TEMPO EM LOJA 2</t>
  </si>
  <si>
    <t>CARLINHOS</t>
  </si>
  <si>
    <t>KMZ7057</t>
  </si>
  <si>
    <t>LUIS FERREIRA</t>
  </si>
  <si>
    <t xml:space="preserve">JOSE </t>
  </si>
  <si>
    <t>AWA-6B40</t>
  </si>
  <si>
    <t>MILTON</t>
  </si>
  <si>
    <t>EAC-4D65</t>
  </si>
  <si>
    <t>ANTÔNIO FREITAS</t>
  </si>
  <si>
    <t>LNG-7110</t>
  </si>
  <si>
    <t>PAULO SERGIO</t>
  </si>
  <si>
    <t>BXE-4A10</t>
  </si>
  <si>
    <t xml:space="preserve">EDSON </t>
  </si>
  <si>
    <t>JXA4I92</t>
  </si>
  <si>
    <t xml:space="preserve">VICTOR LUIZ </t>
  </si>
  <si>
    <t>TJQ6J26</t>
  </si>
  <si>
    <t>GABRIEL</t>
  </si>
  <si>
    <t>KPR-9E13</t>
  </si>
  <si>
    <t xml:space="preserve">WALLACE LEAL </t>
  </si>
  <si>
    <t>SFG-2F73</t>
  </si>
  <si>
    <t>ANTÔNIO</t>
  </si>
  <si>
    <t>LFJ8442</t>
  </si>
  <si>
    <t>RODRIGO</t>
  </si>
  <si>
    <t>KZJ-0E14</t>
  </si>
  <si>
    <t>EDUARDO</t>
  </si>
  <si>
    <t>NTT-4858</t>
  </si>
  <si>
    <t>JOSIAS</t>
  </si>
  <si>
    <t>MQI-6C04</t>
  </si>
  <si>
    <t>WILLIAM OLIVEIRA</t>
  </si>
  <si>
    <t>EZU-9325</t>
  </si>
  <si>
    <t>FÁBIO ALVES</t>
  </si>
  <si>
    <t>GSK-0G53</t>
  </si>
  <si>
    <t xml:space="preserve">JOSE ROBERTO </t>
  </si>
  <si>
    <t>TML-3B11</t>
  </si>
  <si>
    <t>NILTON</t>
  </si>
  <si>
    <t>AKZ-2594</t>
  </si>
  <si>
    <t xml:space="preserve">FERNANDO </t>
  </si>
  <si>
    <t>KGO-5E65</t>
  </si>
  <si>
    <t xml:space="preserve">JEFERSON BATALHA </t>
  </si>
  <si>
    <t>UBO-5E01</t>
  </si>
  <si>
    <t>HÉLIO</t>
  </si>
  <si>
    <t>LQA-4I25</t>
  </si>
  <si>
    <t xml:space="preserve">COUTINHO </t>
  </si>
  <si>
    <t>GAR-0802</t>
  </si>
  <si>
    <t>DANIEL</t>
  </si>
  <si>
    <t>LKV-5067</t>
  </si>
  <si>
    <t>LUIZ JR.</t>
  </si>
  <si>
    <t>AKZ-2745</t>
  </si>
  <si>
    <t>JOSÉ LUZIMAR</t>
  </si>
  <si>
    <t>MQV-9D15</t>
  </si>
  <si>
    <t>ANTONIO RODRIGUES</t>
  </si>
  <si>
    <t>MQV-9D14</t>
  </si>
  <si>
    <t>JOAO CARLOS</t>
  </si>
  <si>
    <t>LOT-2962</t>
  </si>
  <si>
    <t xml:space="preserve">CARLOS DO SANTOS </t>
  </si>
  <si>
    <t>LUP-1F13</t>
  </si>
  <si>
    <t>MESSIAS</t>
  </si>
  <si>
    <t>AMW-3424</t>
  </si>
  <si>
    <t xml:space="preserve">ALLAN </t>
  </si>
  <si>
    <t>TML-7D21</t>
  </si>
  <si>
    <t xml:space="preserve">ISRAEL MYNSSEN </t>
  </si>
  <si>
    <t>JKR-0E08</t>
  </si>
  <si>
    <t>FLAVIANO</t>
  </si>
  <si>
    <t>EZU9142</t>
  </si>
  <si>
    <t>EDVALDO</t>
  </si>
  <si>
    <t>KSJ-1479</t>
  </si>
  <si>
    <t>JANILTON NUNES</t>
  </si>
  <si>
    <t>MPO-1046</t>
  </si>
  <si>
    <t xml:space="preserve">ALEXANDRE CESAR </t>
  </si>
  <si>
    <t>KSX-0F29</t>
  </si>
  <si>
    <t xml:space="preserve">MATHEUS SANDES </t>
  </si>
  <si>
    <t>UBG-7F79</t>
  </si>
  <si>
    <t xml:space="preserve">LUIZ CARLOS </t>
  </si>
  <si>
    <t>FQN6J72</t>
  </si>
  <si>
    <t>JOSÉLIO</t>
  </si>
  <si>
    <t>KRK-3D12</t>
  </si>
  <si>
    <t>CLAUDIO LUIZ</t>
  </si>
  <si>
    <t>LQK-0F07</t>
  </si>
  <si>
    <t xml:space="preserve">WALTER REGIS </t>
  </si>
  <si>
    <t>UBO-0B68</t>
  </si>
  <si>
    <t>VALDIR</t>
  </si>
  <si>
    <t>DDI-6J90</t>
  </si>
  <si>
    <t xml:space="preserve">JOHN 2° ENTREGA </t>
  </si>
  <si>
    <t>KVI-9088</t>
  </si>
  <si>
    <t>FÁBIO DEUSETI</t>
  </si>
  <si>
    <t>LON-7G98</t>
  </si>
  <si>
    <t>LKV5067</t>
  </si>
  <si>
    <t>SEM</t>
  </si>
  <si>
    <t>RASTREADOR</t>
  </si>
  <si>
    <t>EZU-9J51</t>
  </si>
  <si>
    <t xml:space="preserve">LUIZ CESAR 2° ENTREGA </t>
  </si>
  <si>
    <t>LMF-2049</t>
  </si>
  <si>
    <t>CELSO</t>
  </si>
  <si>
    <t>ARTHUR</t>
  </si>
  <si>
    <t>UBF-5G34</t>
  </si>
  <si>
    <t xml:space="preserve">RAFAEL SOARES 2° ENTREGA </t>
  </si>
  <si>
    <t>EYL-8B91</t>
  </si>
  <si>
    <t xml:space="preserve">ADRIANO </t>
  </si>
  <si>
    <t>CEJ-3426</t>
  </si>
  <si>
    <t xml:space="preserve">LUCIANO MARINHO </t>
  </si>
  <si>
    <t>LRA-9C41</t>
  </si>
  <si>
    <t xml:space="preserve">MÁRCIO 2° ENTREGA </t>
  </si>
  <si>
    <t>KXR-7F27</t>
  </si>
  <si>
    <t>LUCIANO MATIAS</t>
  </si>
  <si>
    <t>QSS-1E48</t>
  </si>
  <si>
    <t>LAU-1I64</t>
  </si>
  <si>
    <t>ELVIS 2° ENTREGA ( OVO )</t>
  </si>
  <si>
    <t>KPS-4J07</t>
  </si>
  <si>
    <t xml:space="preserve">CRISTIANO </t>
  </si>
  <si>
    <t>EZU-9D26</t>
  </si>
  <si>
    <t xml:space="preserve">BRUNO </t>
  </si>
  <si>
    <t>UBF-5G33</t>
  </si>
  <si>
    <t>JUCA</t>
  </si>
  <si>
    <t>CZZ8H82</t>
  </si>
  <si>
    <t>NÃO</t>
  </si>
  <si>
    <t>FOI AO</t>
  </si>
  <si>
    <t>CLIENTE</t>
  </si>
  <si>
    <t xml:space="preserve">FELIPE DIEGO </t>
  </si>
  <si>
    <t>ADRIANO BORGES</t>
  </si>
  <si>
    <t>UGA-1D55</t>
  </si>
  <si>
    <t>AGNALDO</t>
  </si>
  <si>
    <t>LKR-5990</t>
  </si>
  <si>
    <t>CZZ-8H82</t>
  </si>
  <si>
    <t>BXE-9E30</t>
  </si>
  <si>
    <t>WALLACE FERNANDES</t>
  </si>
  <si>
    <t>GBG-5C11</t>
  </si>
  <si>
    <t xml:space="preserve">EDUARDO 2° ENTREGA </t>
  </si>
  <si>
    <t>KWI-3461</t>
  </si>
  <si>
    <t xml:space="preserve">RENAN </t>
  </si>
  <si>
    <t>KRW-8E86</t>
  </si>
  <si>
    <t>PAULO HENRIQUE</t>
  </si>
  <si>
    <t>DBB8D19</t>
  </si>
  <si>
    <t>BRUNO</t>
  </si>
  <si>
    <t xml:space="preserve">MÁRCIO 3° entrega </t>
  </si>
  <si>
    <t>MAGACIEL</t>
  </si>
  <si>
    <t>KWV-7E89</t>
  </si>
  <si>
    <t>AGENOR</t>
  </si>
  <si>
    <t>KPN-4F36</t>
  </si>
  <si>
    <t>LUIZ CESAR</t>
  </si>
  <si>
    <t>RASTREAMENTO</t>
  </si>
  <si>
    <t>FOI  AO</t>
  </si>
  <si>
    <t xml:space="preserve">ADILSON </t>
  </si>
  <si>
    <t>KZU-4C37</t>
  </si>
  <si>
    <t xml:space="preserve">LUIZ C 2° entrega </t>
  </si>
  <si>
    <t>SÉRGIO</t>
  </si>
  <si>
    <t>LJS-2B72</t>
  </si>
  <si>
    <t>ANDERSON</t>
  </si>
  <si>
    <t>LCE-4337</t>
  </si>
  <si>
    <t xml:space="preserve">FLAVIANO 2°entrega </t>
  </si>
  <si>
    <t>TML-5I70</t>
  </si>
  <si>
    <t>DIEGO</t>
  </si>
  <si>
    <t>KQB-3F31</t>
  </si>
  <si>
    <t xml:space="preserve">EDMARIO </t>
  </si>
  <si>
    <t>CUC-6J83</t>
  </si>
  <si>
    <t>ALLAN</t>
  </si>
  <si>
    <t>WANDERLEY</t>
  </si>
  <si>
    <t>AFY-7J99</t>
  </si>
  <si>
    <t>ROBERTO</t>
  </si>
  <si>
    <t>LSL-9670</t>
  </si>
  <si>
    <t>RICARDO</t>
  </si>
  <si>
    <t>KXB-6E57</t>
  </si>
  <si>
    <t>CLAUDIO</t>
  </si>
  <si>
    <t>FKY8H51</t>
  </si>
  <si>
    <t xml:space="preserve">SIMÃO </t>
  </si>
  <si>
    <t>LSN-6I72</t>
  </si>
  <si>
    <t xml:space="preserve">VICTOR  2° entrega </t>
  </si>
  <si>
    <t>SFG-2F72</t>
  </si>
  <si>
    <t>MARCELO</t>
  </si>
  <si>
    <t>KNC1I34</t>
  </si>
  <si>
    <t xml:space="preserve">CARLOS ANTONIO </t>
  </si>
  <si>
    <t>RAFAEL SOARES</t>
  </si>
  <si>
    <t>JOSÉ</t>
  </si>
  <si>
    <t>353</t>
  </si>
  <si>
    <t>UBF5G36</t>
  </si>
  <si>
    <t>16</t>
  </si>
  <si>
    <t>LNG7110</t>
  </si>
  <si>
    <t>JOÃO CARLOS</t>
  </si>
  <si>
    <t>811</t>
  </si>
  <si>
    <t>LOT2962</t>
  </si>
  <si>
    <t>KPR9E13</t>
  </si>
  <si>
    <t>LUCIANO MARINHO</t>
  </si>
  <si>
    <t>CRISTIANO</t>
  </si>
  <si>
    <t>EOF-4951</t>
  </si>
  <si>
    <t xml:space="preserve">ESTELITA  </t>
  </si>
  <si>
    <t>GAJ-6H51</t>
  </si>
  <si>
    <t xml:space="preserve">LUÍZ ANTÔNIO </t>
  </si>
  <si>
    <t>KMY-5561</t>
  </si>
  <si>
    <t>EZU-9I42</t>
  </si>
  <si>
    <t xml:space="preserve">JONATAN MARCIO </t>
  </si>
  <si>
    <t>QSU6I54</t>
  </si>
  <si>
    <t xml:space="preserve"> MYNSSEN </t>
  </si>
  <si>
    <t>MÁRCIO 2° ENTREGA</t>
  </si>
  <si>
    <t>WALTER REGIS 2° ENTREGA</t>
  </si>
  <si>
    <t>FILIPE</t>
  </si>
  <si>
    <t>15</t>
  </si>
  <si>
    <t>UGA1D55</t>
  </si>
  <si>
    <t xml:space="preserve">FLAVIANO </t>
  </si>
  <si>
    <t xml:space="preserve">ANTONIO CARLOS </t>
  </si>
  <si>
    <t>JOSE M</t>
  </si>
  <si>
    <t>UBF-5G32</t>
  </si>
  <si>
    <t>WILLIAM  2° entrega</t>
  </si>
  <si>
    <t>INW-8A51</t>
  </si>
  <si>
    <t>QSO-8D04</t>
  </si>
  <si>
    <t>MÁRCIO 2° entrega</t>
  </si>
  <si>
    <t xml:space="preserve">WALTER R 2° ENTREGA </t>
  </si>
  <si>
    <t xml:space="preserve">ESTELITA </t>
  </si>
  <si>
    <t>CLEBER SODRE</t>
  </si>
  <si>
    <t>TML-6D96</t>
  </si>
  <si>
    <t>MARCUS VINICIUS</t>
  </si>
  <si>
    <t>QSW-3B65</t>
  </si>
  <si>
    <t xml:space="preserve">LEONARDO </t>
  </si>
  <si>
    <t>VALDEMIRIO</t>
  </si>
  <si>
    <t>ZOZIMO</t>
  </si>
  <si>
    <t>KNS-8D26</t>
  </si>
  <si>
    <t>ERALDO</t>
  </si>
  <si>
    <t>TML-7D61</t>
  </si>
  <si>
    <t>JOSE MARTINS</t>
  </si>
  <si>
    <t xml:space="preserve">WILLIAM </t>
  </si>
  <si>
    <t>ERALDO 2° ENTREGA</t>
  </si>
  <si>
    <t>DCU 1B12</t>
  </si>
  <si>
    <t>JULIO</t>
  </si>
  <si>
    <t>KNC-5J75</t>
  </si>
  <si>
    <t xml:space="preserve">NÃO </t>
  </si>
  <si>
    <t>8:013:10</t>
  </si>
  <si>
    <t>KNS-8D16</t>
  </si>
  <si>
    <t>SÉRGIO FIDÉLIS</t>
  </si>
  <si>
    <t>LOU-9928</t>
  </si>
  <si>
    <t>QSU-6I54</t>
  </si>
  <si>
    <t>UBO5E05</t>
  </si>
  <si>
    <t xml:space="preserve">DBB 8D19 </t>
  </si>
  <si>
    <t>807</t>
  </si>
  <si>
    <t xml:space="preserve">YAGO / RODRIGO </t>
  </si>
  <si>
    <t>UBF-5G36</t>
  </si>
  <si>
    <t xml:space="preserve">JOSE M </t>
  </si>
  <si>
    <t>LKA-3935</t>
  </si>
  <si>
    <t>141</t>
  </si>
  <si>
    <t>AMW3424</t>
  </si>
  <si>
    <t>LUIZ FERREIRA</t>
  </si>
  <si>
    <t>789</t>
  </si>
  <si>
    <t>LAU1I64</t>
  </si>
  <si>
    <t>FOI   AO</t>
  </si>
  <si>
    <t xml:space="preserve">UBO 5E01 </t>
  </si>
  <si>
    <t>JOHN</t>
  </si>
  <si>
    <t>TML1D82</t>
  </si>
  <si>
    <t xml:space="preserve">ROBERTO ALMEIDA </t>
  </si>
  <si>
    <t xml:space="preserve">UBO 0B68 </t>
  </si>
  <si>
    <t xml:space="preserve">KPT 5B20 </t>
  </si>
  <si>
    <t xml:space="preserve">TML6D96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</si>
</sst>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7" fillId="2" borderId="1" applyNumberFormat="0" applyFont="0" applyAlignment="0" applyProtection="0"/>
  </cellStyleXfs>
  <cellXfs count="22">
    <xf numFmtId="0" fontId="0" fillId="0" borderId="0" xfId="0"/>
    <xf numFmtId="0" fontId="5" fillId="0" borderId="0" xfId="2" applyFont="1" applyAlignment="1">
      <alignment horizontal="center"/>
    </xf>
    <xf numFmtId="0" fontId="6" fillId="0" borderId="0" xfId="0" applyFont="1"/>
    <xf numFmtId="0" fontId="2" fillId="3" borderId="0" xfId="1" applyFont="1" applyFill="1" applyAlignment="1">
      <alignment horizontal="centerContinuous" vertical="center" wrapText="1"/>
    </xf>
    <xf numFmtId="0" fontId="4" fillId="2" borderId="1" xfId="4" applyFont="1" applyAlignment="1">
      <alignment horizontal="left" vertical="center"/>
    </xf>
    <xf numFmtId="0" fontId="5" fillId="2" borderId="1" xfId="4" applyFont="1" applyAlignment="1">
      <alignment horizontal="center" vertical="center"/>
    </xf>
    <xf numFmtId="164" fontId="5" fillId="2" borderId="1" xfId="4" applyNumberFormat="1" applyFont="1" applyAlignment="1">
      <alignment horizontal="center" vertical="center"/>
    </xf>
    <xf numFmtId="0" fontId="4" fillId="2" borderId="2" xfId="4" applyFont="1" applyBorder="1" applyAlignment="1">
      <alignment horizontal="left" vertical="center"/>
    </xf>
    <xf numFmtId="0" fontId="5" fillId="2" borderId="2" xfId="4" applyFont="1" applyBorder="1" applyAlignment="1">
      <alignment horizontal="center" vertical="center"/>
    </xf>
    <xf numFmtId="164" fontId="5" fillId="2" borderId="2" xfId="4" applyNumberFormat="1" applyFont="1" applyBorder="1" applyAlignment="1">
      <alignment horizontal="center" vertical="center"/>
    </xf>
    <xf numFmtId="165" fontId="5" fillId="2" borderId="2" xfId="4" applyNumberFormat="1" applyFont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5" fillId="2" borderId="2" xfId="4" applyFont="1" applyBorder="1" applyAlignment="1">
      <alignment horizontal="left" vertical="center"/>
    </xf>
    <xf numFmtId="0" fontId="5" fillId="2" borderId="1" xfId="4" applyFont="1" applyAlignment="1">
      <alignment horizontal="left" vertical="center"/>
    </xf>
    <xf numFmtId="0" fontId="8" fillId="3" borderId="0" xfId="1" applyFont="1" applyFill="1" applyAlignment="1">
      <alignment horizontal="centerContinuous" vertical="center"/>
    </xf>
    <xf numFmtId="49" fontId="5" fillId="2" borderId="2" xfId="4" applyNumberFormat="1" applyFont="1" applyBorder="1" applyAlignment="1">
      <alignment horizontal="center" vertical="center"/>
    </xf>
    <xf numFmtId="49" fontId="5" fillId="2" borderId="1" xfId="4" applyNumberFormat="1" applyFont="1" applyAlignment="1">
      <alignment horizontal="center" vertical="center"/>
    </xf>
    <xf numFmtId="49" fontId="0" fillId="0" borderId="0" xfId="0" applyNumberFormat="1"/>
    <xf numFmtId="20" fontId="5" fillId="2" borderId="1" xfId="4" applyNumberFormat="1" applyFont="1" applyAlignment="1">
      <alignment horizontal="center" vertical="center"/>
    </xf>
    <xf numFmtId="20" fontId="5" fillId="2" borderId="2" xfId="4" applyNumberFormat="1" applyFont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</cellXfs>
  <cellStyles count="5">
    <cellStyle name="Normal" xfId="0" builtinId="0"/>
    <cellStyle name="Normal 2 2" xfId="1" xr:uid="{5AB08F49-BC58-47C9-A4C3-786D06FCFC8E}"/>
    <cellStyle name="Normal 2 2 2 2 2" xfId="3" xr:uid="{A633EB88-960E-4404-A520-77B4212A2EAC}"/>
    <cellStyle name="Normal 2 2 3 2" xfId="2" xr:uid="{90CA990C-0843-4CF5-B6CD-082421EF2A7F}"/>
    <cellStyle name="Nota" xfId="4" builtinId="1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8E1171-0761-4503-8765-87FFE367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E398F8-BA74-4B95-86C3-1E71126B1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335C29-9E49-41D0-B65A-B347D58E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1331100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31E24D-F4F0-411E-B885-FEC14FC6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B8DC24-5FDB-4660-8329-1300A387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4EBC2A-79ED-4357-9FCA-D88030D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A061EF-C6E0-431E-ACF0-B1174B44D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B289C0-43C0-4F31-91E0-9752AB614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1354-53FD-4FD4-90FB-83B29881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A5CB39-6119-4627-B16F-D676F22EB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C62FB5-B8A3-47FB-8ECE-0EDB908A1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F11231-D8B0-4AA2-B196-60F29851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9CF092-0EA1-4090-9394-F58F23CB3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D6C354-16E4-4EF6-B521-7430DCFB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8F7D81-FDEB-40ED-9DF9-2E1DF73B5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03E943-05C5-4454-996F-FBAC72D5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1BDD3D-81E4-42B6-ACE6-34012927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D55BDD-B02B-4DBC-B3D6-E04EC2949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134276-F2CE-4D6D-9C1A-FB28BD4C5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D9D6DF-CF05-41C0-B3DE-C04E0F63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F99004-6595-4F78-B9D9-E4B21C808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BFAE2F-681A-4950-83B7-9CA5129B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6EF453-2DCB-4030-9348-39F52777D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97039D-7BFA-4A60-A3F3-13816E50A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EE172D-0F68-4723-8114-449E89D8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5E0990-2C5F-409C-9216-6EE7A505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5063BA-1E33-4361-BF43-EAB3ED79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82B71D-A3DC-49C9-9E3D-FBCF09254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CD1147-B936-4823-A09A-CC62C0D72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66C4B0-A93B-4901-8E6C-2FB8D4DA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5BBF0-85E1-45C6-B4EB-C10A41E46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A8FEDF-44A1-4CB9-860D-216E228C1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4C5544-979A-4644-96B4-05D321B3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5CC668-EE54-411F-9A05-A2308A53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DDB3DA1-7AFB-4D71-90A4-561FAEE3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71E2BDA-F2C5-428F-AAE3-13EC1E7E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08774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0B57-56CB-443A-AAAC-3A87D1BAD668}">
  <dimension ref="A1:O49"/>
  <sheetViews>
    <sheetView showGridLines="0" topLeftCell="D1" zoomScale="70" zoomScaleNormal="70" workbookViewId="0">
      <pane ySplit="3" topLeftCell="A4" activePane="bottomLeft" state="frozen"/>
      <selection pane="bottomLeft" activeCell="I13" sqref="I13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19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9"/>
      <c r="F4" s="9"/>
      <c r="G4" s="9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53</v>
      </c>
      <c r="C5" s="16">
        <v>15</v>
      </c>
      <c r="D5" s="16" t="s">
        <v>54</v>
      </c>
      <c r="E5" s="10">
        <v>0.2013888888888889</v>
      </c>
      <c r="F5" s="10">
        <v>0.2361111111111111</v>
      </c>
      <c r="G5" s="10">
        <v>0.4375</v>
      </c>
      <c r="H5" s="16"/>
      <c r="I5" s="16"/>
      <c r="J5" s="16"/>
      <c r="K5" s="8"/>
      <c r="L5" s="8"/>
      <c r="M5" s="9"/>
      <c r="N5" s="10">
        <f>MOD(G5-F5, 1)</f>
        <v>0.2013888888888889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55</v>
      </c>
      <c r="C6" s="17">
        <v>789</v>
      </c>
      <c r="D6" s="17" t="s">
        <v>138</v>
      </c>
      <c r="E6" s="10">
        <v>0.22916666666666666</v>
      </c>
      <c r="F6" s="10">
        <v>0.27083333333333331</v>
      </c>
      <c r="G6" s="10">
        <v>0.42708333333333331</v>
      </c>
      <c r="H6" s="16"/>
      <c r="I6" s="16"/>
      <c r="J6" s="16"/>
      <c r="K6" s="5"/>
      <c r="L6" s="5"/>
      <c r="M6" s="5"/>
      <c r="N6" s="10">
        <f t="shared" ref="N6:N45" si="0">MOD(G6-F6, 1)</f>
        <v>0.15625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56</v>
      </c>
      <c r="C7" s="17">
        <v>184090</v>
      </c>
      <c r="D7" s="17" t="s">
        <v>57</v>
      </c>
      <c r="E7" s="10">
        <v>6.25E-2</v>
      </c>
      <c r="F7" s="10">
        <v>0.25347222222222221</v>
      </c>
      <c r="G7" s="10">
        <v>0.51041666666666663</v>
      </c>
      <c r="H7" s="16"/>
      <c r="I7" s="16"/>
      <c r="J7" s="16"/>
      <c r="K7" s="5"/>
      <c r="L7" s="5"/>
      <c r="M7" s="5"/>
      <c r="N7" s="10">
        <f t="shared" si="0"/>
        <v>0.25694444444444442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58</v>
      </c>
      <c r="C8" s="17">
        <v>752</v>
      </c>
      <c r="D8" s="17" t="s">
        <v>59</v>
      </c>
      <c r="E8" s="10">
        <v>0.21180555555555555</v>
      </c>
      <c r="F8" s="10">
        <v>0.24652777777777779</v>
      </c>
      <c r="G8" s="10">
        <v>0.38541666666666669</v>
      </c>
      <c r="H8" s="16"/>
      <c r="I8" s="16"/>
      <c r="J8" s="16"/>
      <c r="K8" s="5"/>
      <c r="L8" s="5"/>
      <c r="M8" s="5"/>
      <c r="N8" s="10">
        <f t="shared" si="0"/>
        <v>0.1388888888888889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60</v>
      </c>
      <c r="C9" s="17">
        <v>16</v>
      </c>
      <c r="D9" s="17" t="s">
        <v>61</v>
      </c>
      <c r="E9" s="10">
        <v>0.47569444444444442</v>
      </c>
      <c r="F9" s="10">
        <v>0.5</v>
      </c>
      <c r="G9" s="10">
        <v>0.59722222222222221</v>
      </c>
      <c r="H9" s="16"/>
      <c r="I9" s="16"/>
      <c r="J9" s="16"/>
      <c r="K9" s="5"/>
      <c r="L9" s="5"/>
      <c r="M9" s="5"/>
      <c r="N9" s="10">
        <f t="shared" si="0"/>
        <v>9.722222222222221E-2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62</v>
      </c>
      <c r="C10" s="17">
        <v>184016</v>
      </c>
      <c r="D10" s="17" t="s">
        <v>63</v>
      </c>
      <c r="E10" s="10" t="s">
        <v>139</v>
      </c>
      <c r="F10" s="10" t="s">
        <v>140</v>
      </c>
      <c r="G10" s="10"/>
      <c r="H10" s="16"/>
      <c r="I10" s="16"/>
      <c r="J10" s="16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0.2013888888888889</v>
      </c>
      <c r="F12" s="10">
        <v>0.21875</v>
      </c>
      <c r="G12" s="10">
        <v>0.59722222222222221</v>
      </c>
      <c r="H12" s="16" t="s">
        <v>68</v>
      </c>
      <c r="I12" s="16">
        <v>832</v>
      </c>
      <c r="J12" s="16" t="s">
        <v>69</v>
      </c>
      <c r="K12" s="10" t="s">
        <v>139</v>
      </c>
      <c r="L12" s="10" t="s">
        <v>140</v>
      </c>
      <c r="M12" s="5"/>
      <c r="N12" s="10">
        <f t="shared" si="0"/>
        <v>0.37847222222222221</v>
      </c>
      <c r="O12" s="10" t="e">
        <f t="shared" si="1"/>
        <v>#VALUE!</v>
      </c>
    </row>
    <row r="13" spans="1:15" ht="20.100000000000001" customHeight="1" x14ac:dyDescent="0.25">
      <c r="A13" s="14" t="s">
        <v>13</v>
      </c>
      <c r="B13" s="17" t="s">
        <v>70</v>
      </c>
      <c r="C13" s="17">
        <v>353</v>
      </c>
      <c r="D13" s="17" t="s">
        <v>71</v>
      </c>
      <c r="E13" s="10">
        <v>0.13541666666666666</v>
      </c>
      <c r="F13" s="10">
        <v>0.2326388888888889</v>
      </c>
      <c r="G13" s="10">
        <v>0.4826388888888889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0.2013888888888889</v>
      </c>
      <c r="F14" s="10">
        <v>0.21527777777777779</v>
      </c>
      <c r="G14" s="10">
        <v>0.27777777777777779</v>
      </c>
      <c r="H14" s="16"/>
      <c r="I14" s="16"/>
      <c r="J14" s="16"/>
      <c r="K14" s="5"/>
      <c r="L14" s="5"/>
      <c r="M14" s="5"/>
      <c r="N14" s="10">
        <f t="shared" si="0"/>
        <v>6.25E-2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0</v>
      </c>
      <c r="F15" s="10">
        <v>0.17708333333333334</v>
      </c>
      <c r="G15" s="10">
        <v>0.3611111111111111</v>
      </c>
      <c r="H15" s="16"/>
      <c r="I15" s="16"/>
      <c r="J15" s="16"/>
      <c r="K15" s="5"/>
      <c r="L15" s="5"/>
      <c r="M15" s="5"/>
      <c r="N15" s="10">
        <f t="shared" si="0"/>
        <v>0.18402777777777776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76</v>
      </c>
      <c r="C16" s="17">
        <v>795</v>
      </c>
      <c r="D16" s="17" t="s">
        <v>77</v>
      </c>
      <c r="E16" s="10">
        <v>0.22222222222222221</v>
      </c>
      <c r="F16" s="10">
        <v>0.2326388888888889</v>
      </c>
      <c r="G16" s="10">
        <v>0.51388888888888884</v>
      </c>
      <c r="H16" s="16"/>
      <c r="I16" s="16"/>
      <c r="J16" s="16"/>
      <c r="K16" s="5"/>
      <c r="L16" s="5"/>
      <c r="M16" s="5"/>
      <c r="N16" s="10">
        <f t="shared" si="0"/>
        <v>0.28124999999999994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78</v>
      </c>
      <c r="C17" s="17">
        <v>792</v>
      </c>
      <c r="D17" s="17" t="s">
        <v>79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 t="e">
        <f t="shared" si="0"/>
        <v>#VALUE!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80</v>
      </c>
      <c r="C19" s="17">
        <v>294</v>
      </c>
      <c r="D19" s="17" t="s">
        <v>81</v>
      </c>
      <c r="E19" s="10">
        <v>0.25</v>
      </c>
      <c r="F19" s="10">
        <v>0.25347222222222221</v>
      </c>
      <c r="G19" s="10">
        <v>0.30555555555555558</v>
      </c>
      <c r="H19" s="16"/>
      <c r="I19" s="16"/>
      <c r="J19" s="16"/>
      <c r="K19" s="5"/>
      <c r="L19" s="5"/>
      <c r="M19" s="5"/>
      <c r="N19" s="10">
        <f t="shared" si="0"/>
        <v>5.208333333333337E-2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0.19097222222222221</v>
      </c>
      <c r="F20" s="10">
        <v>0.22222222222222221</v>
      </c>
      <c r="G20" s="10">
        <v>0.47222222222222221</v>
      </c>
      <c r="H20" s="16"/>
      <c r="I20" s="16"/>
      <c r="J20" s="16"/>
      <c r="K20" s="5"/>
      <c r="L20" s="5"/>
      <c r="M20" s="5"/>
      <c r="N20" s="10">
        <f t="shared" si="0"/>
        <v>0.25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84</v>
      </c>
      <c r="C21" s="17">
        <v>353</v>
      </c>
      <c r="D21" s="17" t="s">
        <v>85</v>
      </c>
      <c r="E21" s="10">
        <v>0.37847222222222221</v>
      </c>
      <c r="F21" s="10">
        <v>0.44097222222222221</v>
      </c>
      <c r="G21" s="10">
        <v>0.57291666666666663</v>
      </c>
      <c r="H21" s="16"/>
      <c r="I21" s="16"/>
      <c r="J21" s="16"/>
      <c r="K21" s="5"/>
      <c r="L21" s="5"/>
      <c r="M21" s="6"/>
      <c r="N21" s="10">
        <f t="shared" si="0"/>
        <v>0.13194444444444442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0.18402777777777779</v>
      </c>
      <c r="F22" s="10">
        <v>0.21180555555555555</v>
      </c>
      <c r="G22" s="10">
        <v>0.35069444444444442</v>
      </c>
      <c r="H22" s="16"/>
      <c r="I22" s="16"/>
      <c r="J22" s="16"/>
      <c r="K22" s="5"/>
      <c r="L22" s="5"/>
      <c r="M22" s="5"/>
      <c r="N22" s="10">
        <f t="shared" si="0"/>
        <v>0.13888888888888887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0.21527777777777779</v>
      </c>
      <c r="F24" s="10">
        <v>0.2326388888888889</v>
      </c>
      <c r="G24" s="10">
        <v>0.47569444444444442</v>
      </c>
      <c r="H24" s="16"/>
      <c r="I24" s="16"/>
      <c r="J24" s="16"/>
      <c r="K24" s="5"/>
      <c r="L24" s="5"/>
      <c r="M24" s="5"/>
      <c r="N24" s="10">
        <f t="shared" si="0"/>
        <v>0.24305555555555552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3.125E-2</v>
      </c>
      <c r="F25" s="10">
        <v>0.11458333333333333</v>
      </c>
      <c r="G25" s="10">
        <v>0.42708333333333331</v>
      </c>
      <c r="H25" s="16"/>
      <c r="I25" s="16"/>
      <c r="J25" s="16"/>
      <c r="K25" s="5"/>
      <c r="L25" s="5"/>
      <c r="M25" s="5"/>
      <c r="N25" s="10">
        <f t="shared" si="0"/>
        <v>0.3125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0.24652777777777779</v>
      </c>
      <c r="F26" s="10">
        <v>0.2673611111111111</v>
      </c>
      <c r="G26" s="10">
        <v>0.59722222222222221</v>
      </c>
      <c r="H26" s="16" t="s">
        <v>96</v>
      </c>
      <c r="I26" s="16">
        <v>612</v>
      </c>
      <c r="J26" s="16" t="s">
        <v>97</v>
      </c>
      <c r="K26" s="19">
        <v>0.29166666666666669</v>
      </c>
      <c r="L26" s="19">
        <v>0.3125</v>
      </c>
      <c r="M26" s="19">
        <v>0.40625</v>
      </c>
      <c r="N26" s="10">
        <f t="shared" si="0"/>
        <v>0.3298611111111111</v>
      </c>
      <c r="O26" s="10">
        <f t="shared" si="1"/>
        <v>9.375E-2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0.21527777777777779</v>
      </c>
      <c r="F27" s="10">
        <v>0.23958333333333334</v>
      </c>
      <c r="G27" s="10">
        <v>0.34027777777777779</v>
      </c>
      <c r="H27" s="16"/>
      <c r="I27" s="16"/>
      <c r="J27" s="16"/>
      <c r="K27" s="5"/>
      <c r="L27" s="5"/>
      <c r="M27" s="5"/>
      <c r="N27" s="10">
        <f t="shared" si="0"/>
        <v>0.10069444444444445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100</v>
      </c>
      <c r="C28" s="17">
        <v>184016</v>
      </c>
      <c r="D28" s="17" t="s">
        <v>119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102</v>
      </c>
      <c r="C29" s="17">
        <v>184016</v>
      </c>
      <c r="D29" s="17" t="s">
        <v>103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0.19097222222222221</v>
      </c>
      <c r="F30" s="10">
        <v>0.25694444444444442</v>
      </c>
      <c r="G30" s="10">
        <v>0.46527777777777779</v>
      </c>
      <c r="H30" s="16"/>
      <c r="I30" s="16"/>
      <c r="J30" s="16"/>
      <c r="K30" s="5"/>
      <c r="L30" s="5"/>
      <c r="M30" s="5"/>
      <c r="N30" s="10">
        <f t="shared" si="0"/>
        <v>0.20833333333333337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106</v>
      </c>
      <c r="C31" s="17">
        <v>184328</v>
      </c>
      <c r="D31" s="17" t="s">
        <v>107</v>
      </c>
      <c r="E31" s="10">
        <v>0.41319444444444442</v>
      </c>
      <c r="F31" s="10">
        <v>0.44791666666666669</v>
      </c>
      <c r="G31" s="10">
        <v>0.51041666666666663</v>
      </c>
      <c r="H31" s="16"/>
      <c r="I31" s="16"/>
      <c r="J31" s="16"/>
      <c r="K31" s="5"/>
      <c r="L31" s="5"/>
      <c r="M31" s="5"/>
      <c r="N31" s="10">
        <f t="shared" si="0"/>
        <v>6.2499999999999944E-2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110</v>
      </c>
      <c r="C33" s="17">
        <v>353</v>
      </c>
      <c r="D33" s="17" t="s">
        <v>111</v>
      </c>
      <c r="E33" s="10">
        <v>0.2048611111111111</v>
      </c>
      <c r="F33" s="10">
        <v>0.21875</v>
      </c>
      <c r="G33" s="10">
        <v>0.3125</v>
      </c>
      <c r="H33" s="16"/>
      <c r="I33" s="16"/>
      <c r="J33" s="16"/>
      <c r="K33" s="5"/>
      <c r="L33" s="5"/>
      <c r="M33" s="5"/>
      <c r="N33" s="10">
        <f t="shared" si="0"/>
        <v>9.375E-2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114</v>
      </c>
      <c r="C35" s="17">
        <v>294</v>
      </c>
      <c r="D35" s="17" t="s">
        <v>115</v>
      </c>
      <c r="E35" s="10">
        <v>0.1423611111111111</v>
      </c>
      <c r="F35" s="10">
        <v>0.2673611111111111</v>
      </c>
      <c r="G35" s="10">
        <v>0.29166666666666669</v>
      </c>
      <c r="H35" s="16"/>
      <c r="I35" s="16"/>
      <c r="J35" s="16"/>
      <c r="K35" s="5"/>
      <c r="L35" s="5"/>
      <c r="M35" s="5"/>
      <c r="N35" s="10">
        <f t="shared" si="0"/>
        <v>2.430555555555558E-2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0.21527777777777779</v>
      </c>
      <c r="F36" s="10">
        <v>0.24652777777777779</v>
      </c>
      <c r="G36" s="10">
        <v>0.48958333333333331</v>
      </c>
      <c r="H36" s="16"/>
      <c r="I36" s="16"/>
      <c r="J36" s="16"/>
      <c r="K36" s="5"/>
      <c r="L36" s="5"/>
      <c r="M36" s="5"/>
      <c r="N36" s="10">
        <f t="shared" si="0"/>
        <v>0.24305555555555552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118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120</v>
      </c>
      <c r="C38" s="17">
        <v>184016</v>
      </c>
      <c r="D38" s="17" t="s">
        <v>121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122</v>
      </c>
      <c r="C39" s="17">
        <v>353</v>
      </c>
      <c r="D39" s="17" t="s">
        <v>123</v>
      </c>
      <c r="E39" s="10">
        <v>0.2361111111111111</v>
      </c>
      <c r="F39" s="10">
        <v>0.26041666666666669</v>
      </c>
      <c r="G39" s="10">
        <v>0.33333333333333331</v>
      </c>
      <c r="H39" s="16"/>
      <c r="I39" s="16"/>
      <c r="J39" s="16"/>
      <c r="K39" s="5"/>
      <c r="L39" s="5"/>
      <c r="M39" s="5"/>
      <c r="N39" s="10">
        <f t="shared" si="0"/>
        <v>7.291666666666663E-2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124</v>
      </c>
      <c r="C40" s="17">
        <v>294</v>
      </c>
      <c r="D40" s="17" t="s">
        <v>125</v>
      </c>
      <c r="E40" s="10">
        <v>0.25</v>
      </c>
      <c r="F40" s="10">
        <v>0.28819444444444442</v>
      </c>
      <c r="G40" s="10">
        <v>0.47916666666666669</v>
      </c>
      <c r="H40" s="16"/>
      <c r="I40" s="16"/>
      <c r="J40" s="16"/>
      <c r="K40" s="5"/>
      <c r="L40" s="5"/>
      <c r="M40" s="5"/>
      <c r="N40" s="10">
        <f t="shared" si="0"/>
        <v>0.19097222222222227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0.25347222222222221</v>
      </c>
      <c r="F41" s="10">
        <v>0.29166666666666669</v>
      </c>
      <c r="G41" s="10">
        <v>0.5</v>
      </c>
      <c r="H41" s="16"/>
      <c r="I41" s="16"/>
      <c r="J41" s="16"/>
      <c r="K41" s="5"/>
      <c r="L41" s="5"/>
      <c r="M41" s="5"/>
      <c r="N41" s="10">
        <f t="shared" si="0"/>
        <v>0.20833333333333331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0.24652777777777779</v>
      </c>
      <c r="F43" s="10">
        <v>0.28125</v>
      </c>
      <c r="G43" s="10">
        <v>0.5625</v>
      </c>
      <c r="H43" s="16"/>
      <c r="I43" s="16"/>
      <c r="J43" s="16"/>
      <c r="K43" s="5"/>
      <c r="L43" s="5"/>
      <c r="M43" s="5"/>
      <c r="N43" s="10">
        <f t="shared" si="0"/>
        <v>0.28125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0.20833333333333334</v>
      </c>
      <c r="F44" s="10">
        <v>0.22916666666666666</v>
      </c>
      <c r="G44" s="10">
        <v>0.56597222222222221</v>
      </c>
      <c r="H44" s="16" t="s">
        <v>134</v>
      </c>
      <c r="I44" s="16">
        <v>772</v>
      </c>
      <c r="J44" s="16" t="s">
        <v>135</v>
      </c>
      <c r="K44" s="19">
        <v>0.29166666666666669</v>
      </c>
      <c r="L44" s="19">
        <v>0.3576388888888889</v>
      </c>
      <c r="M44" s="19">
        <v>0.40625</v>
      </c>
      <c r="N44" s="10">
        <f t="shared" si="0"/>
        <v>0.33680555555555558</v>
      </c>
      <c r="O44" s="10">
        <f t="shared" si="1"/>
        <v>4.8611111111111105E-2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3AE3-9E2D-43AF-938A-BAF47649D31D}">
  <dimension ref="A1:O49"/>
  <sheetViews>
    <sheetView showGridLines="0" zoomScale="55" zoomScaleNormal="55" workbookViewId="0">
      <pane ySplit="3" topLeftCell="A4" activePane="bottomLeft" state="frozen"/>
      <selection pane="bottomLeft" activeCell="F19" sqref="F19"/>
    </sheetView>
  </sheetViews>
  <sheetFormatPr defaultRowHeight="15" x14ac:dyDescent="0.25"/>
  <cols>
    <col min="1" max="1" width="50.28515625" customWidth="1"/>
    <col min="2" max="2" width="25.570312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36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0.22569444444444445</v>
      </c>
      <c r="F5" s="10">
        <v>0.27430555555555558</v>
      </c>
      <c r="G5" s="10">
        <v>0.43402777777777779</v>
      </c>
      <c r="H5" s="16"/>
      <c r="I5" s="16"/>
      <c r="J5" s="16"/>
      <c r="K5" s="8"/>
      <c r="L5" s="8"/>
      <c r="M5" s="9"/>
      <c r="N5" s="10">
        <f>MOD(G5-F5, 1)</f>
        <v>0.15972222222222221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141</v>
      </c>
      <c r="E6" s="10" t="s">
        <v>139</v>
      </c>
      <c r="F6" s="10" t="s">
        <v>140</v>
      </c>
      <c r="G6" s="10"/>
      <c r="H6" s="16"/>
      <c r="I6" s="16"/>
      <c r="J6" s="16"/>
      <c r="K6" s="5"/>
      <c r="L6" s="5"/>
      <c r="M6" s="5"/>
      <c r="N6" s="10">
        <v>0</v>
      </c>
      <c r="O6" s="10">
        <f t="shared" ref="O6:O45" si="0">MOD(M6-L6, 1)</f>
        <v>0</v>
      </c>
    </row>
    <row r="7" spans="1:15" ht="20.100000000000001" customHeight="1" x14ac:dyDescent="0.25">
      <c r="A7" s="14" t="s">
        <v>7</v>
      </c>
      <c r="B7" s="17" t="s">
        <v>53</v>
      </c>
      <c r="C7" s="17">
        <v>15</v>
      </c>
      <c r="D7" s="17" t="s">
        <v>54</v>
      </c>
      <c r="E7" s="10">
        <v>0.11805555555555555</v>
      </c>
      <c r="F7" s="10">
        <v>0.25694444444444442</v>
      </c>
      <c r="G7" s="10">
        <v>0.3298611111111111</v>
      </c>
      <c r="H7" s="16"/>
      <c r="I7" s="16"/>
      <c r="J7" s="16"/>
      <c r="K7" s="5"/>
      <c r="L7" s="5"/>
      <c r="M7" s="5"/>
      <c r="N7" s="10">
        <f t="shared" ref="N7:N45" si="1">MOD(G7-F7, 1)</f>
        <v>7.2916666666666685E-2</v>
      </c>
      <c r="O7" s="10">
        <f t="shared" si="0"/>
        <v>0</v>
      </c>
    </row>
    <row r="8" spans="1:15" ht="20.100000000000001" customHeight="1" x14ac:dyDescent="0.25">
      <c r="A8" s="14" t="s">
        <v>8</v>
      </c>
      <c r="B8" s="17" t="s">
        <v>58</v>
      </c>
      <c r="C8" s="17">
        <v>752</v>
      </c>
      <c r="D8" s="17" t="s">
        <v>59</v>
      </c>
      <c r="E8" s="10">
        <v>0.2361111111111111</v>
      </c>
      <c r="F8" s="10">
        <v>0.2638888888888889</v>
      </c>
      <c r="G8" s="10">
        <v>0.33333333333333331</v>
      </c>
      <c r="H8" s="16" t="s">
        <v>142</v>
      </c>
      <c r="I8" s="16">
        <v>184621</v>
      </c>
      <c r="J8" s="16" t="s">
        <v>143</v>
      </c>
      <c r="K8" s="10" t="s">
        <v>166</v>
      </c>
      <c r="L8" s="10" t="s">
        <v>167</v>
      </c>
      <c r="M8" s="10" t="s">
        <v>168</v>
      </c>
      <c r="N8" s="10">
        <f t="shared" si="1"/>
        <v>6.944444444444442E-2</v>
      </c>
      <c r="O8" s="10"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>
        <v>0.19097222222222221</v>
      </c>
      <c r="F9" s="10">
        <v>0.21875</v>
      </c>
      <c r="G9" s="10">
        <v>0.31944444444444442</v>
      </c>
      <c r="H9" s="16"/>
      <c r="I9" s="16"/>
      <c r="J9" s="16"/>
      <c r="K9" s="5"/>
      <c r="L9" s="5"/>
      <c r="M9" s="5"/>
      <c r="N9" s="10">
        <f t="shared" si="1"/>
        <v>0.10069444444444442</v>
      </c>
      <c r="O9" s="10">
        <f t="shared" si="0"/>
        <v>0</v>
      </c>
    </row>
    <row r="10" spans="1:15" ht="20.100000000000001" customHeight="1" x14ac:dyDescent="0.25">
      <c r="A10" s="14" t="s">
        <v>10</v>
      </c>
      <c r="B10" s="17" t="s">
        <v>64</v>
      </c>
      <c r="C10" s="17">
        <v>184041</v>
      </c>
      <c r="D10" s="17" t="s">
        <v>65</v>
      </c>
      <c r="E10" s="10" t="s">
        <v>139</v>
      </c>
      <c r="F10" s="10" t="s">
        <v>140</v>
      </c>
      <c r="G10" s="10"/>
      <c r="H10" s="16"/>
      <c r="I10" s="16"/>
      <c r="J10" s="16"/>
      <c r="K10" s="5"/>
      <c r="L10" s="5"/>
      <c r="M10" s="5"/>
      <c r="N10" s="10">
        <v>0</v>
      </c>
      <c r="O10" s="10">
        <f t="shared" si="0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71</v>
      </c>
      <c r="E11" s="10">
        <v>0.2013888888888889</v>
      </c>
      <c r="F11" s="10">
        <v>0.24305555555555555</v>
      </c>
      <c r="G11" s="10">
        <v>0.4548611111111111</v>
      </c>
      <c r="H11" s="16"/>
      <c r="I11" s="16"/>
      <c r="J11" s="16"/>
      <c r="K11" s="5"/>
      <c r="L11" s="5"/>
      <c r="M11" s="5"/>
      <c r="N11" s="10">
        <f t="shared" si="1"/>
        <v>0.21180555555555555</v>
      </c>
      <c r="O11" s="10">
        <f t="shared" si="0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0.21527777777777779</v>
      </c>
      <c r="F12" s="10">
        <v>0.24652777777777779</v>
      </c>
      <c r="G12" s="10">
        <v>0.47569444444444442</v>
      </c>
      <c r="H12" s="16"/>
      <c r="I12" s="16"/>
      <c r="J12" s="16"/>
      <c r="K12" s="5"/>
      <c r="L12" s="5"/>
      <c r="M12" s="5"/>
      <c r="N12" s="10">
        <f t="shared" si="1"/>
        <v>0.22916666666666663</v>
      </c>
      <c r="O12" s="10">
        <f t="shared" si="0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0.2638888888888889</v>
      </c>
      <c r="G13" s="10">
        <v>0.50694444444444442</v>
      </c>
      <c r="H13" s="16"/>
      <c r="I13" s="16"/>
      <c r="J13" s="16"/>
      <c r="K13" s="5"/>
      <c r="L13" s="5"/>
      <c r="M13" s="5"/>
      <c r="N13" s="10">
        <f t="shared" si="1"/>
        <v>0.24305555555555552</v>
      </c>
      <c r="O13" s="10">
        <f t="shared" si="0"/>
        <v>0</v>
      </c>
    </row>
    <row r="14" spans="1:15" ht="20.100000000000001" customHeight="1" x14ac:dyDescent="0.25">
      <c r="A14" s="14" t="s">
        <v>14</v>
      </c>
      <c r="B14" s="17" t="s">
        <v>145</v>
      </c>
      <c r="C14" s="17">
        <v>353</v>
      </c>
      <c r="D14" s="17" t="s">
        <v>146</v>
      </c>
      <c r="E14" s="10" t="s">
        <v>139</v>
      </c>
      <c r="F14" s="10" t="s">
        <v>140</v>
      </c>
      <c r="G14" s="10"/>
      <c r="H14" s="16"/>
      <c r="I14" s="16"/>
      <c r="J14" s="16"/>
      <c r="K14" s="5"/>
      <c r="L14" s="5"/>
      <c r="M14" s="5"/>
      <c r="N14" s="10">
        <v>0</v>
      </c>
      <c r="O14" s="10">
        <f t="shared" si="0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165</v>
      </c>
      <c r="E15" s="10">
        <v>8.6805555555555552E-2</v>
      </c>
      <c r="F15" s="10">
        <v>0.2951388888888889</v>
      </c>
      <c r="G15" s="10">
        <v>0.34027777777777779</v>
      </c>
      <c r="H15" s="16"/>
      <c r="I15" s="16"/>
      <c r="J15" s="16"/>
      <c r="K15" s="5"/>
      <c r="L15" s="5"/>
      <c r="M15" s="5"/>
      <c r="N15" s="10">
        <f t="shared" si="1"/>
        <v>4.5138888888888895E-2</v>
      </c>
      <c r="O15" s="10">
        <f t="shared" si="0"/>
        <v>0</v>
      </c>
    </row>
    <row r="16" spans="1:15" ht="20.100000000000001" customHeight="1" x14ac:dyDescent="0.25">
      <c r="A16" s="14" t="s">
        <v>16</v>
      </c>
      <c r="B16" s="17" t="s">
        <v>90</v>
      </c>
      <c r="C16" s="17">
        <v>353</v>
      </c>
      <c r="D16" s="17" t="s">
        <v>91</v>
      </c>
      <c r="E16" s="10">
        <v>0.22569444444444445</v>
      </c>
      <c r="F16" s="10">
        <v>0.24305555555555555</v>
      </c>
      <c r="G16" s="10">
        <v>0.26041666666666669</v>
      </c>
      <c r="H16" s="16"/>
      <c r="I16" s="16"/>
      <c r="J16" s="16"/>
      <c r="K16" s="5"/>
      <c r="L16" s="5"/>
      <c r="M16" s="5"/>
      <c r="N16" s="10">
        <f t="shared" si="1"/>
        <v>1.7361111111111133E-2</v>
      </c>
      <c r="O16" s="10">
        <f t="shared" si="0"/>
        <v>0</v>
      </c>
    </row>
    <row r="17" spans="1:15" ht="20.100000000000001" customHeight="1" x14ac:dyDescent="0.25">
      <c r="A17" s="14" t="s">
        <v>17</v>
      </c>
      <c r="B17" s="17" t="s">
        <v>112</v>
      </c>
      <c r="C17" s="17">
        <v>184016</v>
      </c>
      <c r="D17" s="17" t="s">
        <v>113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>
        <v>0</v>
      </c>
      <c r="O17" s="10">
        <f t="shared" si="0"/>
        <v>0</v>
      </c>
    </row>
    <row r="18" spans="1:15" ht="20.100000000000001" customHeight="1" x14ac:dyDescent="0.25">
      <c r="A18" s="14" t="s">
        <v>18</v>
      </c>
      <c r="B18" s="17" t="s">
        <v>84</v>
      </c>
      <c r="C18" s="17">
        <v>353</v>
      </c>
      <c r="D18" s="17" t="s">
        <v>85</v>
      </c>
      <c r="E18" s="10" t="s">
        <v>166</v>
      </c>
      <c r="F18" s="10" t="s">
        <v>167</v>
      </c>
      <c r="G18" s="10" t="s">
        <v>168</v>
      </c>
      <c r="H18" s="16"/>
      <c r="I18" s="16"/>
      <c r="J18" s="16"/>
      <c r="K18" s="5"/>
      <c r="L18" s="5"/>
      <c r="M18" s="5"/>
      <c r="N18" s="10">
        <v>0</v>
      </c>
      <c r="O18" s="10">
        <f t="shared" si="0"/>
        <v>0</v>
      </c>
    </row>
    <row r="19" spans="1:15" ht="20.100000000000001" customHeight="1" x14ac:dyDescent="0.25">
      <c r="A19" s="14" t="s">
        <v>19</v>
      </c>
      <c r="B19" s="17" t="s">
        <v>110</v>
      </c>
      <c r="C19" s="17">
        <v>294</v>
      </c>
      <c r="D19" s="17" t="s">
        <v>81</v>
      </c>
      <c r="E19" s="10">
        <v>0.20833333333333334</v>
      </c>
      <c r="F19" s="10">
        <v>0.21527777777777779</v>
      </c>
      <c r="G19" s="10">
        <v>0.25347222222222221</v>
      </c>
      <c r="H19" s="16"/>
      <c r="I19" s="16"/>
      <c r="J19" s="16"/>
      <c r="K19" s="5"/>
      <c r="L19" s="5"/>
      <c r="M19" s="5"/>
      <c r="N19" s="10">
        <f t="shared" si="1"/>
        <v>3.819444444444442E-2</v>
      </c>
      <c r="O19" s="10">
        <f t="shared" si="0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0.1875</v>
      </c>
      <c r="F20" s="10">
        <v>0.21875</v>
      </c>
      <c r="G20" s="10">
        <v>0.50694444444444442</v>
      </c>
      <c r="H20" s="16" t="s">
        <v>147</v>
      </c>
      <c r="I20" s="16">
        <v>184502</v>
      </c>
      <c r="J20" s="16" t="s">
        <v>148</v>
      </c>
      <c r="K20" s="19">
        <v>0.33333333333333331</v>
      </c>
      <c r="L20" s="19">
        <v>0.375</v>
      </c>
      <c r="M20" s="19">
        <v>0.43055555555555558</v>
      </c>
      <c r="N20" s="10">
        <f t="shared" si="1"/>
        <v>0.28819444444444442</v>
      </c>
      <c r="O20" s="10">
        <f t="shared" si="0"/>
        <v>5.555555555555558E-2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1"/>
        <v>0</v>
      </c>
      <c r="O21" s="10">
        <f t="shared" si="0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0.19791666666666666</v>
      </c>
      <c r="F22" s="10">
        <v>0.22569444444444445</v>
      </c>
      <c r="G22" s="10">
        <v>0.33680555555555558</v>
      </c>
      <c r="H22" s="16"/>
      <c r="I22" s="16"/>
      <c r="J22" s="16"/>
      <c r="K22" s="5"/>
      <c r="L22" s="5"/>
      <c r="M22" s="5"/>
      <c r="N22" s="10">
        <f t="shared" si="1"/>
        <v>0.11111111111111113</v>
      </c>
      <c r="O22" s="10">
        <f t="shared" si="0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>
        <v>0</v>
      </c>
      <c r="O23" s="10">
        <f t="shared" si="0"/>
        <v>0</v>
      </c>
    </row>
    <row r="24" spans="1:15" ht="20.100000000000001" customHeight="1" x14ac:dyDescent="0.25">
      <c r="A24" s="14" t="s">
        <v>24</v>
      </c>
      <c r="B24" s="17" t="s">
        <v>149</v>
      </c>
      <c r="C24" s="17">
        <v>138</v>
      </c>
      <c r="D24" s="17" t="s">
        <v>150</v>
      </c>
      <c r="E24" s="10">
        <v>0.25694444444444442</v>
      </c>
      <c r="F24" s="10">
        <v>0.29166666666666669</v>
      </c>
      <c r="G24" s="10">
        <v>0.47916666666666669</v>
      </c>
      <c r="H24" s="16"/>
      <c r="I24" s="16"/>
      <c r="J24" s="16"/>
      <c r="K24" s="5"/>
      <c r="L24" s="5"/>
      <c r="M24" s="5"/>
      <c r="N24" s="10">
        <f t="shared" si="1"/>
        <v>0.1875</v>
      </c>
      <c r="O24" s="10">
        <f t="shared" si="0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8.6805555555555552E-2</v>
      </c>
      <c r="F25" s="10">
        <v>0.20833333333333334</v>
      </c>
      <c r="G25" s="10">
        <v>0.50347222222222221</v>
      </c>
      <c r="H25" s="16"/>
      <c r="I25" s="16"/>
      <c r="J25" s="16"/>
      <c r="K25" s="5"/>
      <c r="L25" s="5"/>
      <c r="M25" s="5"/>
      <c r="N25" s="10">
        <f t="shared" si="1"/>
        <v>0.29513888888888884</v>
      </c>
      <c r="O25" s="10">
        <f t="shared" si="0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0.25</v>
      </c>
      <c r="F26" s="10">
        <v>0.30208333333333331</v>
      </c>
      <c r="G26" s="10">
        <v>0.55555555555555558</v>
      </c>
      <c r="H26" s="16"/>
      <c r="I26" s="16"/>
      <c r="J26" s="16"/>
      <c r="K26" s="5"/>
      <c r="L26" s="5"/>
      <c r="M26" s="5"/>
      <c r="N26" s="10">
        <f t="shared" si="1"/>
        <v>0.25347222222222227</v>
      </c>
      <c r="O26" s="10">
        <f t="shared" si="0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0.21527777777777779</v>
      </c>
      <c r="F27" s="10">
        <v>0.24652777777777779</v>
      </c>
      <c r="G27" s="10">
        <v>0.31944444444444442</v>
      </c>
      <c r="H27" s="16"/>
      <c r="I27" s="16"/>
      <c r="J27" s="16"/>
      <c r="K27" s="5"/>
      <c r="L27" s="5"/>
      <c r="M27" s="5"/>
      <c r="N27" s="10">
        <f t="shared" si="1"/>
        <v>7.291666666666663E-2</v>
      </c>
      <c r="O27" s="10">
        <f t="shared" si="0"/>
        <v>0</v>
      </c>
    </row>
    <row r="28" spans="1:15" ht="20.100000000000001" customHeight="1" x14ac:dyDescent="0.25">
      <c r="A28" s="14" t="s">
        <v>28</v>
      </c>
      <c r="B28" s="17" t="s">
        <v>72</v>
      </c>
      <c r="C28" s="17">
        <v>180</v>
      </c>
      <c r="D28" s="17" t="s">
        <v>73</v>
      </c>
      <c r="E28" s="10">
        <v>0.2048611111111111</v>
      </c>
      <c r="F28" s="10">
        <v>0.24652777777777779</v>
      </c>
      <c r="G28" s="10">
        <v>0.4548611111111111</v>
      </c>
      <c r="H28" s="16"/>
      <c r="I28" s="16"/>
      <c r="J28" s="16"/>
      <c r="K28" s="5"/>
      <c r="L28" s="5"/>
      <c r="M28" s="5"/>
      <c r="N28" s="10">
        <f t="shared" si="1"/>
        <v>0.20833333333333331</v>
      </c>
      <c r="O28" s="10">
        <f t="shared" si="0"/>
        <v>0</v>
      </c>
    </row>
    <row r="29" spans="1:15" ht="20.100000000000001" customHeight="1" x14ac:dyDescent="0.25">
      <c r="A29" s="14" t="s">
        <v>29</v>
      </c>
      <c r="B29" s="17" t="s">
        <v>102</v>
      </c>
      <c r="C29" s="17">
        <v>184016</v>
      </c>
      <c r="D29" s="17" t="s">
        <v>103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>
        <v>0</v>
      </c>
      <c r="O29" s="10">
        <f t="shared" si="0"/>
        <v>0</v>
      </c>
    </row>
    <row r="30" spans="1:15" ht="20.100000000000001" customHeight="1" x14ac:dyDescent="0.25">
      <c r="A30" s="14" t="s">
        <v>30</v>
      </c>
      <c r="B30" s="17" t="s">
        <v>151</v>
      </c>
      <c r="C30" s="17">
        <v>294</v>
      </c>
      <c r="D30" s="17" t="s">
        <v>152</v>
      </c>
      <c r="E30" s="10">
        <v>0.24305555555555555</v>
      </c>
      <c r="F30" s="10">
        <v>0.29166666666666669</v>
      </c>
      <c r="G30" s="10">
        <v>0.40277777777777779</v>
      </c>
      <c r="H30" s="16"/>
      <c r="I30" s="16"/>
      <c r="J30" s="16"/>
      <c r="K30" s="5"/>
      <c r="L30" s="5"/>
      <c r="M30" s="5"/>
      <c r="N30" s="10">
        <f t="shared" si="1"/>
        <v>0.1111111111111111</v>
      </c>
      <c r="O30" s="10">
        <f t="shared" si="0"/>
        <v>0</v>
      </c>
    </row>
    <row r="31" spans="1:15" ht="20.100000000000001" customHeight="1" x14ac:dyDescent="0.25">
      <c r="A31" s="14" t="s">
        <v>31</v>
      </c>
      <c r="B31" s="17" t="s">
        <v>106</v>
      </c>
      <c r="C31" s="17">
        <v>184328</v>
      </c>
      <c r="D31" s="17" t="s">
        <v>107</v>
      </c>
      <c r="E31" s="10" t="s">
        <v>139</v>
      </c>
      <c r="F31" s="10" t="s">
        <v>140</v>
      </c>
      <c r="G31" s="10"/>
      <c r="H31" s="16" t="s">
        <v>153</v>
      </c>
      <c r="I31" s="16">
        <v>732</v>
      </c>
      <c r="J31" s="16" t="s">
        <v>154</v>
      </c>
      <c r="K31" s="19">
        <v>0.36458333333333331</v>
      </c>
      <c r="L31" s="19">
        <v>0.4201388888888889</v>
      </c>
      <c r="M31" s="19">
        <v>0.44444444444444442</v>
      </c>
      <c r="N31" s="10">
        <v>0</v>
      </c>
      <c r="O31" s="10">
        <f t="shared" si="0"/>
        <v>2.4305555555555525E-2</v>
      </c>
    </row>
    <row r="32" spans="1:15" ht="20.100000000000001" customHeight="1" x14ac:dyDescent="0.25">
      <c r="A32" s="14" t="s">
        <v>32</v>
      </c>
      <c r="B32" s="17" t="s">
        <v>104</v>
      </c>
      <c r="C32" s="17">
        <v>811</v>
      </c>
      <c r="D32" s="17" t="s">
        <v>105</v>
      </c>
      <c r="E32" s="10">
        <v>0.19791666666666666</v>
      </c>
      <c r="F32" s="10">
        <v>0.24305555555555555</v>
      </c>
      <c r="G32" s="10">
        <v>0.40277777777777779</v>
      </c>
      <c r="H32" s="16"/>
      <c r="I32" s="16"/>
      <c r="J32" s="16"/>
      <c r="K32" s="5"/>
      <c r="L32" s="5"/>
      <c r="M32" s="5"/>
      <c r="N32" s="10">
        <f t="shared" si="1"/>
        <v>0.15972222222222224</v>
      </c>
      <c r="O32" s="10">
        <f t="shared" si="0"/>
        <v>0</v>
      </c>
    </row>
    <row r="33" spans="1:15" ht="20.100000000000001" customHeight="1" x14ac:dyDescent="0.25">
      <c r="A33" s="14" t="s">
        <v>33</v>
      </c>
      <c r="B33" s="17" t="s">
        <v>96</v>
      </c>
      <c r="C33" s="17">
        <v>612</v>
      </c>
      <c r="D33" s="17" t="s">
        <v>97</v>
      </c>
      <c r="E33" s="10">
        <v>0.23958333333333334</v>
      </c>
      <c r="F33" s="10">
        <v>0.26041666666666669</v>
      </c>
      <c r="G33" s="10">
        <v>0.28819444444444442</v>
      </c>
      <c r="H33" s="16"/>
      <c r="I33" s="16"/>
      <c r="J33" s="16"/>
      <c r="K33" s="5"/>
      <c r="L33" s="5"/>
      <c r="M33" s="5"/>
      <c r="N33" s="10">
        <f t="shared" si="1"/>
        <v>2.7777777777777735E-2</v>
      </c>
      <c r="O33" s="10">
        <f t="shared" si="0"/>
        <v>0</v>
      </c>
    </row>
    <row r="34" spans="1:15" ht="20.100000000000001" customHeight="1" x14ac:dyDescent="0.25">
      <c r="A34" s="14" t="s">
        <v>34</v>
      </c>
      <c r="B34" s="17" t="s">
        <v>155</v>
      </c>
      <c r="C34" s="17">
        <v>353</v>
      </c>
      <c r="D34" s="17" t="s">
        <v>156</v>
      </c>
      <c r="E34" s="10">
        <v>0.22916666666666666</v>
      </c>
      <c r="F34" s="10">
        <v>0.25</v>
      </c>
      <c r="G34" s="10">
        <v>0.46527777777777779</v>
      </c>
      <c r="H34" s="16"/>
      <c r="I34" s="16"/>
      <c r="J34" s="16"/>
      <c r="K34" s="5"/>
      <c r="L34" s="5"/>
      <c r="M34" s="5"/>
      <c r="N34" s="10">
        <f t="shared" si="1"/>
        <v>0.21527777777777779</v>
      </c>
      <c r="O34" s="10">
        <f t="shared" si="0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8.6805555555555552E-2</v>
      </c>
      <c r="F35" s="10">
        <v>0.15625</v>
      </c>
      <c r="G35" s="10">
        <v>0.29166666666666669</v>
      </c>
      <c r="H35" s="16"/>
      <c r="I35" s="16"/>
      <c r="J35" s="16"/>
      <c r="K35" s="5"/>
      <c r="L35" s="5"/>
      <c r="M35" s="5"/>
      <c r="N35" s="10">
        <f t="shared" si="1"/>
        <v>0.13541666666666669</v>
      </c>
      <c r="O35" s="10">
        <f t="shared" si="0"/>
        <v>0</v>
      </c>
    </row>
    <row r="36" spans="1:15" ht="20.100000000000001" customHeight="1" x14ac:dyDescent="0.25">
      <c r="A36" s="14" t="s">
        <v>36</v>
      </c>
      <c r="B36" s="17" t="s">
        <v>130</v>
      </c>
      <c r="C36" s="17">
        <v>353</v>
      </c>
      <c r="D36" s="17" t="s">
        <v>131</v>
      </c>
      <c r="E36" s="10">
        <v>0.27430555555555558</v>
      </c>
      <c r="F36" s="10">
        <v>0.31597222222222221</v>
      </c>
      <c r="G36" s="10">
        <v>0.51041666666666663</v>
      </c>
      <c r="H36" s="16"/>
      <c r="I36" s="16"/>
      <c r="J36" s="16"/>
      <c r="K36" s="5"/>
      <c r="L36" s="5"/>
      <c r="M36" s="5"/>
      <c r="N36" s="10">
        <f t="shared" si="1"/>
        <v>0.19444444444444442</v>
      </c>
      <c r="O36" s="10">
        <f t="shared" si="0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>
        <v>0</v>
      </c>
      <c r="O37" s="10">
        <f t="shared" si="0"/>
        <v>0</v>
      </c>
    </row>
    <row r="38" spans="1:15" ht="20.100000000000001" customHeight="1" x14ac:dyDescent="0.25">
      <c r="A38" s="14" t="s">
        <v>38</v>
      </c>
      <c r="B38" s="17" t="s">
        <v>78</v>
      </c>
      <c r="C38" s="17">
        <v>792</v>
      </c>
      <c r="D38" s="17" t="s">
        <v>79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>
        <v>0</v>
      </c>
      <c r="O38" s="10">
        <f t="shared" si="0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 t="s">
        <v>166</v>
      </c>
      <c r="F39" s="10" t="s">
        <v>167</v>
      </c>
      <c r="G39" s="10" t="s">
        <v>168</v>
      </c>
      <c r="H39" s="16"/>
      <c r="I39" s="16"/>
      <c r="J39" s="16"/>
      <c r="K39" s="5"/>
      <c r="L39" s="5"/>
      <c r="M39" s="5"/>
      <c r="N39" s="10">
        <v>0</v>
      </c>
      <c r="O39" s="10">
        <f t="shared" si="0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 t="s">
        <v>158</v>
      </c>
      <c r="I40" s="16">
        <v>184334</v>
      </c>
      <c r="J40" s="16" t="s">
        <v>159</v>
      </c>
      <c r="K40" s="19">
        <v>0.3263888888888889</v>
      </c>
      <c r="L40" s="19">
        <v>0.4201388888888889</v>
      </c>
      <c r="M40" s="19">
        <v>0.44097222222222221</v>
      </c>
      <c r="N40" s="10">
        <v>0</v>
      </c>
      <c r="O40" s="10">
        <f t="shared" si="0"/>
        <v>2.0833333333333315E-2</v>
      </c>
    </row>
    <row r="41" spans="1:15" ht="20.100000000000001" customHeight="1" x14ac:dyDescent="0.25">
      <c r="A41" s="14" t="s">
        <v>41</v>
      </c>
      <c r="B41" s="17" t="s">
        <v>160</v>
      </c>
      <c r="C41" s="17">
        <v>294</v>
      </c>
      <c r="D41" s="17" t="s">
        <v>161</v>
      </c>
      <c r="E41" s="10">
        <v>0.28819444444444442</v>
      </c>
      <c r="F41" s="10">
        <v>0.35416666666666669</v>
      </c>
      <c r="G41" s="10">
        <v>0.50347222222222221</v>
      </c>
      <c r="H41" s="16" t="s">
        <v>162</v>
      </c>
      <c r="I41" s="16">
        <v>353</v>
      </c>
      <c r="J41" s="16" t="s">
        <v>163</v>
      </c>
      <c r="K41" s="19">
        <v>0.2361111111111111</v>
      </c>
      <c r="L41" s="19">
        <v>0.30902777777777779</v>
      </c>
      <c r="M41" s="19">
        <v>0.34722222222222221</v>
      </c>
      <c r="N41" s="10">
        <f t="shared" si="1"/>
        <v>0.14930555555555552</v>
      </c>
      <c r="O41" s="10">
        <f t="shared" si="0"/>
        <v>3.819444444444442E-2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>
        <v>0</v>
      </c>
      <c r="O42" s="10">
        <f t="shared" si="0"/>
        <v>0</v>
      </c>
    </row>
    <row r="43" spans="1:15" ht="20.100000000000001" customHeight="1" x14ac:dyDescent="0.25">
      <c r="A43" s="14" t="s">
        <v>43</v>
      </c>
      <c r="B43" s="17" t="s">
        <v>76</v>
      </c>
      <c r="C43" s="17">
        <v>795</v>
      </c>
      <c r="D43" s="17" t="s">
        <v>77</v>
      </c>
      <c r="E43" s="10">
        <v>0.27430555555555558</v>
      </c>
      <c r="F43" s="10">
        <v>0.30902777777777779</v>
      </c>
      <c r="G43" s="10">
        <v>0.4826388888888889</v>
      </c>
      <c r="H43" s="16"/>
      <c r="I43" s="16"/>
      <c r="J43" s="16"/>
      <c r="K43" s="5"/>
      <c r="L43" s="5"/>
      <c r="M43" s="5"/>
      <c r="N43" s="10">
        <f t="shared" si="1"/>
        <v>0.1736111111111111</v>
      </c>
      <c r="O43" s="10">
        <f t="shared" si="0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0.21875</v>
      </c>
      <c r="F44" s="10">
        <v>0.25</v>
      </c>
      <c r="G44" s="10">
        <v>0.5</v>
      </c>
      <c r="H44" s="16"/>
      <c r="I44" s="16"/>
      <c r="J44" s="16"/>
      <c r="K44" s="5"/>
      <c r="L44" s="5"/>
      <c r="M44" s="5"/>
      <c r="N44" s="10">
        <f t="shared" si="1"/>
        <v>0.25</v>
      </c>
      <c r="O44" s="10">
        <f t="shared" si="0"/>
        <v>0</v>
      </c>
    </row>
    <row r="45" spans="1:15" ht="20.100000000000001" customHeight="1" x14ac:dyDescent="0.25">
      <c r="A45" s="14" t="s">
        <v>45</v>
      </c>
      <c r="B45" s="17" t="s">
        <v>116</v>
      </c>
      <c r="C45" s="17">
        <v>104</v>
      </c>
      <c r="D45" s="17" t="s">
        <v>117</v>
      </c>
      <c r="E45" s="10">
        <v>0.22916666666666666</v>
      </c>
      <c r="F45" s="10">
        <v>0.35416666666666669</v>
      </c>
      <c r="G45" s="10">
        <v>0.51041666666666663</v>
      </c>
      <c r="H45" s="16"/>
      <c r="I45" s="16"/>
      <c r="J45" s="16"/>
      <c r="K45" s="5"/>
      <c r="L45" s="5"/>
      <c r="M45" s="5"/>
      <c r="N45" s="10">
        <f t="shared" si="1"/>
        <v>0.15624999999999994</v>
      </c>
      <c r="O45" s="10">
        <f t="shared" si="0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A0C6-B845-4837-967A-B261C88754FF}">
  <dimension ref="A1:O49"/>
  <sheetViews>
    <sheetView showGridLines="0" zoomScale="70" zoomScaleNormal="70" workbookViewId="0">
      <pane ySplit="3" topLeftCell="A25" activePane="bottomLeft" state="frozen"/>
      <selection pane="bottomLeft" activeCell="E51" sqref="E51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0.22916666666666666</v>
      </c>
      <c r="F5" s="10">
        <v>0.28125</v>
      </c>
      <c r="G5" s="10">
        <v>0.40277777777777779</v>
      </c>
      <c r="H5" s="16"/>
      <c r="I5" s="16"/>
      <c r="J5" s="16"/>
      <c r="K5" s="8"/>
      <c r="L5" s="8"/>
      <c r="M5" s="9"/>
      <c r="N5" s="10">
        <f>MOD(G5-F5, 1)</f>
        <v>0.12152777777777779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169</v>
      </c>
      <c r="C6" s="17">
        <v>294</v>
      </c>
      <c r="D6" s="17" t="s">
        <v>141</v>
      </c>
      <c r="E6" s="10" t="s">
        <v>139</v>
      </c>
      <c r="F6" s="10" t="s">
        <v>191</v>
      </c>
      <c r="G6" s="10"/>
      <c r="H6" s="16"/>
      <c r="I6" s="16"/>
      <c r="J6" s="16"/>
      <c r="K6" s="5"/>
      <c r="L6" s="5"/>
      <c r="M6" s="5"/>
      <c r="N6" s="10">
        <v>0</v>
      </c>
      <c r="O6" s="10">
        <f t="shared" ref="O6:O45" si="0">MOD(M6-L6, 1)</f>
        <v>0</v>
      </c>
    </row>
    <row r="7" spans="1:15" ht="20.100000000000001" customHeight="1" x14ac:dyDescent="0.25">
      <c r="A7" s="14" t="s">
        <v>7</v>
      </c>
      <c r="B7" s="17" t="s">
        <v>170</v>
      </c>
      <c r="C7" s="17">
        <v>353</v>
      </c>
      <c r="D7" s="17" t="s">
        <v>171</v>
      </c>
      <c r="E7" s="10">
        <v>0.15972222222222221</v>
      </c>
      <c r="F7" s="10">
        <v>0.25347222222222221</v>
      </c>
      <c r="G7" s="10">
        <v>0.50694444444444442</v>
      </c>
      <c r="H7" s="16"/>
      <c r="I7" s="16"/>
      <c r="J7" s="16"/>
      <c r="K7" s="5"/>
      <c r="L7" s="5"/>
      <c r="M7" s="5"/>
      <c r="N7" s="10">
        <f t="shared" ref="N7:N45" si="1">MOD(G7-F7, 1)</f>
        <v>0.25347222222222221</v>
      </c>
      <c r="O7" s="10">
        <f t="shared" si="0"/>
        <v>0</v>
      </c>
    </row>
    <row r="8" spans="1:15" ht="20.100000000000001" customHeight="1" x14ac:dyDescent="0.25">
      <c r="A8" s="14" t="s">
        <v>8</v>
      </c>
      <c r="B8" s="17" t="s">
        <v>172</v>
      </c>
      <c r="C8" s="17">
        <v>674</v>
      </c>
      <c r="D8" s="17" t="s">
        <v>173</v>
      </c>
      <c r="E8" s="10">
        <v>0.2638888888888889</v>
      </c>
      <c r="F8" s="10">
        <v>0.30208333333333331</v>
      </c>
      <c r="G8" s="10">
        <v>0.47222222222222221</v>
      </c>
      <c r="H8" s="16"/>
      <c r="I8" s="16"/>
      <c r="J8" s="16"/>
      <c r="K8" s="5"/>
      <c r="L8" s="5"/>
      <c r="M8" s="5"/>
      <c r="N8" s="10">
        <f t="shared" si="1"/>
        <v>0.1701388888888889</v>
      </c>
      <c r="O8" s="10">
        <f t="shared" si="0"/>
        <v>0</v>
      </c>
    </row>
    <row r="9" spans="1:15" ht="20.100000000000001" customHeight="1" x14ac:dyDescent="0.25">
      <c r="A9" s="14" t="s">
        <v>9</v>
      </c>
      <c r="B9" s="17" t="s">
        <v>60</v>
      </c>
      <c r="C9" s="17">
        <v>16</v>
      </c>
      <c r="D9" s="17" t="s">
        <v>61</v>
      </c>
      <c r="E9" s="10">
        <v>0.2986111111111111</v>
      </c>
      <c r="F9" s="10">
        <v>0.3263888888888889</v>
      </c>
      <c r="G9" s="10">
        <v>0.33680555555555558</v>
      </c>
      <c r="H9" s="16"/>
      <c r="I9" s="16"/>
      <c r="J9" s="16"/>
      <c r="K9" s="5"/>
      <c r="L9" s="5"/>
      <c r="M9" s="5"/>
      <c r="N9" s="10">
        <f t="shared" si="1"/>
        <v>1.0416666666666685E-2</v>
      </c>
      <c r="O9" s="10">
        <f t="shared" si="0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0.21180555555555555</v>
      </c>
      <c r="F10" s="10">
        <v>0.25</v>
      </c>
      <c r="G10" s="10">
        <v>0.375</v>
      </c>
      <c r="H10" s="16"/>
      <c r="I10" s="16"/>
      <c r="J10" s="16"/>
      <c r="K10" s="5"/>
      <c r="L10" s="5"/>
      <c r="M10" s="5"/>
      <c r="N10" s="10">
        <f t="shared" si="1"/>
        <v>0.125</v>
      </c>
      <c r="O10" s="10">
        <f t="shared" si="0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191</v>
      </c>
      <c r="G11" s="10"/>
      <c r="H11" s="16"/>
      <c r="I11" s="16"/>
      <c r="J11" s="16"/>
      <c r="K11" s="5"/>
      <c r="L11" s="5"/>
      <c r="M11" s="5"/>
      <c r="N11" s="10">
        <v>0</v>
      </c>
      <c r="O11" s="10">
        <f t="shared" si="0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0.21527777777777779</v>
      </c>
      <c r="F12" s="10">
        <v>0.23958333333333334</v>
      </c>
      <c r="G12" s="10">
        <v>0.51736111111111116</v>
      </c>
      <c r="H12" s="16"/>
      <c r="I12" s="16"/>
      <c r="J12" s="16"/>
      <c r="K12" s="5"/>
      <c r="L12" s="5"/>
      <c r="M12" s="5"/>
      <c r="N12" s="10">
        <f t="shared" si="1"/>
        <v>0.27777777777777779</v>
      </c>
      <c r="O12" s="10">
        <f t="shared" si="0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0.13194444444444445</v>
      </c>
      <c r="F13" s="10">
        <v>0.26041666666666669</v>
      </c>
      <c r="G13" s="10">
        <v>0.47569444444444442</v>
      </c>
      <c r="H13" s="16"/>
      <c r="I13" s="16"/>
      <c r="J13" s="16"/>
      <c r="K13" s="5"/>
      <c r="L13" s="5"/>
      <c r="M13" s="5"/>
      <c r="N13" s="10">
        <f t="shared" si="1"/>
        <v>0.21527777777777773</v>
      </c>
      <c r="O13" s="10">
        <f t="shared" si="0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0.20833333333333334</v>
      </c>
      <c r="G14" s="10">
        <v>0.45833333333333331</v>
      </c>
      <c r="H14" s="16"/>
      <c r="I14" s="16"/>
      <c r="J14" s="16"/>
      <c r="K14" s="5"/>
      <c r="L14" s="5"/>
      <c r="M14" s="5"/>
      <c r="N14" s="10">
        <f t="shared" si="1"/>
        <v>0.24999999999999997</v>
      </c>
      <c r="O14" s="10">
        <f t="shared" si="0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2.4305555555555556E-2</v>
      </c>
      <c r="F15" s="10">
        <v>0.26041666666666669</v>
      </c>
      <c r="G15" s="10">
        <v>0.39583333333333331</v>
      </c>
      <c r="H15" s="16"/>
      <c r="I15" s="16"/>
      <c r="J15" s="16"/>
      <c r="K15" s="5"/>
      <c r="L15" s="5"/>
      <c r="M15" s="5"/>
      <c r="N15" s="10">
        <f t="shared" si="1"/>
        <v>0.13541666666666663</v>
      </c>
      <c r="O15" s="10">
        <f t="shared" si="0"/>
        <v>0</v>
      </c>
    </row>
    <row r="16" spans="1:15" ht="20.100000000000001" customHeight="1" x14ac:dyDescent="0.25">
      <c r="A16" s="14" t="s">
        <v>16</v>
      </c>
      <c r="B16" s="17" t="s">
        <v>130</v>
      </c>
      <c r="C16" s="17">
        <v>353</v>
      </c>
      <c r="D16" s="17" t="s">
        <v>131</v>
      </c>
      <c r="E16" s="10">
        <v>0.2638888888888889</v>
      </c>
      <c r="F16" s="10">
        <v>0.27777777777777779</v>
      </c>
      <c r="G16" s="10">
        <v>0.54861111111111116</v>
      </c>
      <c r="H16" s="16"/>
      <c r="I16" s="16"/>
      <c r="J16" s="16"/>
      <c r="K16" s="5"/>
      <c r="L16" s="5"/>
      <c r="M16" s="5"/>
      <c r="N16" s="10">
        <f t="shared" si="1"/>
        <v>0.27083333333333337</v>
      </c>
      <c r="O16" s="10">
        <f t="shared" si="0"/>
        <v>0</v>
      </c>
    </row>
    <row r="17" spans="1:15" ht="20.100000000000001" customHeight="1" x14ac:dyDescent="0.25">
      <c r="A17" s="14" t="s">
        <v>17</v>
      </c>
      <c r="B17" s="17" t="s">
        <v>124</v>
      </c>
      <c r="C17" s="17">
        <v>184016</v>
      </c>
      <c r="D17" s="17" t="s">
        <v>175</v>
      </c>
      <c r="E17" s="10" t="s">
        <v>139</v>
      </c>
      <c r="F17" s="10" t="s">
        <v>191</v>
      </c>
      <c r="G17" s="10"/>
      <c r="H17" s="16"/>
      <c r="I17" s="16"/>
      <c r="J17" s="16"/>
      <c r="K17" s="5"/>
      <c r="L17" s="5"/>
      <c r="M17" s="5"/>
      <c r="N17" s="10">
        <v>0</v>
      </c>
      <c r="O17" s="10">
        <f t="shared" si="0"/>
        <v>0</v>
      </c>
    </row>
    <row r="18" spans="1:15" ht="20.100000000000001" customHeight="1" x14ac:dyDescent="0.25">
      <c r="A18" s="14" t="s">
        <v>18</v>
      </c>
      <c r="B18" s="17" t="s">
        <v>122</v>
      </c>
      <c r="C18" s="17">
        <v>353</v>
      </c>
      <c r="D18" s="17" t="s">
        <v>123</v>
      </c>
      <c r="E18" s="10" t="s">
        <v>166</v>
      </c>
      <c r="F18" s="10" t="s">
        <v>192</v>
      </c>
      <c r="G18" s="10" t="s">
        <v>168</v>
      </c>
      <c r="H18" s="16"/>
      <c r="I18" s="16"/>
      <c r="J18" s="16"/>
      <c r="K18" s="5"/>
      <c r="L18" s="5"/>
      <c r="M18" s="5"/>
      <c r="N18" s="10">
        <v>0</v>
      </c>
      <c r="O18" s="10">
        <f t="shared" si="0"/>
        <v>0</v>
      </c>
    </row>
    <row r="19" spans="1:15" ht="20.100000000000001" customHeight="1" x14ac:dyDescent="0.25">
      <c r="A19" s="14" t="s">
        <v>19</v>
      </c>
      <c r="B19" s="17" t="s">
        <v>110</v>
      </c>
      <c r="C19" s="17">
        <v>294</v>
      </c>
      <c r="D19" s="17" t="s">
        <v>81</v>
      </c>
      <c r="E19" s="10">
        <v>0.24305555555555555</v>
      </c>
      <c r="F19" s="10">
        <v>0.24652777777777779</v>
      </c>
      <c r="G19" s="10">
        <v>0.31597222222222221</v>
      </c>
      <c r="H19" s="16"/>
      <c r="I19" s="16"/>
      <c r="J19" s="16"/>
      <c r="K19" s="5"/>
      <c r="L19" s="5"/>
      <c r="M19" s="5"/>
      <c r="N19" s="10">
        <f t="shared" si="1"/>
        <v>6.944444444444442E-2</v>
      </c>
      <c r="O19" s="10">
        <f t="shared" si="0"/>
        <v>0</v>
      </c>
    </row>
    <row r="20" spans="1:15" ht="20.100000000000001" customHeight="1" x14ac:dyDescent="0.25">
      <c r="A20" s="14" t="s">
        <v>20</v>
      </c>
      <c r="B20" s="17" t="s">
        <v>176</v>
      </c>
      <c r="C20" s="17">
        <v>294</v>
      </c>
      <c r="D20" s="17" t="s">
        <v>177</v>
      </c>
      <c r="E20" s="10">
        <v>0.2361111111111111</v>
      </c>
      <c r="F20" s="10">
        <v>0.2638888888888889</v>
      </c>
      <c r="G20" s="10">
        <v>0.38541666666666669</v>
      </c>
      <c r="H20" s="16" t="s">
        <v>178</v>
      </c>
      <c r="I20" s="16">
        <v>527</v>
      </c>
      <c r="J20" s="16" t="s">
        <v>179</v>
      </c>
      <c r="K20" s="19">
        <v>0.45833333333333331</v>
      </c>
      <c r="L20" s="19">
        <v>0.51041666666666663</v>
      </c>
      <c r="M20" s="19">
        <v>0.53472222222222221</v>
      </c>
      <c r="N20" s="10">
        <f t="shared" si="1"/>
        <v>0.12152777777777779</v>
      </c>
      <c r="O20" s="10">
        <f t="shared" si="0"/>
        <v>2.430555555555558E-2</v>
      </c>
    </row>
    <row r="21" spans="1:15" ht="20.100000000000001" customHeight="1" x14ac:dyDescent="0.25">
      <c r="A21" s="14" t="s">
        <v>21</v>
      </c>
      <c r="B21" s="17" t="s">
        <v>180</v>
      </c>
      <c r="C21" s="17">
        <v>184357</v>
      </c>
      <c r="D21" s="17" t="s">
        <v>181</v>
      </c>
      <c r="E21" s="10" t="s">
        <v>166</v>
      </c>
      <c r="F21" s="10" t="s">
        <v>192</v>
      </c>
      <c r="G21" s="10" t="s">
        <v>168</v>
      </c>
      <c r="H21" s="16"/>
      <c r="I21" s="16"/>
      <c r="J21" s="16"/>
      <c r="K21" s="5"/>
      <c r="L21" s="5"/>
      <c r="M21" s="6"/>
      <c r="N21" s="10">
        <v>0</v>
      </c>
      <c r="O21" s="10">
        <f t="shared" si="0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0.19097222222222221</v>
      </c>
      <c r="F22" s="10">
        <v>0.21180555555555555</v>
      </c>
      <c r="G22" s="10">
        <v>0.33333333333333331</v>
      </c>
      <c r="H22" s="16"/>
      <c r="I22" s="16"/>
      <c r="J22" s="16"/>
      <c r="K22" s="5"/>
      <c r="L22" s="5"/>
      <c r="M22" s="5"/>
      <c r="N22" s="10">
        <f t="shared" si="1"/>
        <v>0.12152777777777776</v>
      </c>
      <c r="O22" s="10">
        <f t="shared" si="0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191</v>
      </c>
      <c r="G23" s="10"/>
      <c r="H23" s="16"/>
      <c r="I23" s="16"/>
      <c r="J23" s="16"/>
      <c r="K23" s="5"/>
      <c r="L23" s="5"/>
      <c r="M23" s="5"/>
      <c r="N23" s="10">
        <v>0</v>
      </c>
      <c r="O23" s="10">
        <f t="shared" si="0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0.20833333333333334</v>
      </c>
      <c r="F24" s="10">
        <v>0.27777777777777779</v>
      </c>
      <c r="G24" s="10">
        <v>0.54861111111111116</v>
      </c>
      <c r="H24" s="16"/>
      <c r="I24" s="16"/>
      <c r="J24" s="16"/>
      <c r="K24" s="5"/>
      <c r="L24" s="5"/>
      <c r="M24" s="5"/>
      <c r="N24" s="10">
        <f t="shared" si="1"/>
        <v>0.27083333333333337</v>
      </c>
      <c r="O24" s="10">
        <f t="shared" si="0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2.4305555555555556E-2</v>
      </c>
      <c r="F25" s="10">
        <v>0.16666666666666666</v>
      </c>
      <c r="G25" s="10">
        <v>0.47222222222222221</v>
      </c>
      <c r="H25" s="16" t="s">
        <v>53</v>
      </c>
      <c r="I25" s="16">
        <v>15</v>
      </c>
      <c r="J25" s="16" t="s">
        <v>54</v>
      </c>
      <c r="K25" s="19">
        <v>3.4722222222222224E-2</v>
      </c>
      <c r="L25" s="19">
        <v>0.16666666666666666</v>
      </c>
      <c r="M25" s="19">
        <v>0.3125</v>
      </c>
      <c r="N25" s="10">
        <f t="shared" si="1"/>
        <v>0.30555555555555558</v>
      </c>
      <c r="O25" s="10">
        <f t="shared" si="0"/>
        <v>0.14583333333333334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0.24305555555555555</v>
      </c>
      <c r="F26" s="10">
        <v>0.28819444444444442</v>
      </c>
      <c r="G26" s="10">
        <v>0.44097222222222221</v>
      </c>
      <c r="H26" s="16"/>
      <c r="I26" s="16"/>
      <c r="J26" s="16"/>
      <c r="K26" s="5"/>
      <c r="L26" s="5"/>
      <c r="M26" s="5"/>
      <c r="N26" s="10">
        <f t="shared" si="1"/>
        <v>0.15277777777777779</v>
      </c>
      <c r="O26" s="10">
        <f t="shared" si="0"/>
        <v>0</v>
      </c>
    </row>
    <row r="27" spans="1:15" ht="20.100000000000001" customHeight="1" x14ac:dyDescent="0.25">
      <c r="A27" s="14" t="s">
        <v>27</v>
      </c>
      <c r="B27" s="17" t="s">
        <v>182</v>
      </c>
      <c r="C27" s="17">
        <v>807</v>
      </c>
      <c r="D27" s="17" t="s">
        <v>183</v>
      </c>
      <c r="E27" s="10">
        <v>0.25694444444444442</v>
      </c>
      <c r="F27" s="10">
        <v>0.31944444444444442</v>
      </c>
      <c r="G27" s="10">
        <v>0.3611111111111111</v>
      </c>
      <c r="H27" s="16"/>
      <c r="I27" s="16"/>
      <c r="J27" s="16"/>
      <c r="K27" s="5"/>
      <c r="L27" s="5"/>
      <c r="M27" s="5"/>
      <c r="N27" s="10">
        <f t="shared" si="1"/>
        <v>4.1666666666666685E-2</v>
      </c>
      <c r="O27" s="10">
        <f t="shared" si="0"/>
        <v>0</v>
      </c>
    </row>
    <row r="28" spans="1:15" ht="20.100000000000001" customHeight="1" x14ac:dyDescent="0.25">
      <c r="A28" s="14" t="s">
        <v>28</v>
      </c>
      <c r="B28" s="17" t="s">
        <v>120</v>
      </c>
      <c r="C28" s="17">
        <v>184016</v>
      </c>
      <c r="D28" s="17" t="s">
        <v>121</v>
      </c>
      <c r="E28" s="10" t="s">
        <v>139</v>
      </c>
      <c r="F28" s="10" t="s">
        <v>191</v>
      </c>
      <c r="G28" s="10"/>
      <c r="H28" s="16"/>
      <c r="I28" s="16"/>
      <c r="J28" s="16"/>
      <c r="K28" s="5"/>
      <c r="L28" s="5"/>
      <c r="M28" s="5"/>
      <c r="N28" s="10">
        <v>0</v>
      </c>
      <c r="O28" s="10">
        <f t="shared" si="0"/>
        <v>0</v>
      </c>
    </row>
    <row r="29" spans="1:15" ht="20.100000000000001" customHeight="1" x14ac:dyDescent="0.25">
      <c r="A29" s="14" t="s">
        <v>29</v>
      </c>
      <c r="B29" s="17" t="s">
        <v>155</v>
      </c>
      <c r="C29" s="17">
        <v>353</v>
      </c>
      <c r="D29" s="17" t="s">
        <v>156</v>
      </c>
      <c r="E29" s="10">
        <v>0.2326388888888889</v>
      </c>
      <c r="F29" s="10">
        <v>0.25</v>
      </c>
      <c r="G29" s="10">
        <v>0.52083333333333337</v>
      </c>
      <c r="H29" s="16"/>
      <c r="I29" s="16"/>
      <c r="J29" s="16"/>
      <c r="K29" s="5"/>
      <c r="L29" s="5"/>
      <c r="M29" s="5"/>
      <c r="N29" s="10">
        <f t="shared" si="1"/>
        <v>0.27083333333333337</v>
      </c>
      <c r="O29" s="10">
        <f t="shared" si="0"/>
        <v>0</v>
      </c>
    </row>
    <row r="30" spans="1:15" ht="20.100000000000001" customHeight="1" x14ac:dyDescent="0.25">
      <c r="A30" s="14" t="s">
        <v>30</v>
      </c>
      <c r="B30" s="17" t="s">
        <v>96</v>
      </c>
      <c r="C30" s="17">
        <v>612</v>
      </c>
      <c r="D30" s="17" t="s">
        <v>97</v>
      </c>
      <c r="E30" s="10">
        <v>0.25</v>
      </c>
      <c r="F30" s="10">
        <v>0.2673611111111111</v>
      </c>
      <c r="G30" s="10">
        <v>0.39583333333333331</v>
      </c>
      <c r="H30" s="16"/>
      <c r="I30" s="16"/>
      <c r="J30" s="16"/>
      <c r="K30" s="5"/>
      <c r="L30" s="5"/>
      <c r="M30" s="5"/>
      <c r="N30" s="10">
        <f t="shared" si="1"/>
        <v>0.12847222222222221</v>
      </c>
      <c r="O30" s="10">
        <f t="shared" si="0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0.19791666666666666</v>
      </c>
      <c r="F31" s="10">
        <v>0.22569444444444445</v>
      </c>
      <c r="G31" s="10">
        <v>0.47916666666666669</v>
      </c>
      <c r="H31" s="16"/>
      <c r="I31" s="16"/>
      <c r="J31" s="16"/>
      <c r="K31" s="5"/>
      <c r="L31" s="5"/>
      <c r="M31" s="5"/>
      <c r="N31" s="10">
        <f t="shared" si="1"/>
        <v>0.25347222222222221</v>
      </c>
      <c r="O31" s="10">
        <f t="shared" si="0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191</v>
      </c>
      <c r="G32" s="10"/>
      <c r="H32" s="16" t="s">
        <v>185</v>
      </c>
      <c r="I32" s="16">
        <v>732</v>
      </c>
      <c r="J32" s="16" t="s">
        <v>154</v>
      </c>
      <c r="K32" s="10" t="s">
        <v>166</v>
      </c>
      <c r="L32" s="10" t="s">
        <v>192</v>
      </c>
      <c r="M32" s="10" t="s">
        <v>168</v>
      </c>
      <c r="N32" s="10">
        <v>0</v>
      </c>
      <c r="O32" s="10">
        <v>0</v>
      </c>
    </row>
    <row r="33" spans="1:15" ht="20.100000000000001" customHeight="1" x14ac:dyDescent="0.25">
      <c r="A33" s="14" t="s">
        <v>33</v>
      </c>
      <c r="B33" s="17" t="s">
        <v>186</v>
      </c>
      <c r="C33" s="17">
        <v>530</v>
      </c>
      <c r="D33" s="17" t="s">
        <v>187</v>
      </c>
      <c r="E33" s="10">
        <v>0.28125</v>
      </c>
      <c r="F33" s="10">
        <v>0.2986111111111111</v>
      </c>
      <c r="G33" s="10">
        <v>0.34722222222222221</v>
      </c>
      <c r="H33" s="16"/>
      <c r="I33" s="16"/>
      <c r="J33" s="16"/>
      <c r="K33" s="5"/>
      <c r="L33" s="5"/>
      <c r="M33" s="5"/>
      <c r="N33" s="10">
        <f t="shared" si="1"/>
        <v>4.8611111111111105E-2</v>
      </c>
      <c r="O33" s="10">
        <f t="shared" si="0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191</v>
      </c>
      <c r="G34" s="10"/>
      <c r="H34" s="16"/>
      <c r="I34" s="16"/>
      <c r="J34" s="16"/>
      <c r="K34" s="5"/>
      <c r="L34" s="5"/>
      <c r="M34" s="5"/>
      <c r="N34" s="10">
        <v>0</v>
      </c>
      <c r="O34" s="10">
        <f t="shared" si="0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2.7777777777777776E-2</v>
      </c>
      <c r="F35" s="10">
        <v>0.1076388888888889</v>
      </c>
      <c r="G35" s="10">
        <v>0.31944444444444442</v>
      </c>
      <c r="H35" s="16"/>
      <c r="I35" s="16"/>
      <c r="J35" s="16"/>
      <c r="K35" s="5"/>
      <c r="L35" s="5"/>
      <c r="M35" s="5"/>
      <c r="N35" s="10">
        <f t="shared" si="1"/>
        <v>0.21180555555555552</v>
      </c>
      <c r="O35" s="10">
        <f t="shared" si="0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0.2673611111111111</v>
      </c>
      <c r="G36" s="10">
        <v>0.43402777777777779</v>
      </c>
      <c r="H36" s="16"/>
      <c r="I36" s="16"/>
      <c r="J36" s="16"/>
      <c r="K36" s="5"/>
      <c r="L36" s="5"/>
      <c r="M36" s="5"/>
      <c r="N36" s="10">
        <f t="shared" si="1"/>
        <v>0.16666666666666669</v>
      </c>
      <c r="O36" s="10">
        <f t="shared" si="0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191</v>
      </c>
      <c r="G37" s="10"/>
      <c r="H37" s="16"/>
      <c r="I37" s="16"/>
      <c r="J37" s="16"/>
      <c r="K37" s="5"/>
      <c r="L37" s="5"/>
      <c r="M37" s="6"/>
      <c r="N37" s="10">
        <v>0</v>
      </c>
      <c r="O37" s="10">
        <f t="shared" si="0"/>
        <v>0</v>
      </c>
    </row>
    <row r="38" spans="1:15" ht="20.100000000000001" customHeight="1" x14ac:dyDescent="0.25">
      <c r="A38" s="14" t="s">
        <v>38</v>
      </c>
      <c r="B38" s="17" t="s">
        <v>78</v>
      </c>
      <c r="C38" s="17">
        <v>792</v>
      </c>
      <c r="D38" s="17" t="s">
        <v>79</v>
      </c>
      <c r="E38" s="10" t="s">
        <v>139</v>
      </c>
      <c r="F38" s="10" t="s">
        <v>191</v>
      </c>
      <c r="G38" s="10"/>
      <c r="H38" s="16"/>
      <c r="I38" s="16"/>
      <c r="J38" s="16"/>
      <c r="K38" s="5"/>
      <c r="L38" s="5"/>
      <c r="M38" s="5"/>
      <c r="N38" s="10">
        <v>0</v>
      </c>
      <c r="O38" s="10">
        <f t="shared" si="0"/>
        <v>0</v>
      </c>
    </row>
    <row r="39" spans="1:15" ht="20.100000000000001" customHeight="1" x14ac:dyDescent="0.25">
      <c r="A39" s="14" t="s">
        <v>39</v>
      </c>
      <c r="B39" s="17" t="s">
        <v>190</v>
      </c>
      <c r="C39" s="17">
        <v>184621</v>
      </c>
      <c r="D39" s="17" t="s">
        <v>143</v>
      </c>
      <c r="E39" s="10" t="s">
        <v>166</v>
      </c>
      <c r="F39" s="10" t="s">
        <v>192</v>
      </c>
      <c r="G39" s="10" t="s">
        <v>168</v>
      </c>
      <c r="H39" s="16"/>
      <c r="I39" s="16"/>
      <c r="J39" s="16"/>
      <c r="K39" s="5"/>
      <c r="L39" s="5"/>
      <c r="M39" s="5"/>
      <c r="N39" s="10">
        <v>0</v>
      </c>
      <c r="O39" s="10">
        <f t="shared" si="0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191</v>
      </c>
      <c r="G40" s="10"/>
      <c r="H40" s="16"/>
      <c r="I40" s="16"/>
      <c r="J40" s="16"/>
      <c r="K40" s="5"/>
      <c r="L40" s="5"/>
      <c r="M40" s="5"/>
      <c r="N40" s="10">
        <v>0</v>
      </c>
      <c r="O40" s="10">
        <f t="shared" si="0"/>
        <v>0</v>
      </c>
    </row>
    <row r="41" spans="1:15" ht="20.100000000000001" customHeight="1" x14ac:dyDescent="0.25">
      <c r="A41" s="14" t="s">
        <v>41</v>
      </c>
      <c r="B41" s="17" t="s">
        <v>82</v>
      </c>
      <c r="C41" s="17">
        <v>817</v>
      </c>
      <c r="D41" s="17" t="s">
        <v>83</v>
      </c>
      <c r="E41" s="10">
        <v>0.1736111111111111</v>
      </c>
      <c r="F41" s="10">
        <v>0.21180555555555555</v>
      </c>
      <c r="G41" s="10">
        <v>0.24305555555555555</v>
      </c>
      <c r="H41" s="16"/>
      <c r="I41" s="16"/>
      <c r="J41" s="16"/>
      <c r="K41" s="5"/>
      <c r="L41" s="5"/>
      <c r="M41" s="5"/>
      <c r="N41" s="10">
        <f t="shared" si="1"/>
        <v>3.125E-2</v>
      </c>
      <c r="O41" s="10">
        <f t="shared" si="0"/>
        <v>0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191</v>
      </c>
      <c r="G42" s="10"/>
      <c r="H42" s="16"/>
      <c r="I42" s="16"/>
      <c r="J42" s="16"/>
      <c r="K42" s="5"/>
      <c r="L42" s="5"/>
      <c r="M42" s="5"/>
      <c r="N42" s="10">
        <v>0</v>
      </c>
      <c r="O42" s="10">
        <f t="shared" si="0"/>
        <v>0</v>
      </c>
    </row>
    <row r="43" spans="1:15" ht="20.100000000000001" customHeight="1" x14ac:dyDescent="0.25">
      <c r="A43" s="14" t="s">
        <v>43</v>
      </c>
      <c r="B43" s="17" t="s">
        <v>151</v>
      </c>
      <c r="C43" s="17">
        <v>294</v>
      </c>
      <c r="D43" s="17" t="s">
        <v>152</v>
      </c>
      <c r="E43" s="10">
        <v>0.25</v>
      </c>
      <c r="F43" s="10">
        <v>0.27777777777777779</v>
      </c>
      <c r="G43" s="10">
        <v>0.35069444444444442</v>
      </c>
      <c r="H43" s="16"/>
      <c r="I43" s="16"/>
      <c r="J43" s="16"/>
      <c r="K43" s="5"/>
      <c r="L43" s="5"/>
      <c r="M43" s="5"/>
      <c r="N43" s="10">
        <f t="shared" si="1"/>
        <v>7.291666666666663E-2</v>
      </c>
      <c r="O43" s="10">
        <f t="shared" si="0"/>
        <v>0</v>
      </c>
    </row>
    <row r="44" spans="1:15" ht="20.100000000000001" customHeight="1" x14ac:dyDescent="0.25">
      <c r="A44" s="14" t="s">
        <v>44</v>
      </c>
      <c r="B44" s="17" t="s">
        <v>149</v>
      </c>
      <c r="C44" s="17">
        <v>138</v>
      </c>
      <c r="D44" s="17" t="s">
        <v>150</v>
      </c>
      <c r="E44" s="10">
        <v>0.22222222222222221</v>
      </c>
      <c r="F44" s="10">
        <v>0.25347222222222221</v>
      </c>
      <c r="G44" s="10">
        <v>0.30555555555555558</v>
      </c>
      <c r="H44" s="16"/>
      <c r="I44" s="16"/>
      <c r="J44" s="16"/>
      <c r="K44" s="5"/>
      <c r="L44" s="5"/>
      <c r="M44" s="5"/>
      <c r="N44" s="10">
        <f t="shared" si="1"/>
        <v>5.208333333333337E-2</v>
      </c>
      <c r="O44" s="10">
        <f t="shared" si="0"/>
        <v>0</v>
      </c>
    </row>
    <row r="45" spans="1:15" ht="20.100000000000001" customHeight="1" x14ac:dyDescent="0.25">
      <c r="A45" s="14" t="s">
        <v>45</v>
      </c>
      <c r="B45" s="17" t="s">
        <v>104</v>
      </c>
      <c r="C45" s="17">
        <v>811</v>
      </c>
      <c r="D45" s="17" t="s">
        <v>105</v>
      </c>
      <c r="E45" s="10">
        <v>0.22222222222222221</v>
      </c>
      <c r="F45" s="10">
        <v>0.2638888888888889</v>
      </c>
      <c r="G45" s="10">
        <v>0.45833333333333331</v>
      </c>
      <c r="H45" s="16"/>
      <c r="I45" s="16"/>
      <c r="J45" s="16"/>
      <c r="K45" s="5"/>
      <c r="L45" s="5"/>
      <c r="M45" s="5"/>
      <c r="N45" s="10">
        <f t="shared" si="1"/>
        <v>0.19444444444444442</v>
      </c>
      <c r="O45" s="10">
        <f t="shared" si="0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F893-3B69-47C2-90E0-AD45A85B52FB}">
  <dimension ref="A1:O49"/>
  <sheetViews>
    <sheetView showGridLines="0" zoomScale="65" zoomScaleNormal="65" workbookViewId="0">
      <pane ySplit="3" topLeftCell="A6" activePane="bottomLeft" state="frozen"/>
      <selection pane="bottomLeft" activeCell="L17" sqref="A17:L24"/>
    </sheetView>
  </sheetViews>
  <sheetFormatPr defaultRowHeight="15" x14ac:dyDescent="0.25"/>
  <cols>
    <col min="1" max="1" width="53.85546875" bestFit="1" customWidth="1"/>
    <col min="2" max="2" width="28.42578125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27.710937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0.27083333333333331</v>
      </c>
      <c r="F5" s="10">
        <v>0.35069444444444442</v>
      </c>
      <c r="G5" s="10">
        <v>0.5</v>
      </c>
      <c r="H5" s="16"/>
      <c r="I5" s="16"/>
      <c r="J5" s="16"/>
      <c r="K5" s="8"/>
      <c r="L5" s="8"/>
      <c r="M5" s="9"/>
      <c r="N5" s="10">
        <f>MOD(G5-F5, 1)</f>
        <v>0.14930555555555558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84</v>
      </c>
      <c r="C6" s="17">
        <v>353</v>
      </c>
      <c r="D6" s="17" t="s">
        <v>85</v>
      </c>
      <c r="E6" s="10">
        <v>0.22916666666666666</v>
      </c>
      <c r="F6" s="10">
        <v>0.2986111111111111</v>
      </c>
      <c r="G6" s="10">
        <v>0.52083333333333337</v>
      </c>
      <c r="H6" s="16"/>
      <c r="I6" s="16"/>
      <c r="J6" s="16"/>
      <c r="K6" s="5"/>
      <c r="L6" s="5"/>
      <c r="M6" s="5"/>
      <c r="N6" s="10">
        <f t="shared" ref="N6:N45" si="0">MOD(G6-F6, 1)</f>
        <v>0.22222222222222227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0.16319444444444445</v>
      </c>
      <c r="F7" s="10">
        <v>0.26041666666666669</v>
      </c>
      <c r="G7" s="10">
        <v>0.46527777777777779</v>
      </c>
      <c r="H7" s="16" t="s">
        <v>53</v>
      </c>
      <c r="I7" s="16">
        <v>15</v>
      </c>
      <c r="J7" s="16" t="s">
        <v>54</v>
      </c>
      <c r="K7" s="19">
        <v>0.1076388888888889</v>
      </c>
      <c r="L7" s="19">
        <v>0.25347222222222221</v>
      </c>
      <c r="M7" s="19">
        <v>0.28472222222222221</v>
      </c>
      <c r="N7" s="10">
        <f t="shared" si="0"/>
        <v>0.2048611111111111</v>
      </c>
      <c r="O7" s="10">
        <f t="shared" si="1"/>
        <v>3.125E-2</v>
      </c>
    </row>
    <row r="8" spans="1:15" ht="20.100000000000001" customHeight="1" x14ac:dyDescent="0.25">
      <c r="A8" s="14" t="s">
        <v>8</v>
      </c>
      <c r="B8" s="17" t="s">
        <v>155</v>
      </c>
      <c r="C8" s="17">
        <v>353</v>
      </c>
      <c r="D8" s="17" t="s">
        <v>156</v>
      </c>
      <c r="E8" s="10">
        <v>0.25694444444444442</v>
      </c>
      <c r="F8" s="10">
        <v>0.28472222222222221</v>
      </c>
      <c r="G8" s="10">
        <v>0.3576388888888889</v>
      </c>
      <c r="H8" s="16" t="s">
        <v>195</v>
      </c>
      <c r="I8" s="16">
        <v>184621</v>
      </c>
      <c r="J8" s="16" t="s">
        <v>143</v>
      </c>
      <c r="K8" s="19">
        <v>0.33680555555555558</v>
      </c>
      <c r="L8" s="19">
        <v>0.37152777777777779</v>
      </c>
      <c r="M8" s="19">
        <v>0.39583333333333331</v>
      </c>
      <c r="N8" s="10">
        <f t="shared" si="0"/>
        <v>7.2916666666666685E-2</v>
      </c>
      <c r="O8" s="10">
        <f t="shared" si="1"/>
        <v>2.4305555555555525E-2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0.24652777777777779</v>
      </c>
      <c r="F10" s="10">
        <v>0.28125</v>
      </c>
      <c r="G10" s="10">
        <v>0.46875</v>
      </c>
      <c r="H10" s="16"/>
      <c r="I10" s="16"/>
      <c r="J10" s="16"/>
      <c r="K10" s="5"/>
      <c r="L10" s="5"/>
      <c r="M10" s="5"/>
      <c r="N10" s="10">
        <f t="shared" si="0"/>
        <v>0.1875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0.24652777777777779</v>
      </c>
      <c r="F12" s="10">
        <v>0.30555555555555558</v>
      </c>
      <c r="G12" s="10">
        <v>0.49652777777777779</v>
      </c>
      <c r="H12" s="16"/>
      <c r="I12" s="16"/>
      <c r="J12" s="16"/>
      <c r="K12" s="5"/>
      <c r="L12" s="5"/>
      <c r="M12" s="5"/>
      <c r="N12" s="10">
        <f t="shared" si="0"/>
        <v>0.19097222222222221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0.125</v>
      </c>
      <c r="F13" s="10">
        <v>0.25</v>
      </c>
      <c r="G13" s="10">
        <v>0.5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0.21527777777777779</v>
      </c>
      <c r="F14" s="10">
        <v>0.2326388888888889</v>
      </c>
      <c r="G14" s="10">
        <v>0.27083333333333331</v>
      </c>
      <c r="H14" s="16"/>
      <c r="I14" s="16"/>
      <c r="J14" s="16"/>
      <c r="K14" s="5"/>
      <c r="L14" s="5"/>
      <c r="M14" s="5"/>
      <c r="N14" s="10">
        <f t="shared" si="0"/>
        <v>3.819444444444442E-2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5.9027777777777776E-2</v>
      </c>
      <c r="F15" s="10">
        <v>0.24305555555555555</v>
      </c>
      <c r="G15" s="10">
        <v>0.41666666666666669</v>
      </c>
      <c r="H15" s="16"/>
      <c r="I15" s="16"/>
      <c r="J15" s="16"/>
      <c r="K15" s="5"/>
      <c r="L15" s="5"/>
      <c r="M15" s="5"/>
      <c r="N15" s="10">
        <f t="shared" si="0"/>
        <v>0.17361111111111113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169</v>
      </c>
      <c r="C16" s="17">
        <v>294</v>
      </c>
      <c r="D16" s="17" t="s">
        <v>125</v>
      </c>
      <c r="E16" s="10">
        <v>0.23958333333333334</v>
      </c>
      <c r="F16" s="10">
        <v>0.25347222222222221</v>
      </c>
      <c r="G16" s="10">
        <v>0.56597222222222221</v>
      </c>
      <c r="H16" s="16"/>
      <c r="I16" s="16"/>
      <c r="J16" s="16"/>
      <c r="K16" s="5"/>
      <c r="L16" s="5"/>
      <c r="M16" s="5"/>
      <c r="N16" s="10">
        <f t="shared" si="0"/>
        <v>0.3125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62</v>
      </c>
      <c r="C17" s="17">
        <v>184016</v>
      </c>
      <c r="D17" s="17" t="s">
        <v>63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 t="e">
        <f t="shared" si="0"/>
        <v>#VALUE!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151</v>
      </c>
      <c r="C18" s="17">
        <v>294</v>
      </c>
      <c r="D18" s="17" t="s">
        <v>111</v>
      </c>
      <c r="E18" s="10">
        <v>0.4375</v>
      </c>
      <c r="F18" s="10">
        <v>0.46527777777777779</v>
      </c>
      <c r="G18" s="10">
        <v>0.50347222222222221</v>
      </c>
      <c r="H18" s="16"/>
      <c r="I18" s="16"/>
      <c r="J18" s="16"/>
      <c r="K18" s="5"/>
      <c r="L18" s="5"/>
      <c r="M18" s="5"/>
      <c r="N18" s="10">
        <f t="shared" si="0"/>
        <v>3.819444444444442E-2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110</v>
      </c>
      <c r="C19" s="17">
        <v>294</v>
      </c>
      <c r="D19" s="17" t="s">
        <v>81</v>
      </c>
      <c r="E19" s="10">
        <v>0.31597222222222221</v>
      </c>
      <c r="F19" s="10">
        <v>0.3263888888888889</v>
      </c>
      <c r="G19" s="10">
        <v>0.36805555555555558</v>
      </c>
      <c r="H19" s="16"/>
      <c r="I19" s="16"/>
      <c r="J19" s="16"/>
      <c r="K19" s="5"/>
      <c r="L19" s="5"/>
      <c r="M19" s="5"/>
      <c r="N19" s="10">
        <f t="shared" si="0"/>
        <v>4.1666666666666685E-2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0.21527777777777779</v>
      </c>
      <c r="F20" s="10">
        <v>0.24652777777777779</v>
      </c>
      <c r="G20" s="10">
        <v>0.4826388888888889</v>
      </c>
      <c r="H20" s="16"/>
      <c r="I20" s="16"/>
      <c r="J20" s="16"/>
      <c r="K20" s="5"/>
      <c r="L20" s="5"/>
      <c r="M20" s="5"/>
      <c r="N20" s="10">
        <f t="shared" si="0"/>
        <v>0.2361111111111111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180</v>
      </c>
      <c r="C21" s="17">
        <v>184357</v>
      </c>
      <c r="D21" s="17" t="s">
        <v>181</v>
      </c>
      <c r="E21" s="10" t="s">
        <v>166</v>
      </c>
      <c r="F21" s="10" t="s">
        <v>192</v>
      </c>
      <c r="G21" s="10" t="s">
        <v>168</v>
      </c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0.2326388888888889</v>
      </c>
      <c r="F22" s="10">
        <v>0.2673611111111111</v>
      </c>
      <c r="G22" s="10">
        <v>0.3611111111111111</v>
      </c>
      <c r="H22" s="16"/>
      <c r="I22" s="16"/>
      <c r="J22" s="16"/>
      <c r="K22" s="5"/>
      <c r="L22" s="5"/>
      <c r="M22" s="5"/>
      <c r="N22" s="10">
        <f t="shared" si="0"/>
        <v>9.375E-2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0.27430555555555558</v>
      </c>
      <c r="F24" s="10">
        <v>0.2951388888888889</v>
      </c>
      <c r="G24" s="10">
        <v>0.55555555555555558</v>
      </c>
      <c r="H24" s="16"/>
      <c r="I24" s="16"/>
      <c r="J24" s="16"/>
      <c r="K24" s="5"/>
      <c r="L24" s="5"/>
      <c r="M24" s="5"/>
      <c r="N24" s="10">
        <f t="shared" si="0"/>
        <v>0.26041666666666669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5.9027777777777776E-2</v>
      </c>
      <c r="F25" s="10">
        <v>0.1875</v>
      </c>
      <c r="G25" s="10">
        <v>0.52083333333333337</v>
      </c>
      <c r="H25" s="16"/>
      <c r="I25" s="16"/>
      <c r="J25" s="16"/>
      <c r="K25" s="5"/>
      <c r="L25" s="5"/>
      <c r="M25" s="5"/>
      <c r="N25" s="10">
        <f t="shared" si="0"/>
        <v>0.33333333333333337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0.28819444444444442</v>
      </c>
      <c r="F26" s="10">
        <v>0.34375</v>
      </c>
      <c r="G26" s="10">
        <v>0.55208333333333337</v>
      </c>
      <c r="H26" s="16"/>
      <c r="I26" s="16"/>
      <c r="J26" s="16"/>
      <c r="K26" s="5"/>
      <c r="L26" s="5"/>
      <c r="M26" s="5"/>
      <c r="N26" s="10">
        <f t="shared" si="0"/>
        <v>0.20833333333333337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196</v>
      </c>
      <c r="C27" s="17">
        <v>598</v>
      </c>
      <c r="D27" s="17" t="s">
        <v>197</v>
      </c>
      <c r="E27" s="10">
        <v>0.2326388888888889</v>
      </c>
      <c r="F27" s="10">
        <v>0.25694444444444442</v>
      </c>
      <c r="G27" s="10">
        <v>0.31944444444444442</v>
      </c>
      <c r="H27" s="16"/>
      <c r="I27" s="16"/>
      <c r="J27" s="16"/>
      <c r="K27" s="5"/>
      <c r="L27" s="5"/>
      <c r="M27" s="5"/>
      <c r="N27" s="10">
        <f>MOD(G27-F27, 1)</f>
        <v>6.25E-2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102</v>
      </c>
      <c r="C28" s="17">
        <v>184016</v>
      </c>
      <c r="D28" s="17" t="s">
        <v>103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>MOD(G28-F28, 1)</f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78</v>
      </c>
      <c r="C29" s="17">
        <v>792</v>
      </c>
      <c r="D29" s="17" t="s">
        <v>79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198</v>
      </c>
      <c r="C30" s="17">
        <v>811</v>
      </c>
      <c r="D30" s="17" t="s">
        <v>199</v>
      </c>
      <c r="E30" s="10">
        <v>0.22569444444444445</v>
      </c>
      <c r="F30" s="10">
        <v>0.25</v>
      </c>
      <c r="G30" s="10">
        <v>0.43055555555555558</v>
      </c>
      <c r="H30" s="16" t="s">
        <v>200</v>
      </c>
      <c r="I30" s="16">
        <v>353</v>
      </c>
      <c r="J30" s="16" t="s">
        <v>201</v>
      </c>
      <c r="K30" s="19">
        <v>0.4861111111111111</v>
      </c>
      <c r="L30" s="19">
        <v>0.52430555555555558</v>
      </c>
      <c r="M30" s="19">
        <v>0.57986111111111116</v>
      </c>
      <c r="N30" s="10">
        <f t="shared" si="0"/>
        <v>0.18055555555555558</v>
      </c>
      <c r="O30" s="10">
        <f t="shared" si="1"/>
        <v>5.555555555555558E-2</v>
      </c>
    </row>
    <row r="31" spans="1:15" ht="20.100000000000001" customHeight="1" x14ac:dyDescent="0.25">
      <c r="A31" s="14" t="s">
        <v>31</v>
      </c>
      <c r="B31" s="17" t="s">
        <v>160</v>
      </c>
      <c r="C31" s="17">
        <v>353</v>
      </c>
      <c r="D31" s="17" t="s">
        <v>171</v>
      </c>
      <c r="E31" s="10">
        <v>0.25694444444444442</v>
      </c>
      <c r="F31" s="10">
        <v>0.32291666666666669</v>
      </c>
      <c r="G31" s="10">
        <v>0.55555555555555558</v>
      </c>
      <c r="H31" s="16"/>
      <c r="I31" s="16"/>
      <c r="J31" s="16"/>
      <c r="K31" s="5"/>
      <c r="L31" s="5"/>
      <c r="M31" s="5"/>
      <c r="N31" s="10">
        <f t="shared" si="0"/>
        <v>0.2326388888888889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96</v>
      </c>
      <c r="C32" s="17">
        <v>612</v>
      </c>
      <c r="D32" s="17" t="s">
        <v>97</v>
      </c>
      <c r="E32" s="10">
        <v>0.2638888888888889</v>
      </c>
      <c r="F32" s="10">
        <v>0.31944444444444442</v>
      </c>
      <c r="G32" s="10">
        <v>0.51736111111111116</v>
      </c>
      <c r="H32" s="16"/>
      <c r="I32" s="16"/>
      <c r="J32" s="16"/>
      <c r="K32" s="5"/>
      <c r="L32" s="5"/>
      <c r="M32" s="5"/>
      <c r="N32" s="10">
        <f t="shared" si="0"/>
        <v>0.19791666666666674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98</v>
      </c>
      <c r="C33" s="17">
        <v>91</v>
      </c>
      <c r="D33" s="17" t="s">
        <v>99</v>
      </c>
      <c r="E33" s="10">
        <v>0.24652777777777779</v>
      </c>
      <c r="F33" s="10">
        <v>0.27083333333333331</v>
      </c>
      <c r="G33" s="10">
        <v>0.30208333333333331</v>
      </c>
      <c r="H33" s="16"/>
      <c r="I33" s="16"/>
      <c r="J33" s="16"/>
      <c r="K33" s="5"/>
      <c r="L33" s="5"/>
      <c r="M33" s="5"/>
      <c r="N33" s="10">
        <f t="shared" si="0"/>
        <v>3.125E-2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1.0416666666666666E-2</v>
      </c>
      <c r="F35" s="10">
        <v>9.0277777777777776E-2</v>
      </c>
      <c r="G35" s="10">
        <v>0.29166666666666669</v>
      </c>
      <c r="H35" s="16"/>
      <c r="I35" s="16"/>
      <c r="J35" s="16"/>
      <c r="K35" s="5"/>
      <c r="L35" s="5"/>
      <c r="M35" s="5"/>
      <c r="N35" s="10">
        <f t="shared" si="0"/>
        <v>0.2013888888888889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0.22569444444444445</v>
      </c>
      <c r="F36" s="10">
        <v>0.27430555555555558</v>
      </c>
      <c r="G36" s="10">
        <v>0.55208333333333337</v>
      </c>
      <c r="H36" s="16"/>
      <c r="I36" s="16"/>
      <c r="J36" s="16"/>
      <c r="K36" s="5"/>
      <c r="L36" s="5"/>
      <c r="M36" s="5"/>
      <c r="N36" s="10">
        <f t="shared" si="0"/>
        <v>0.27777777777777779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120</v>
      </c>
      <c r="C38" s="17">
        <v>184016</v>
      </c>
      <c r="D38" s="17" t="s">
        <v>121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122</v>
      </c>
      <c r="C39" s="17">
        <v>353</v>
      </c>
      <c r="D39" s="17" t="s">
        <v>123</v>
      </c>
      <c r="E39" s="10">
        <v>0.51736111111111116</v>
      </c>
      <c r="F39" s="10">
        <v>0.56597222222222221</v>
      </c>
      <c r="G39" s="10"/>
      <c r="H39" s="16"/>
      <c r="I39" s="16"/>
      <c r="J39" s="16"/>
      <c r="K39" s="5"/>
      <c r="L39" s="5"/>
      <c r="M39" s="5"/>
      <c r="N39" s="10">
        <f>MOD(G39-F39, 1)</f>
        <v>0.43402777777777779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108</v>
      </c>
      <c r="C41" s="17">
        <v>141</v>
      </c>
      <c r="D41" s="17" t="s">
        <v>109</v>
      </c>
      <c r="E41" s="10" t="s">
        <v>139</v>
      </c>
      <c r="F41" s="10" t="s">
        <v>140</v>
      </c>
      <c r="G41" s="10"/>
      <c r="H41" s="16" t="s">
        <v>153</v>
      </c>
      <c r="I41" s="16">
        <v>732</v>
      </c>
      <c r="J41" s="16" t="s">
        <v>154</v>
      </c>
      <c r="K41" s="19">
        <v>0.40277777777777779</v>
      </c>
      <c r="L41" s="19">
        <v>0.4513888888888889</v>
      </c>
      <c r="M41" s="19">
        <v>0.4826388888888889</v>
      </c>
      <c r="N41" s="10" t="e">
        <f t="shared" si="0"/>
        <v>#VALUE!</v>
      </c>
      <c r="O41" s="10">
        <f t="shared" si="1"/>
        <v>3.125E-2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0.27430555555555558</v>
      </c>
      <c r="F43" s="10">
        <v>0.32291666666666669</v>
      </c>
      <c r="G43" s="10">
        <v>0.55555555555555558</v>
      </c>
      <c r="H43" s="16"/>
      <c r="I43" s="16"/>
      <c r="J43" s="16"/>
      <c r="K43" s="5"/>
      <c r="L43" s="5"/>
      <c r="M43" s="5"/>
      <c r="N43" s="10">
        <f t="shared" si="0"/>
        <v>0.2326388888888889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0.25694444444444442</v>
      </c>
      <c r="F44" s="10">
        <v>0.30555555555555558</v>
      </c>
      <c r="G44" s="10">
        <v>0.54513888888888884</v>
      </c>
      <c r="H44" s="16"/>
      <c r="I44" s="16"/>
      <c r="J44" s="16"/>
      <c r="K44" s="5"/>
      <c r="L44" s="5"/>
      <c r="M44" s="5"/>
      <c r="N44" s="10">
        <f t="shared" si="0"/>
        <v>0.23958333333333326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104</v>
      </c>
      <c r="C45" s="17">
        <v>811</v>
      </c>
      <c r="D45" s="17" t="s">
        <v>105</v>
      </c>
      <c r="E45" s="10">
        <v>0.21875</v>
      </c>
      <c r="F45" s="10">
        <v>0.28472222222222221</v>
      </c>
      <c r="G45" s="10">
        <v>0.34375</v>
      </c>
      <c r="H45" s="16"/>
      <c r="I45" s="16"/>
      <c r="J45" s="16"/>
      <c r="K45" s="5"/>
      <c r="L45" s="5"/>
      <c r="M45" s="5"/>
      <c r="N45" s="10">
        <f t="shared" si="0"/>
        <v>5.902777777777779E-2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04AE-8A6D-46A6-81F9-378494450634}">
  <dimension ref="A1:O49"/>
  <sheetViews>
    <sheetView showGridLines="0" topLeftCell="C1" zoomScale="55" zoomScaleNormal="55" workbookViewId="0">
      <pane ySplit="3" topLeftCell="A4" activePane="bottomLeft" state="frozen"/>
      <selection pane="bottomLeft" activeCell="M16" sqref="M1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0.22222222222222221</v>
      </c>
      <c r="F5" s="10">
        <v>0.2638888888888889</v>
      </c>
      <c r="G5" s="10">
        <v>0.36805555555555558</v>
      </c>
      <c r="H5" s="16"/>
      <c r="I5" s="16"/>
      <c r="J5" s="16"/>
      <c r="K5" s="8"/>
      <c r="L5" s="8"/>
      <c r="M5" s="9"/>
      <c r="N5" s="10">
        <f>MOD(G5-F5, 1)</f>
        <v>0.10416666666666669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169</v>
      </c>
      <c r="C6" s="17">
        <v>294</v>
      </c>
      <c r="D6" s="17" t="s">
        <v>125</v>
      </c>
      <c r="E6" s="10">
        <v>0.19444444444444445</v>
      </c>
      <c r="F6" s="10">
        <v>0.22569444444444445</v>
      </c>
      <c r="G6" s="10">
        <v>0.30208333333333331</v>
      </c>
      <c r="H6" s="16"/>
      <c r="I6" s="16"/>
      <c r="J6" s="16"/>
      <c r="K6" s="5"/>
      <c r="L6" s="5"/>
      <c r="M6" s="5"/>
      <c r="N6" s="10">
        <f t="shared" ref="N6:N45" si="0">MOD(G6-F6, 1)</f>
        <v>7.6388888888888867E-2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0.1701388888888889</v>
      </c>
      <c r="F7" s="10">
        <v>0.25694444444444442</v>
      </c>
      <c r="G7" s="10">
        <v>0.53125</v>
      </c>
      <c r="H7" s="16"/>
      <c r="I7" s="16"/>
      <c r="J7" s="16"/>
      <c r="K7" s="5"/>
      <c r="L7" s="5"/>
      <c r="M7" s="5"/>
      <c r="N7" s="10">
        <f t="shared" si="0"/>
        <v>0.27430555555555558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0.24652777777777779</v>
      </c>
      <c r="F8" s="10">
        <v>0.27430555555555558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7.291666666666663E-2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0.21527777777777779</v>
      </c>
      <c r="F10" s="10">
        <v>0.26041666666666669</v>
      </c>
      <c r="G10" s="10">
        <v>0.46875</v>
      </c>
      <c r="H10" s="16"/>
      <c r="I10" s="16"/>
      <c r="J10" s="16"/>
      <c r="K10" s="5"/>
      <c r="L10" s="5"/>
      <c r="M10" s="5"/>
      <c r="N10" s="10">
        <f t="shared" si="0"/>
        <v>0.20833333333333331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0.2326388888888889</v>
      </c>
      <c r="F12" s="10">
        <v>0.2673611111111111</v>
      </c>
      <c r="G12" s="10">
        <v>0.52777777777777779</v>
      </c>
      <c r="H12" s="16"/>
      <c r="I12" s="16"/>
      <c r="J12" s="16"/>
      <c r="K12" s="5"/>
      <c r="L12" s="5"/>
      <c r="M12" s="5"/>
      <c r="N12" s="10">
        <f t="shared" si="0"/>
        <v>0.26041666666666669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0.12847222222222221</v>
      </c>
      <c r="F13" s="10">
        <v>0.25694444444444442</v>
      </c>
      <c r="G13" s="10">
        <v>0.34027777777777779</v>
      </c>
      <c r="H13" s="16"/>
      <c r="I13" s="16"/>
      <c r="J13" s="16"/>
      <c r="K13" s="5"/>
      <c r="L13" s="5"/>
      <c r="M13" s="5"/>
      <c r="N13" s="10">
        <f t="shared" si="0"/>
        <v>8.333333333333337E-2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0.2048611111111111</v>
      </c>
      <c r="F14" s="10">
        <v>0.21875</v>
      </c>
      <c r="G14" s="10">
        <v>0.28125</v>
      </c>
      <c r="H14" s="16"/>
      <c r="I14" s="16"/>
      <c r="J14" s="16"/>
      <c r="K14" s="5"/>
      <c r="L14" s="5"/>
      <c r="M14" s="5"/>
      <c r="N14" s="10">
        <f t="shared" si="0"/>
        <v>6.25E-2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4.5138888888888888E-2</v>
      </c>
      <c r="F15" s="10">
        <v>0.27083333333333331</v>
      </c>
      <c r="G15" s="10">
        <v>0.32291666666666669</v>
      </c>
      <c r="H15" s="16" t="s">
        <v>53</v>
      </c>
      <c r="I15" s="16">
        <v>15</v>
      </c>
      <c r="J15" s="16" t="s">
        <v>54</v>
      </c>
      <c r="K15" s="19">
        <v>4.5138888888888888E-2</v>
      </c>
      <c r="L15" s="19">
        <v>0.2326388888888889</v>
      </c>
      <c r="M15" s="19">
        <v>0.31597222222222221</v>
      </c>
      <c r="N15" s="10">
        <f t="shared" si="0"/>
        <v>5.208333333333337E-2</v>
      </c>
      <c r="O15" s="10">
        <f t="shared" si="1"/>
        <v>8.3333333333333315E-2</v>
      </c>
    </row>
    <row r="16" spans="1:15" ht="20.100000000000001" customHeight="1" x14ac:dyDescent="0.25">
      <c r="A16" s="14" t="s">
        <v>16</v>
      </c>
      <c r="B16" s="17" t="s">
        <v>76</v>
      </c>
      <c r="C16" s="17">
        <v>795</v>
      </c>
      <c r="D16" s="17" t="s">
        <v>77</v>
      </c>
      <c r="E16" s="10">
        <v>0.22569444444444445</v>
      </c>
      <c r="F16" s="10">
        <v>0.2361111111111111</v>
      </c>
      <c r="G16" s="10">
        <v>0.51041666666666663</v>
      </c>
      <c r="H16" s="16"/>
      <c r="I16" s="16"/>
      <c r="J16" s="16"/>
      <c r="K16" s="5"/>
      <c r="L16" s="5"/>
      <c r="M16" s="5"/>
      <c r="N16" s="10">
        <f t="shared" si="0"/>
        <v>0.27430555555555552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0.21875</v>
      </c>
      <c r="F17" s="10">
        <v>0.2326388888888889</v>
      </c>
      <c r="G17" s="10">
        <v>0.25347222222222221</v>
      </c>
      <c r="H17" s="16"/>
      <c r="I17" s="16"/>
      <c r="J17" s="16"/>
      <c r="K17" s="5"/>
      <c r="L17" s="5"/>
      <c r="M17" s="5"/>
      <c r="N17" s="10">
        <f t="shared" si="0"/>
        <v>2.0833333333333315E-2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206</v>
      </c>
      <c r="C19" s="17">
        <v>294</v>
      </c>
      <c r="D19" s="17" t="s">
        <v>81</v>
      </c>
      <c r="E19" s="10">
        <v>0.28472222222222221</v>
      </c>
      <c r="F19" s="10">
        <v>0.28819444444444442</v>
      </c>
      <c r="G19" s="10">
        <v>0.3298611111111111</v>
      </c>
      <c r="H19" s="16"/>
      <c r="I19" s="16"/>
      <c r="J19" s="16"/>
      <c r="K19" s="5"/>
      <c r="L19" s="5"/>
      <c r="M19" s="5"/>
      <c r="N19" s="10">
        <f t="shared" si="0"/>
        <v>4.1666666666666685E-2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0.19444444444444445</v>
      </c>
      <c r="F20" s="10">
        <v>0.22916666666666666</v>
      </c>
      <c r="G20" s="10">
        <v>0.2638888888888889</v>
      </c>
      <c r="H20" s="16"/>
      <c r="I20" s="16"/>
      <c r="J20" s="16"/>
      <c r="K20" s="5"/>
      <c r="L20" s="5"/>
      <c r="M20" s="5"/>
      <c r="N20" s="10">
        <f t="shared" si="0"/>
        <v>3.4722222222222238E-2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180</v>
      </c>
      <c r="C21" s="17">
        <v>184357</v>
      </c>
      <c r="D21" s="17" t="s">
        <v>181</v>
      </c>
      <c r="E21" s="10">
        <v>0.51736111111111116</v>
      </c>
      <c r="F21" s="10">
        <v>0.52430555555555558</v>
      </c>
      <c r="G21" s="10"/>
      <c r="H21" s="16"/>
      <c r="I21" s="16"/>
      <c r="J21" s="16"/>
      <c r="K21" s="5"/>
      <c r="L21" s="5"/>
      <c r="M21" s="6"/>
      <c r="N21" s="10">
        <f t="shared" si="0"/>
        <v>0.47569444444444442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0.2326388888888889</v>
      </c>
      <c r="F22" s="10">
        <v>0.2638888888888889</v>
      </c>
      <c r="G22" s="10">
        <v>0.34375</v>
      </c>
      <c r="H22" s="16"/>
      <c r="I22" s="16"/>
      <c r="J22" s="16"/>
      <c r="K22" s="5"/>
      <c r="L22" s="5"/>
      <c r="M22" s="5"/>
      <c r="N22" s="10">
        <f t="shared" si="0"/>
        <v>7.9861111111111105E-2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149</v>
      </c>
      <c r="C24" s="17">
        <v>138</v>
      </c>
      <c r="D24" s="17" t="s">
        <v>150</v>
      </c>
      <c r="E24" s="10">
        <v>0.25</v>
      </c>
      <c r="F24" s="10">
        <v>0.27777777777777779</v>
      </c>
      <c r="G24" s="10">
        <v>0.3923611111111111</v>
      </c>
      <c r="H24" s="16"/>
      <c r="I24" s="16"/>
      <c r="J24" s="16"/>
      <c r="K24" s="5"/>
      <c r="L24" s="5"/>
      <c r="M24" s="5"/>
      <c r="N24" s="10">
        <f t="shared" si="0"/>
        <v>0.11458333333333331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0</v>
      </c>
      <c r="F25" s="10">
        <v>0.1736111111111111</v>
      </c>
      <c r="G25" s="10">
        <v>0.52777777777777779</v>
      </c>
      <c r="H25" s="16"/>
      <c r="I25" s="16"/>
      <c r="J25" s="16"/>
      <c r="K25" s="5"/>
      <c r="L25" s="5"/>
      <c r="M25" s="5"/>
      <c r="N25" s="10">
        <f t="shared" si="0"/>
        <v>0.35416666666666669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0.21875</v>
      </c>
      <c r="F26" s="10">
        <v>0.24652777777777779</v>
      </c>
      <c r="G26" s="10">
        <v>0.52430555555555558</v>
      </c>
      <c r="H26" s="16"/>
      <c r="I26" s="16"/>
      <c r="J26" s="16"/>
      <c r="K26" s="5"/>
      <c r="L26" s="5"/>
      <c r="M26" s="5"/>
      <c r="N26" s="10">
        <f t="shared" si="0"/>
        <v>0.27777777777777779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0.22916666666666666</v>
      </c>
      <c r="F27" s="10">
        <v>0.24652777777777779</v>
      </c>
      <c r="G27" s="10">
        <v>0.33333333333333331</v>
      </c>
      <c r="H27" s="16"/>
      <c r="I27" s="16"/>
      <c r="J27" s="16"/>
      <c r="K27" s="5"/>
      <c r="L27" s="5"/>
      <c r="M27" s="5"/>
      <c r="N27" s="10">
        <f t="shared" si="0"/>
        <v>8.6805555555555525E-2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207</v>
      </c>
      <c r="C28" s="17">
        <v>782</v>
      </c>
      <c r="D28" s="17" t="s">
        <v>208</v>
      </c>
      <c r="E28" s="10">
        <v>0.22569444444444445</v>
      </c>
      <c r="F28" s="10">
        <v>0.24652777777777779</v>
      </c>
      <c r="G28" s="10">
        <v>0.5</v>
      </c>
      <c r="H28" s="16"/>
      <c r="I28" s="16"/>
      <c r="J28" s="16"/>
      <c r="K28" s="5"/>
      <c r="L28" s="5"/>
      <c r="M28" s="5"/>
      <c r="N28" s="10">
        <f t="shared" si="0"/>
        <v>0.25347222222222221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128</v>
      </c>
      <c r="C29" s="17">
        <v>184016</v>
      </c>
      <c r="D29" s="17" t="s">
        <v>129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0.25</v>
      </c>
      <c r="F30" s="10">
        <v>0.27083333333333331</v>
      </c>
      <c r="G30" s="10">
        <v>0.40277777777777779</v>
      </c>
      <c r="H30" s="16"/>
      <c r="I30" s="16"/>
      <c r="J30" s="16"/>
      <c r="K30" s="5"/>
      <c r="L30" s="5"/>
      <c r="M30" s="5"/>
      <c r="N30" s="10">
        <f t="shared" si="0"/>
        <v>0.13194444444444448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160</v>
      </c>
      <c r="C31" s="17">
        <v>353</v>
      </c>
      <c r="D31" s="17" t="s">
        <v>171</v>
      </c>
      <c r="E31" s="10">
        <v>0.2361111111111111</v>
      </c>
      <c r="F31" s="10">
        <v>0.27777777777777779</v>
      </c>
      <c r="G31" s="10">
        <v>0.49652777777777779</v>
      </c>
      <c r="H31" s="16"/>
      <c r="I31" s="16"/>
      <c r="J31" s="16"/>
      <c r="K31" s="5"/>
      <c r="L31" s="5"/>
      <c r="M31" s="5"/>
      <c r="N31" s="10">
        <f t="shared" si="0"/>
        <v>0.21875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0.20833333333333334</v>
      </c>
      <c r="F33" s="10">
        <v>0.22569444444444445</v>
      </c>
      <c r="G33" s="10">
        <v>0.29166666666666669</v>
      </c>
      <c r="H33" s="16" t="s">
        <v>211</v>
      </c>
      <c r="I33" s="16">
        <v>775</v>
      </c>
      <c r="J33" s="16" t="s">
        <v>212</v>
      </c>
      <c r="K33" s="19">
        <v>0.24305555555555555</v>
      </c>
      <c r="L33" s="19">
        <v>0.2638888888888889</v>
      </c>
      <c r="M33" s="19">
        <v>0.27777777777777779</v>
      </c>
      <c r="N33" s="10">
        <f t="shared" si="0"/>
        <v>6.5972222222222238E-2</v>
      </c>
      <c r="O33" s="10">
        <f t="shared" si="1"/>
        <v>1.3888888888888895E-2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3.8194444444444448E-2</v>
      </c>
      <c r="F35" s="10">
        <v>0.10416666666666667</v>
      </c>
      <c r="G35" s="10">
        <v>0.30902777777777779</v>
      </c>
      <c r="H35" s="16"/>
      <c r="I35" s="16"/>
      <c r="J35" s="16"/>
      <c r="K35" s="5"/>
      <c r="L35" s="5"/>
      <c r="M35" s="5"/>
      <c r="N35" s="10">
        <f t="shared" si="0"/>
        <v>0.2048611111111111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0.28819444444444442</v>
      </c>
      <c r="G36" s="10">
        <v>0.50694444444444442</v>
      </c>
      <c r="H36" s="16"/>
      <c r="I36" s="16"/>
      <c r="J36" s="16"/>
      <c r="K36" s="5"/>
      <c r="L36" s="5"/>
      <c r="M36" s="5"/>
      <c r="N36" s="10">
        <f t="shared" si="0"/>
        <v>0.21875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100</v>
      </c>
      <c r="C38" s="17">
        <v>184016</v>
      </c>
      <c r="D38" s="17" t="s">
        <v>101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 t="s">
        <v>68</v>
      </c>
      <c r="I40" s="16">
        <v>832</v>
      </c>
      <c r="J40" s="16" t="s">
        <v>69</v>
      </c>
      <c r="K40" s="19">
        <v>0.22222222222222221</v>
      </c>
      <c r="L40" s="19">
        <v>0.2638888888888889</v>
      </c>
      <c r="M40" s="19">
        <v>0.31597222222222221</v>
      </c>
      <c r="N40" s="10" t="e">
        <f t="shared" si="0"/>
        <v>#VALUE!</v>
      </c>
      <c r="O40" s="10">
        <f t="shared" si="1"/>
        <v>5.2083333333333315E-2</v>
      </c>
    </row>
    <row r="41" spans="1:15" ht="20.100000000000001" customHeight="1" x14ac:dyDescent="0.25">
      <c r="A41" s="14" t="s">
        <v>41</v>
      </c>
      <c r="B41" s="17" t="s">
        <v>213</v>
      </c>
      <c r="C41" s="17">
        <v>353</v>
      </c>
      <c r="D41" s="17" t="s">
        <v>214</v>
      </c>
      <c r="E41" s="10">
        <v>0.2048611111111111</v>
      </c>
      <c r="F41" s="10">
        <v>0.23958333333333334</v>
      </c>
      <c r="G41" s="10">
        <v>0.52777777777777779</v>
      </c>
      <c r="H41" s="16"/>
      <c r="I41" s="16"/>
      <c r="J41" s="16"/>
      <c r="K41" s="5"/>
      <c r="L41" s="5"/>
      <c r="M41" s="5"/>
      <c r="N41" s="10">
        <f t="shared" si="0"/>
        <v>0.28819444444444442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0.23958333333333334</v>
      </c>
      <c r="F42" s="10">
        <v>0.25</v>
      </c>
      <c r="G42" s="10">
        <v>0.4826388888888889</v>
      </c>
      <c r="H42" s="16"/>
      <c r="I42" s="16"/>
      <c r="J42" s="16"/>
      <c r="K42" s="5"/>
      <c r="L42" s="5"/>
      <c r="M42" s="5"/>
      <c r="N42" s="10">
        <f t="shared" si="0"/>
        <v>0.2326388888888889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172</v>
      </c>
      <c r="C43" s="17">
        <v>674</v>
      </c>
      <c r="D43" s="17" t="s">
        <v>173</v>
      </c>
      <c r="E43" s="10">
        <v>0.23958333333333334</v>
      </c>
      <c r="F43" s="10">
        <v>0.27777777777777779</v>
      </c>
      <c r="G43" s="10">
        <v>0.45833333333333331</v>
      </c>
      <c r="H43" s="16"/>
      <c r="I43" s="16"/>
      <c r="J43" s="16"/>
      <c r="K43" s="5"/>
      <c r="L43" s="5"/>
      <c r="M43" s="5"/>
      <c r="N43" s="10">
        <f t="shared" si="0"/>
        <v>0.18055555555555552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0.2048611111111111</v>
      </c>
      <c r="F44" s="10">
        <v>0.22569444444444445</v>
      </c>
      <c r="G44" s="10">
        <v>0.52777777777777779</v>
      </c>
      <c r="H44" s="16"/>
      <c r="I44" s="16"/>
      <c r="J44" s="16"/>
      <c r="K44" s="5"/>
      <c r="L44" s="5"/>
      <c r="M44" s="5"/>
      <c r="N44" s="10">
        <f t="shared" si="0"/>
        <v>0.30208333333333337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90</v>
      </c>
      <c r="C45" s="17">
        <v>353</v>
      </c>
      <c r="D45" s="17" t="s">
        <v>91</v>
      </c>
      <c r="E45" s="10">
        <v>0.19791666666666666</v>
      </c>
      <c r="F45" s="10">
        <v>0.2361111111111111</v>
      </c>
      <c r="G45" s="10">
        <v>0.36458333333333331</v>
      </c>
      <c r="H45" s="16"/>
      <c r="I45" s="16"/>
      <c r="J45" s="16"/>
      <c r="K45" s="5"/>
      <c r="L45" s="5"/>
      <c r="M45" s="5"/>
      <c r="N45" s="10">
        <f t="shared" si="0"/>
        <v>0.12847222222222221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76C3-EAFC-4538-A0D6-EDD42536C2C4}">
  <dimension ref="A1:O49"/>
  <sheetViews>
    <sheetView showGridLines="0" zoomScale="55" zoomScaleNormal="55"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215</v>
      </c>
      <c r="C5" s="16">
        <v>184846</v>
      </c>
      <c r="D5" s="16" t="s">
        <v>216</v>
      </c>
      <c r="E5" s="10">
        <v>0.21875</v>
      </c>
      <c r="F5" s="10">
        <v>0.27430555555555558</v>
      </c>
      <c r="G5" s="10">
        <v>0.375</v>
      </c>
      <c r="H5" s="10"/>
      <c r="I5" s="10"/>
      <c r="J5" s="10"/>
      <c r="K5" s="8"/>
      <c r="L5" s="8"/>
      <c r="M5" s="9"/>
      <c r="N5" s="10">
        <f>MOD(G5-F5, 1)</f>
        <v>0.10069444444444442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169</v>
      </c>
      <c r="C6" s="17">
        <v>294</v>
      </c>
      <c r="D6" s="17" t="s">
        <v>125</v>
      </c>
      <c r="E6" s="10">
        <v>0.2013888888888889</v>
      </c>
      <c r="F6" s="10">
        <v>0.2361111111111111</v>
      </c>
      <c r="G6" s="10">
        <v>0.49305555555555558</v>
      </c>
      <c r="H6" s="10"/>
      <c r="I6" s="10"/>
      <c r="J6" s="10"/>
      <c r="K6" s="5"/>
      <c r="L6" s="5"/>
      <c r="M6" s="5"/>
      <c r="N6" s="10">
        <f t="shared" ref="N6:N45" si="0">MOD(G6-F6, 1)</f>
        <v>0.25694444444444448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0.1701388888888889</v>
      </c>
      <c r="F7" s="10">
        <v>0.2638888888888889</v>
      </c>
      <c r="G7" s="10">
        <v>0.4375</v>
      </c>
      <c r="H7" s="10"/>
      <c r="I7" s="10"/>
      <c r="J7" s="10"/>
      <c r="K7" s="5"/>
      <c r="L7" s="5"/>
      <c r="M7" s="5"/>
      <c r="N7" s="10">
        <f t="shared" si="0"/>
        <v>0.1736111111111111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0.30555555555555558</v>
      </c>
      <c r="G8" s="10">
        <v>0.35416666666666669</v>
      </c>
      <c r="H8" s="10" t="s">
        <v>217</v>
      </c>
      <c r="I8" s="10">
        <v>353</v>
      </c>
      <c r="J8" s="10" t="s">
        <v>67</v>
      </c>
      <c r="K8" s="19">
        <v>0.35069444444444442</v>
      </c>
      <c r="L8" s="19">
        <v>0.3888888888888889</v>
      </c>
      <c r="M8" s="19">
        <v>0.42708333333333331</v>
      </c>
      <c r="N8" s="10">
        <f t="shared" si="0"/>
        <v>4.8611111111111105E-2</v>
      </c>
      <c r="O8" s="10">
        <f t="shared" si="1"/>
        <v>3.819444444444442E-2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0"/>
      <c r="I9" s="10"/>
      <c r="J9" s="10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0.21875</v>
      </c>
      <c r="F10" s="10">
        <v>0.25</v>
      </c>
      <c r="G10" s="10">
        <v>0.46875</v>
      </c>
      <c r="H10" s="10"/>
      <c r="I10" s="10"/>
      <c r="J10" s="10"/>
      <c r="K10" s="5"/>
      <c r="L10" s="5"/>
      <c r="M10" s="5"/>
      <c r="N10" s="10">
        <f t="shared" si="0"/>
        <v>0.21875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 t="s">
        <v>139</v>
      </c>
      <c r="F11" s="10" t="s">
        <v>140</v>
      </c>
      <c r="G11" s="10"/>
      <c r="H11" s="10"/>
      <c r="I11" s="10"/>
      <c r="J11" s="10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145</v>
      </c>
      <c r="C12" s="17">
        <v>353</v>
      </c>
      <c r="D12" s="17" t="s">
        <v>146</v>
      </c>
      <c r="E12" s="10" t="s">
        <v>139</v>
      </c>
      <c r="F12" s="10" t="s">
        <v>140</v>
      </c>
      <c r="G12" s="10"/>
      <c r="H12" s="10"/>
      <c r="I12" s="10"/>
      <c r="J12" s="10"/>
      <c r="K12" s="5"/>
      <c r="L12" s="5"/>
      <c r="M12" s="5"/>
      <c r="N12" s="10" t="e">
        <f t="shared" si="0"/>
        <v>#VALUE!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0.24305555555555555</v>
      </c>
      <c r="G13" s="10">
        <v>0.49652777777777779</v>
      </c>
      <c r="H13" s="10"/>
      <c r="I13" s="10"/>
      <c r="J13" s="10"/>
      <c r="K13" s="5"/>
      <c r="L13" s="5"/>
      <c r="M13" s="5"/>
      <c r="N13" s="10">
        <f t="shared" si="0"/>
        <v>0.25347222222222221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219</v>
      </c>
      <c r="C14" s="17">
        <v>773</v>
      </c>
      <c r="D14" s="17" t="s">
        <v>220</v>
      </c>
      <c r="E14" s="10">
        <v>0.25694444444444442</v>
      </c>
      <c r="F14" s="10">
        <v>0.27777777777777779</v>
      </c>
      <c r="G14" s="10">
        <v>0.34722222222222221</v>
      </c>
      <c r="H14" s="10"/>
      <c r="I14" s="10"/>
      <c r="J14" s="10"/>
      <c r="K14" s="5"/>
      <c r="L14" s="5"/>
      <c r="M14" s="5"/>
      <c r="N14" s="10">
        <f t="shared" si="0"/>
        <v>6.944444444444442E-2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7.9861111111111105E-2</v>
      </c>
      <c r="F15" s="10">
        <v>0.2638888888888889</v>
      </c>
      <c r="G15" s="10">
        <v>0.30555555555555558</v>
      </c>
      <c r="H15" s="10"/>
      <c r="I15" s="10"/>
      <c r="J15" s="10"/>
      <c r="K15" s="5"/>
      <c r="L15" s="5"/>
      <c r="M15" s="5"/>
      <c r="N15" s="10">
        <f t="shared" si="0"/>
        <v>4.1666666666666685E-2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160</v>
      </c>
      <c r="C16" s="17">
        <v>353</v>
      </c>
      <c r="D16" s="17" t="s">
        <v>171</v>
      </c>
      <c r="E16" s="10">
        <v>0.28125</v>
      </c>
      <c r="F16" s="10">
        <v>0.30208333333333331</v>
      </c>
      <c r="G16" s="10">
        <v>0.51041666666666663</v>
      </c>
      <c r="H16" s="10"/>
      <c r="I16" s="10"/>
      <c r="J16" s="10"/>
      <c r="K16" s="5"/>
      <c r="L16" s="5"/>
      <c r="M16" s="5"/>
      <c r="N16" s="10">
        <f t="shared" si="0"/>
        <v>0.20833333333333331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141</v>
      </c>
      <c r="E17" s="10">
        <v>0.25347222222222221</v>
      </c>
      <c r="F17" s="10">
        <v>0.27083333333333331</v>
      </c>
      <c r="G17" s="10">
        <v>0.50694444444444442</v>
      </c>
      <c r="H17" s="10"/>
      <c r="I17" s="10"/>
      <c r="J17" s="10"/>
      <c r="K17" s="5"/>
      <c r="L17" s="5"/>
      <c r="M17" s="5"/>
      <c r="N17" s="10">
        <f t="shared" si="0"/>
        <v>0.2361111111111111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0"/>
      <c r="I18" s="10"/>
      <c r="J18" s="10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221</v>
      </c>
      <c r="C19" s="17">
        <v>294</v>
      </c>
      <c r="D19" s="17" t="s">
        <v>81</v>
      </c>
      <c r="E19" s="10">
        <v>0.21527777777777779</v>
      </c>
      <c r="F19" s="10">
        <v>0.21875</v>
      </c>
      <c r="G19" s="10">
        <v>0.28819444444444442</v>
      </c>
      <c r="H19" s="10"/>
      <c r="I19" s="10"/>
      <c r="J19" s="10"/>
      <c r="K19" s="5"/>
      <c r="L19" s="5"/>
      <c r="M19" s="5"/>
      <c r="N19" s="10">
        <f t="shared" si="0"/>
        <v>6.944444444444442E-2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0.19444444444444445</v>
      </c>
      <c r="F20" s="10">
        <v>0.22916666666666666</v>
      </c>
      <c r="G20" s="10">
        <v>0.42708333333333331</v>
      </c>
      <c r="H20" s="10"/>
      <c r="I20" s="10"/>
      <c r="J20" s="10"/>
      <c r="K20" s="5"/>
      <c r="L20" s="5"/>
      <c r="M20" s="5"/>
      <c r="N20" s="10">
        <f t="shared" si="0"/>
        <v>0.19791666666666666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122</v>
      </c>
      <c r="C21" s="17">
        <v>353</v>
      </c>
      <c r="D21" s="17" t="s">
        <v>123</v>
      </c>
      <c r="E21" s="10" t="s">
        <v>166</v>
      </c>
      <c r="F21" s="10" t="s">
        <v>192</v>
      </c>
      <c r="G21" s="10" t="s">
        <v>168</v>
      </c>
      <c r="H21" s="10"/>
      <c r="I21" s="10"/>
      <c r="J21" s="10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0.2361111111111111</v>
      </c>
      <c r="F22" s="10">
        <v>0.27430555555555558</v>
      </c>
      <c r="G22" s="10">
        <v>0.36458333333333331</v>
      </c>
      <c r="H22" s="10"/>
      <c r="I22" s="10"/>
      <c r="J22" s="10"/>
      <c r="K22" s="5"/>
      <c r="L22" s="5"/>
      <c r="M22" s="5"/>
      <c r="N22" s="10">
        <f t="shared" si="0"/>
        <v>9.0277777777777735E-2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0.24305555555555555</v>
      </c>
      <c r="G23" s="10">
        <v>0.50694444444444442</v>
      </c>
      <c r="H23" s="10"/>
      <c r="I23" s="10"/>
      <c r="J23" s="10"/>
      <c r="K23" s="5"/>
      <c r="L23" s="5"/>
      <c r="M23" s="5"/>
      <c r="N23" s="10">
        <f t="shared" si="0"/>
        <v>0.26388888888888884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0.21180555555555555</v>
      </c>
      <c r="F24" s="10">
        <v>0.2326388888888889</v>
      </c>
      <c r="G24" s="10">
        <v>0.5</v>
      </c>
      <c r="H24" s="10"/>
      <c r="I24" s="10"/>
      <c r="J24" s="10"/>
      <c r="K24" s="5"/>
      <c r="L24" s="5"/>
      <c r="M24" s="5"/>
      <c r="N24" s="10">
        <f t="shared" si="0"/>
        <v>0.2673611111111111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7.9861111111111105E-2</v>
      </c>
      <c r="F25" s="10">
        <v>0.20833333333333334</v>
      </c>
      <c r="G25" s="10">
        <v>0.3263888888888889</v>
      </c>
      <c r="H25" s="10"/>
      <c r="I25" s="10"/>
      <c r="J25" s="10"/>
      <c r="K25" s="5"/>
      <c r="L25" s="5"/>
      <c r="M25" s="5"/>
      <c r="N25" s="10">
        <f t="shared" si="0"/>
        <v>0.11805555555555555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0.22916666666666666</v>
      </c>
      <c r="F26" s="10">
        <v>0.27430555555555558</v>
      </c>
      <c r="G26" s="10">
        <v>0.5</v>
      </c>
      <c r="H26" s="10"/>
      <c r="I26" s="10"/>
      <c r="J26" s="10"/>
      <c r="K26" s="5"/>
      <c r="L26" s="5"/>
      <c r="M26" s="5"/>
      <c r="N26" s="10">
        <f t="shared" si="0"/>
        <v>0.22569444444444442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0.21875</v>
      </c>
      <c r="F27" s="10">
        <v>0.23958333333333334</v>
      </c>
      <c r="G27" s="10">
        <v>0.32291666666666669</v>
      </c>
      <c r="H27" s="10"/>
      <c r="I27" s="10"/>
      <c r="J27" s="10"/>
      <c r="K27" s="5"/>
      <c r="L27" s="5"/>
      <c r="M27" s="5"/>
      <c r="N27" s="10">
        <f t="shared" si="0"/>
        <v>8.3333333333333343E-2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72</v>
      </c>
      <c r="C28" s="17" t="s">
        <v>226</v>
      </c>
      <c r="D28" s="17" t="s">
        <v>227</v>
      </c>
      <c r="E28" s="10">
        <v>0.2673611111111111</v>
      </c>
      <c r="F28" s="10">
        <v>0.2951388888888889</v>
      </c>
      <c r="G28" s="10">
        <v>0.50694444444444442</v>
      </c>
      <c r="H28" s="10"/>
      <c r="I28" s="10"/>
      <c r="J28" s="10"/>
      <c r="K28" s="5"/>
      <c r="L28" s="5"/>
      <c r="M28" s="5"/>
      <c r="N28" s="10">
        <f t="shared" si="0"/>
        <v>0.21180555555555552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228</v>
      </c>
      <c r="C29" s="17" t="s">
        <v>229</v>
      </c>
      <c r="D29" s="17" t="s">
        <v>230</v>
      </c>
      <c r="E29" s="10">
        <v>0.27430555555555558</v>
      </c>
      <c r="F29" s="10">
        <v>0.2951388888888889</v>
      </c>
      <c r="G29" s="10">
        <v>0.50694444444444442</v>
      </c>
      <c r="H29" s="10"/>
      <c r="I29" s="10"/>
      <c r="J29" s="10"/>
      <c r="K29" s="5"/>
      <c r="L29" s="5"/>
      <c r="M29" s="5"/>
      <c r="N29" s="10">
        <f t="shared" si="0"/>
        <v>0.21180555555555552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68</v>
      </c>
      <c r="C30" s="17">
        <v>353</v>
      </c>
      <c r="D30" s="17" t="s">
        <v>231</v>
      </c>
      <c r="E30" s="10">
        <v>0.23958333333333334</v>
      </c>
      <c r="F30" s="10">
        <v>0.2673611111111111</v>
      </c>
      <c r="G30" s="10">
        <v>0.28819444444444442</v>
      </c>
      <c r="H30" s="10"/>
      <c r="I30" s="10"/>
      <c r="J30" s="10"/>
      <c r="K30" s="5"/>
      <c r="L30" s="5"/>
      <c r="M30" s="5"/>
      <c r="N30" s="10">
        <f t="shared" si="0"/>
        <v>2.0833333333333315E-2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223</v>
      </c>
      <c r="C31" s="17" t="s">
        <v>224</v>
      </c>
      <c r="D31" s="17" t="s">
        <v>225</v>
      </c>
      <c r="E31" s="10">
        <v>0.19097222222222221</v>
      </c>
      <c r="F31" s="10">
        <v>0.2326388888888889</v>
      </c>
      <c r="G31" s="10">
        <v>0.43055555555555558</v>
      </c>
      <c r="H31" s="10"/>
      <c r="I31" s="10"/>
      <c r="J31" s="10"/>
      <c r="K31" s="5"/>
      <c r="L31" s="5"/>
      <c r="M31" s="5"/>
      <c r="N31" s="10">
        <f t="shared" si="0"/>
        <v>0.19791666666666669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0"/>
      <c r="I32" s="10"/>
      <c r="J32" s="10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211</v>
      </c>
      <c r="C33" s="17">
        <v>775</v>
      </c>
      <c r="D33" s="17" t="s">
        <v>212</v>
      </c>
      <c r="E33" s="10">
        <v>0.22916666666666666</v>
      </c>
      <c r="F33" s="10">
        <v>0.25</v>
      </c>
      <c r="G33" s="10">
        <v>0.27083333333333331</v>
      </c>
      <c r="H33" s="10" t="s">
        <v>222</v>
      </c>
      <c r="I33" s="10">
        <v>184502</v>
      </c>
      <c r="J33" s="10" t="s">
        <v>148</v>
      </c>
      <c r="K33" s="19">
        <v>0.22569444444444445</v>
      </c>
      <c r="L33" s="19">
        <v>0.24305555555555555</v>
      </c>
      <c r="M33" s="19">
        <v>0.2673611111111111</v>
      </c>
      <c r="N33" s="10">
        <f t="shared" si="0"/>
        <v>2.0833333333333315E-2</v>
      </c>
      <c r="O33" s="10">
        <f t="shared" si="1"/>
        <v>2.4305555555555552E-2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0.21180555555555555</v>
      </c>
      <c r="F34" s="10">
        <v>0.2361111111111111</v>
      </c>
      <c r="G34" s="10">
        <v>0.46180555555555558</v>
      </c>
      <c r="H34" s="10"/>
      <c r="I34" s="10"/>
      <c r="J34" s="10"/>
      <c r="K34" s="5"/>
      <c r="L34" s="5"/>
      <c r="M34" s="5"/>
      <c r="N34" s="10">
        <f t="shared" si="0"/>
        <v>0.22569444444444448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5.2083333333333336E-2</v>
      </c>
      <c r="F35" s="10">
        <v>0.11458333333333333</v>
      </c>
      <c r="G35" s="10">
        <v>0.29166666666666669</v>
      </c>
      <c r="H35" s="10"/>
      <c r="I35" s="10"/>
      <c r="J35" s="10"/>
      <c r="K35" s="5"/>
      <c r="L35" s="5"/>
      <c r="M35" s="5"/>
      <c r="N35" s="10">
        <f t="shared" si="0"/>
        <v>0.17708333333333337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0.2638888888888889</v>
      </c>
      <c r="G36" s="10">
        <v>0.3923611111111111</v>
      </c>
      <c r="H36" s="10"/>
      <c r="I36" s="10"/>
      <c r="J36" s="10"/>
      <c r="K36" s="5"/>
      <c r="L36" s="5"/>
      <c r="M36" s="5"/>
      <c r="N36" s="10">
        <f t="shared" si="0"/>
        <v>0.12847222222222221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72</v>
      </c>
      <c r="C37" s="17">
        <v>180</v>
      </c>
      <c r="D37" s="17" t="s">
        <v>73</v>
      </c>
      <c r="E37" s="10">
        <v>0.19444444444444445</v>
      </c>
      <c r="F37" s="10">
        <v>0.21527777777777779</v>
      </c>
      <c r="G37" s="10">
        <v>0.3611111111111111</v>
      </c>
      <c r="H37" s="10"/>
      <c r="I37" s="10"/>
      <c r="J37" s="10"/>
      <c r="K37" s="5"/>
      <c r="L37" s="5"/>
      <c r="M37" s="6"/>
      <c r="N37" s="10">
        <f t="shared" si="0"/>
        <v>0.14583333333333331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0.22569444444444445</v>
      </c>
      <c r="F38" s="10">
        <v>0.27083333333333331</v>
      </c>
      <c r="G38" s="10">
        <v>0.30208333333333331</v>
      </c>
      <c r="H38" s="10"/>
      <c r="I38" s="10"/>
      <c r="J38" s="10"/>
      <c r="K38" s="5"/>
      <c r="L38" s="5"/>
      <c r="M38" s="5"/>
      <c r="N38" s="10">
        <f t="shared" si="0"/>
        <v>3.125E-2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0"/>
      <c r="I39" s="10"/>
      <c r="J39" s="10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0"/>
      <c r="I40" s="10"/>
      <c r="J40" s="10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151</v>
      </c>
      <c r="C41" s="17">
        <v>353</v>
      </c>
      <c r="D41" s="17" t="s">
        <v>111</v>
      </c>
      <c r="E41" s="10">
        <v>0.22222222222222221</v>
      </c>
      <c r="F41" s="10">
        <v>0.27430555555555558</v>
      </c>
      <c r="G41" s="10">
        <v>0.51041666666666663</v>
      </c>
      <c r="H41" s="10"/>
      <c r="I41" s="10"/>
      <c r="J41" s="10"/>
      <c r="K41" s="5"/>
      <c r="L41" s="5"/>
      <c r="M41" s="5"/>
      <c r="N41" s="10">
        <f t="shared" si="0"/>
        <v>0.23611111111111105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0.2361111111111111</v>
      </c>
      <c r="F42" s="10">
        <v>0.24652777777777779</v>
      </c>
      <c r="G42" s="10">
        <v>0.31944444444444442</v>
      </c>
      <c r="H42" s="10"/>
      <c r="I42" s="10"/>
      <c r="J42" s="10"/>
      <c r="K42" s="5"/>
      <c r="L42" s="5"/>
      <c r="M42" s="5"/>
      <c r="N42" s="10">
        <f t="shared" si="0"/>
        <v>7.291666666666663E-2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0.25694444444444442</v>
      </c>
      <c r="F43" s="10">
        <v>0.29166666666666669</v>
      </c>
      <c r="G43" s="10">
        <v>0.50347222222222221</v>
      </c>
      <c r="H43" s="16"/>
      <c r="I43" s="16"/>
      <c r="J43" s="16"/>
      <c r="K43" s="5"/>
      <c r="L43" s="5"/>
      <c r="M43" s="5"/>
      <c r="N43" s="10">
        <f t="shared" si="0"/>
        <v>0.21180555555555552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0.19791666666666666</v>
      </c>
      <c r="F44" s="10">
        <v>0.21875</v>
      </c>
      <c r="G44" s="10">
        <v>0.50694444444444442</v>
      </c>
      <c r="H44" s="16"/>
      <c r="I44" s="16"/>
      <c r="J44" s="16"/>
      <c r="K44" s="5"/>
      <c r="L44" s="5"/>
      <c r="M44" s="5"/>
      <c r="N44" s="10">
        <f t="shared" si="0"/>
        <v>0.28819444444444442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126</v>
      </c>
      <c r="C45" s="17">
        <v>479</v>
      </c>
      <c r="D45" s="17" t="s">
        <v>127</v>
      </c>
      <c r="E45" s="10">
        <v>0.22569444444444445</v>
      </c>
      <c r="F45" s="10">
        <v>0.28125</v>
      </c>
      <c r="G45" s="10">
        <v>0.45833333333333331</v>
      </c>
      <c r="H45" s="16"/>
      <c r="I45" s="16"/>
      <c r="J45" s="16"/>
      <c r="K45" s="5"/>
      <c r="L45" s="5"/>
      <c r="M45" s="5"/>
      <c r="N45" s="10">
        <f t="shared" si="0"/>
        <v>0.17708333333333331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1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F0DE-6071-42E2-AB18-425BF6DAA449}">
  <dimension ref="A1:O49"/>
  <sheetViews>
    <sheetView showGridLines="0" zoomScale="55" zoomScaleNormal="55" workbookViewId="0">
      <pane ySplit="3" topLeftCell="A4" activePane="bottomLeft" state="frozen"/>
      <selection pane="bottomLeft" sqref="A1:XFD1048576"/>
    </sheetView>
  </sheetViews>
  <sheetFormatPr defaultRowHeight="15" x14ac:dyDescent="0.25"/>
  <cols>
    <col min="1" max="1" width="53.85546875" customWidth="1"/>
    <col min="2" max="2" width="28.42578125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35.4257812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245</v>
      </c>
      <c r="C5" s="16" t="s">
        <v>246</v>
      </c>
      <c r="D5" s="16" t="s">
        <v>247</v>
      </c>
      <c r="E5" s="10">
        <v>0.21875</v>
      </c>
      <c r="F5" s="10">
        <v>0.25347222222222221</v>
      </c>
      <c r="G5" s="10">
        <v>0.41319444444444442</v>
      </c>
      <c r="H5" s="16"/>
      <c r="I5" s="16"/>
      <c r="J5" s="16"/>
      <c r="K5" s="20"/>
      <c r="L5" s="8"/>
      <c r="M5" s="9"/>
      <c r="N5" s="10">
        <f>MOD(G5-F5, 1)</f>
        <v>0.15972222222222221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232</v>
      </c>
      <c r="C6" s="17">
        <v>353</v>
      </c>
      <c r="D6" s="17" t="s">
        <v>111</v>
      </c>
      <c r="E6" s="10">
        <v>0.27777777777777779</v>
      </c>
      <c r="F6" s="10">
        <v>0.3263888888888889</v>
      </c>
      <c r="G6" s="10">
        <v>0.53125</v>
      </c>
      <c r="H6" s="16"/>
      <c r="I6" s="16"/>
      <c r="J6" s="16"/>
      <c r="K6" s="5"/>
      <c r="L6" s="5"/>
      <c r="M6" s="5"/>
      <c r="N6" s="10">
        <f t="shared" ref="N6:N45" si="0">MOD(G6-F6, 1)</f>
        <v>0.2048611111111111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56</v>
      </c>
      <c r="C7" s="17">
        <v>184090</v>
      </c>
      <c r="D7" s="17" t="s">
        <v>57</v>
      </c>
      <c r="E7" s="10">
        <v>0.10069444444444445</v>
      </c>
      <c r="F7" s="10">
        <v>0.25694444444444442</v>
      </c>
      <c r="G7" s="10">
        <v>0.5</v>
      </c>
      <c r="H7" s="16" t="s">
        <v>53</v>
      </c>
      <c r="I7" s="16">
        <v>15</v>
      </c>
      <c r="J7" s="16" t="s">
        <v>54</v>
      </c>
      <c r="K7" s="20">
        <v>0.13194444444444445</v>
      </c>
      <c r="L7" s="19">
        <v>0.25</v>
      </c>
      <c r="M7" s="19">
        <v>0.2986111111111111</v>
      </c>
      <c r="N7" s="10">
        <f t="shared" si="0"/>
        <v>0.24305555555555558</v>
      </c>
      <c r="O7" s="10">
        <f t="shared" si="1"/>
        <v>4.8611111111111105E-2</v>
      </c>
    </row>
    <row r="8" spans="1:15" ht="20.100000000000001" customHeight="1" x14ac:dyDescent="0.25">
      <c r="A8" s="14" t="s">
        <v>8</v>
      </c>
      <c r="B8" s="17" t="s">
        <v>155</v>
      </c>
      <c r="C8" s="17">
        <v>353</v>
      </c>
      <c r="D8" s="17" t="s">
        <v>156</v>
      </c>
      <c r="E8" s="10">
        <v>0.28472222222222221</v>
      </c>
      <c r="F8" s="10">
        <v>0.30208333333333331</v>
      </c>
      <c r="G8" s="10">
        <v>0.39583333333333331</v>
      </c>
      <c r="H8" s="16"/>
      <c r="I8" s="16"/>
      <c r="J8" s="16"/>
      <c r="K8" s="5"/>
      <c r="L8" s="5"/>
      <c r="M8" s="5"/>
      <c r="N8" s="10">
        <f t="shared" si="0"/>
        <v>9.375E-2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62</v>
      </c>
      <c r="C10" s="17">
        <v>184016</v>
      </c>
      <c r="D10" s="17" t="s">
        <v>63</v>
      </c>
      <c r="E10" s="10" t="s">
        <v>139</v>
      </c>
      <c r="F10" s="10" t="s">
        <v>140</v>
      </c>
      <c r="G10" s="10"/>
      <c r="H10" s="16"/>
      <c r="I10" s="16"/>
      <c r="J10" s="16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0.2951388888888889</v>
      </c>
      <c r="F12" s="10">
        <v>0.3263888888888889</v>
      </c>
      <c r="G12" s="10">
        <v>0.52430555555555558</v>
      </c>
      <c r="H12" s="16"/>
      <c r="I12" s="16"/>
      <c r="J12" s="16"/>
      <c r="K12" s="5"/>
      <c r="L12" s="5"/>
      <c r="M12" s="5"/>
      <c r="N12" s="10">
        <f t="shared" si="0"/>
        <v>0.19791666666666669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144</v>
      </c>
      <c r="C13" s="17">
        <v>353</v>
      </c>
      <c r="D13" s="17" t="s">
        <v>218</v>
      </c>
      <c r="E13" s="10" t="s">
        <v>139</v>
      </c>
      <c r="F13" s="10" t="s">
        <v>140</v>
      </c>
      <c r="G13" s="10"/>
      <c r="H13" s="16"/>
      <c r="I13" s="16"/>
      <c r="J13" s="16"/>
      <c r="K13" s="5"/>
      <c r="L13" s="5"/>
      <c r="M13" s="5"/>
      <c r="N13" s="10" t="e">
        <f t="shared" si="0"/>
        <v>#VALUE!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0.31597222222222221</v>
      </c>
      <c r="F14" s="10">
        <v>0.34375</v>
      </c>
      <c r="G14" s="10">
        <v>0.4548611111111111</v>
      </c>
      <c r="H14" s="16"/>
      <c r="I14" s="16"/>
      <c r="J14" s="16"/>
      <c r="K14" s="5"/>
      <c r="L14" s="5"/>
      <c r="M14" s="5"/>
      <c r="N14" s="10">
        <f t="shared" si="0"/>
        <v>0.1111111111111111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7.9861111111111105E-2</v>
      </c>
      <c r="F15" s="10">
        <v>0.26041666666666669</v>
      </c>
      <c r="G15" s="10">
        <v>0.31597222222222221</v>
      </c>
      <c r="H15" s="16"/>
      <c r="I15" s="16"/>
      <c r="J15" s="16"/>
      <c r="K15" s="5"/>
      <c r="L15" s="5"/>
      <c r="M15" s="5"/>
      <c r="N15" s="10">
        <f t="shared" si="0"/>
        <v>5.5555555555555525E-2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233</v>
      </c>
      <c r="C16" s="17">
        <v>294</v>
      </c>
      <c r="D16" s="17" t="s">
        <v>234</v>
      </c>
      <c r="E16" s="10">
        <v>0.28819444444444442</v>
      </c>
      <c r="F16" s="10">
        <v>0.30208333333333331</v>
      </c>
      <c r="G16" s="10">
        <v>0.53819444444444442</v>
      </c>
      <c r="H16" s="16" t="s">
        <v>235</v>
      </c>
      <c r="I16" s="16">
        <v>353</v>
      </c>
      <c r="J16" s="16" t="s">
        <v>236</v>
      </c>
      <c r="K16" s="19">
        <v>0.30208333333333331</v>
      </c>
      <c r="L16" s="19">
        <v>0.31597222222222221</v>
      </c>
      <c r="M16" s="19">
        <v>0.50694444444444442</v>
      </c>
      <c r="N16" s="10">
        <f t="shared" si="0"/>
        <v>0.2361111111111111</v>
      </c>
      <c r="O16" s="10">
        <f t="shared" si="1"/>
        <v>0.19097222222222221</v>
      </c>
    </row>
    <row r="17" spans="1:15" ht="20.100000000000001" customHeight="1" x14ac:dyDescent="0.25">
      <c r="A17" s="14" t="s">
        <v>17</v>
      </c>
      <c r="B17" s="17" t="s">
        <v>102</v>
      </c>
      <c r="C17" s="17">
        <v>184016</v>
      </c>
      <c r="D17" s="17" t="s">
        <v>103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 t="e">
        <f t="shared" si="0"/>
        <v>#VALUE!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221</v>
      </c>
      <c r="C19" s="17">
        <v>294</v>
      </c>
      <c r="D19" s="17" t="s">
        <v>81</v>
      </c>
      <c r="E19" s="10">
        <v>0.21180555555555555</v>
      </c>
      <c r="F19" s="10">
        <v>0.21527777777777779</v>
      </c>
      <c r="G19" s="10">
        <v>0.34375</v>
      </c>
      <c r="H19" s="16"/>
      <c r="I19" s="16"/>
      <c r="J19" s="16"/>
      <c r="K19" s="5"/>
      <c r="L19" s="5"/>
      <c r="M19" s="5"/>
      <c r="N19" s="10">
        <f t="shared" si="0"/>
        <v>0.12847222222222221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0.2013888888888889</v>
      </c>
      <c r="F20" s="10">
        <v>0.2326388888888889</v>
      </c>
      <c r="G20" s="10">
        <v>0.50694444444444442</v>
      </c>
      <c r="H20" s="16" t="s">
        <v>237</v>
      </c>
      <c r="I20" s="16">
        <v>184446</v>
      </c>
      <c r="J20" s="16" t="s">
        <v>238</v>
      </c>
      <c r="K20" s="19">
        <v>0.25347222222222221</v>
      </c>
      <c r="L20" s="19">
        <v>0.28819444444444442</v>
      </c>
      <c r="M20" s="19">
        <v>0.32291666666666669</v>
      </c>
      <c r="N20" s="10">
        <f t="shared" si="0"/>
        <v>0.27430555555555552</v>
      </c>
      <c r="O20" s="10">
        <f t="shared" si="1"/>
        <v>3.4722222222222265E-2</v>
      </c>
    </row>
    <row r="21" spans="1:15" ht="20.100000000000001" customHeight="1" x14ac:dyDescent="0.25">
      <c r="A21" s="14" t="s">
        <v>21</v>
      </c>
      <c r="B21" s="17" t="s">
        <v>60</v>
      </c>
      <c r="C21" s="17">
        <v>16</v>
      </c>
      <c r="D21" s="17" t="s">
        <v>61</v>
      </c>
      <c r="E21" s="10">
        <v>0.25</v>
      </c>
      <c r="F21" s="10">
        <v>0.27777777777777779</v>
      </c>
      <c r="G21" s="10">
        <v>0.38194444444444442</v>
      </c>
      <c r="H21" s="16"/>
      <c r="I21" s="16"/>
      <c r="J21" s="16"/>
      <c r="K21" s="5"/>
      <c r="L21" s="5"/>
      <c r="M21" s="6"/>
      <c r="N21" s="10">
        <f t="shared" si="0"/>
        <v>0.10416666666666663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0.21527777777777779</v>
      </c>
      <c r="F22" s="10">
        <v>0.23958333333333334</v>
      </c>
      <c r="G22" s="10">
        <v>0.31597222222222221</v>
      </c>
      <c r="H22" s="16"/>
      <c r="I22" s="16"/>
      <c r="J22" s="16"/>
      <c r="K22" s="5"/>
      <c r="L22" s="5"/>
      <c r="M22" s="5"/>
      <c r="N22" s="10">
        <f t="shared" si="0"/>
        <v>7.6388888888888867E-2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0.21527777777777779</v>
      </c>
      <c r="F24" s="10">
        <v>0.2326388888888889</v>
      </c>
      <c r="G24" s="10">
        <v>0.51388888888888884</v>
      </c>
      <c r="H24" s="16"/>
      <c r="I24" s="16"/>
      <c r="J24" s="16"/>
      <c r="K24" s="5"/>
      <c r="L24" s="5"/>
      <c r="M24" s="5"/>
      <c r="N24" s="10">
        <f t="shared" si="0"/>
        <v>0.28124999999999994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7.9861111111111105E-2</v>
      </c>
      <c r="F25" s="10">
        <v>0.22222222222222221</v>
      </c>
      <c r="G25" s="10">
        <v>0.47916666666666669</v>
      </c>
      <c r="H25" s="16"/>
      <c r="I25" s="16"/>
      <c r="J25" s="16"/>
      <c r="K25" s="5"/>
      <c r="L25" s="5"/>
      <c r="M25" s="5"/>
      <c r="N25" s="10">
        <f t="shared" si="0"/>
        <v>0.25694444444444448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0.28125</v>
      </c>
      <c r="F26" s="10">
        <v>0.30902777777777779</v>
      </c>
      <c r="G26" s="10">
        <v>0.53819444444444442</v>
      </c>
      <c r="H26" s="16" t="s">
        <v>114</v>
      </c>
      <c r="I26" s="16">
        <v>294</v>
      </c>
      <c r="J26" s="16" t="s">
        <v>239</v>
      </c>
      <c r="K26" s="19">
        <v>0.27777777777777779</v>
      </c>
      <c r="L26" s="19">
        <v>0.30208333333333331</v>
      </c>
      <c r="M26" s="19">
        <v>0.34027777777777779</v>
      </c>
      <c r="N26" s="10">
        <f t="shared" si="0"/>
        <v>0.22916666666666663</v>
      </c>
      <c r="O26" s="10">
        <f t="shared" si="1"/>
        <v>3.8194444444444475E-2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0.25</v>
      </c>
      <c r="F27" s="10">
        <v>0.27083333333333331</v>
      </c>
      <c r="G27" s="10">
        <v>0.32291666666666669</v>
      </c>
      <c r="H27" s="16" t="s">
        <v>240</v>
      </c>
      <c r="I27" s="16">
        <v>353</v>
      </c>
      <c r="J27" s="16" t="s">
        <v>241</v>
      </c>
      <c r="K27" s="5"/>
      <c r="L27" s="5"/>
      <c r="M27" s="5"/>
      <c r="N27" s="10">
        <f t="shared" si="0"/>
        <v>5.208333333333337E-2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242</v>
      </c>
      <c r="C28" s="17">
        <v>184016</v>
      </c>
      <c r="D28" s="17" t="s">
        <v>175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78</v>
      </c>
      <c r="C29" s="17">
        <v>792</v>
      </c>
      <c r="D29" s="17" t="s">
        <v>79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198</v>
      </c>
      <c r="C30" s="17">
        <v>811</v>
      </c>
      <c r="D30" s="17" t="s">
        <v>199</v>
      </c>
      <c r="E30" s="10">
        <v>0.2361111111111111</v>
      </c>
      <c r="F30" s="10">
        <v>0.25694444444444442</v>
      </c>
      <c r="G30" s="10">
        <v>0.36805555555555558</v>
      </c>
      <c r="H30" s="16" t="s">
        <v>169</v>
      </c>
      <c r="I30" s="16">
        <v>353</v>
      </c>
      <c r="J30" s="16" t="s">
        <v>171</v>
      </c>
      <c r="K30" s="19" t="s">
        <v>166</v>
      </c>
      <c r="L30" s="5" t="s">
        <v>192</v>
      </c>
      <c r="M30" s="5" t="s">
        <v>168</v>
      </c>
      <c r="N30" s="10">
        <f t="shared" si="0"/>
        <v>0.11111111111111116</v>
      </c>
      <c r="O30" s="10" t="e">
        <f t="shared" si="1"/>
        <v>#VALUE!</v>
      </c>
    </row>
    <row r="31" spans="1:15" ht="20.100000000000001" customHeight="1" x14ac:dyDescent="0.25">
      <c r="A31" s="14" t="s">
        <v>31</v>
      </c>
      <c r="B31" s="17" t="s">
        <v>104</v>
      </c>
      <c r="C31" s="17">
        <v>811</v>
      </c>
      <c r="D31" s="17" t="s">
        <v>105</v>
      </c>
      <c r="E31" s="10">
        <v>0.2361111111111111</v>
      </c>
      <c r="F31" s="10">
        <v>0.2673611111111111</v>
      </c>
      <c r="G31" s="10">
        <v>0.51736111111111116</v>
      </c>
      <c r="H31" s="16"/>
      <c r="I31" s="16"/>
      <c r="J31" s="16"/>
      <c r="K31" s="5"/>
      <c r="L31" s="5"/>
      <c r="M31" s="5"/>
      <c r="N31" s="10">
        <f t="shared" si="0"/>
        <v>0.25000000000000006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0.19791666666666666</v>
      </c>
      <c r="F33" s="10">
        <v>0.22222222222222221</v>
      </c>
      <c r="G33" s="10">
        <v>0.27777777777777779</v>
      </c>
      <c r="H33" s="16"/>
      <c r="I33" s="16"/>
      <c r="J33" s="16"/>
      <c r="K33" s="5"/>
      <c r="L33" s="5"/>
      <c r="M33" s="5"/>
      <c r="N33" s="10">
        <f t="shared" si="0"/>
        <v>5.555555555555558E-2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100</v>
      </c>
      <c r="C34" s="17">
        <v>184016</v>
      </c>
      <c r="D34" s="17" t="s">
        <v>101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7.9861111111111105E-2</v>
      </c>
      <c r="F35" s="10">
        <v>0.1423611111111111</v>
      </c>
      <c r="G35" s="10">
        <v>0.31944444444444442</v>
      </c>
      <c r="H35" s="16"/>
      <c r="I35" s="16"/>
      <c r="J35" s="16"/>
      <c r="K35" s="5"/>
      <c r="L35" s="5"/>
      <c r="M35" s="5"/>
      <c r="N35" s="10">
        <f t="shared" si="0"/>
        <v>0.17708333333333331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0.22916666666666666</v>
      </c>
      <c r="F36" s="10">
        <v>0.25347222222222221</v>
      </c>
      <c r="G36" s="10">
        <v>0.53819444444444442</v>
      </c>
      <c r="H36" s="16" t="s">
        <v>207</v>
      </c>
      <c r="I36" s="16">
        <v>782</v>
      </c>
      <c r="J36" s="16" t="s">
        <v>208</v>
      </c>
      <c r="K36" s="19">
        <v>0.2361111111111111</v>
      </c>
      <c r="L36" s="19">
        <v>0.25347222222222221</v>
      </c>
      <c r="M36" s="19">
        <v>0.35069444444444442</v>
      </c>
      <c r="N36" s="10">
        <f t="shared" si="0"/>
        <v>0.28472222222222221</v>
      </c>
      <c r="O36" s="10">
        <f t="shared" si="1"/>
        <v>9.722222222222221E-2</v>
      </c>
    </row>
    <row r="37" spans="1:15" ht="20.100000000000001" customHeight="1" x14ac:dyDescent="0.25">
      <c r="A37" s="14" t="s">
        <v>37</v>
      </c>
      <c r="B37" s="17" t="s">
        <v>120</v>
      </c>
      <c r="C37" s="17">
        <v>184016</v>
      </c>
      <c r="D37" s="17" t="s">
        <v>121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118</v>
      </c>
      <c r="C38" s="17">
        <v>184016</v>
      </c>
      <c r="D38" s="17" t="s">
        <v>119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 t="s">
        <v>243</v>
      </c>
      <c r="I40" s="16">
        <v>732</v>
      </c>
      <c r="J40" s="16" t="s">
        <v>154</v>
      </c>
      <c r="K40" s="19">
        <v>0.3611111111111111</v>
      </c>
      <c r="L40" s="19">
        <v>0.40972222222222221</v>
      </c>
      <c r="M40" s="19">
        <v>0.4201388888888889</v>
      </c>
      <c r="N40" s="10" t="e">
        <f t="shared" si="0"/>
        <v>#VALUE!</v>
      </c>
      <c r="O40" s="10">
        <f t="shared" si="1"/>
        <v>1.0416666666666685E-2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0.30555555555555558</v>
      </c>
      <c r="F41" s="10">
        <v>0.35416666666666669</v>
      </c>
      <c r="G41" s="10">
        <v>0.53472222222222221</v>
      </c>
      <c r="H41" s="16"/>
      <c r="I41" s="16"/>
      <c r="J41" s="16"/>
      <c r="K41" s="5"/>
      <c r="L41" s="5"/>
      <c r="M41" s="5"/>
      <c r="N41" s="10">
        <f t="shared" si="0"/>
        <v>0.18055555555555552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112</v>
      </c>
      <c r="C42" s="17">
        <v>184016</v>
      </c>
      <c r="D42" s="17" t="s">
        <v>113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110</v>
      </c>
      <c r="C43" s="17">
        <v>294</v>
      </c>
      <c r="D43" s="17" t="s">
        <v>141</v>
      </c>
      <c r="E43" s="10">
        <v>0.22916666666666666</v>
      </c>
      <c r="F43" s="10">
        <v>0.26041666666666669</v>
      </c>
      <c r="G43" s="10">
        <v>0.53472222222222221</v>
      </c>
      <c r="H43" s="16" t="s">
        <v>244</v>
      </c>
      <c r="I43" s="16">
        <v>353</v>
      </c>
      <c r="J43" s="16" t="s">
        <v>131</v>
      </c>
      <c r="K43" s="19">
        <v>0.46180555555555558</v>
      </c>
      <c r="L43" s="19">
        <v>0.51041666666666663</v>
      </c>
      <c r="M43" s="19">
        <v>0.54166666666666663</v>
      </c>
      <c r="N43" s="10">
        <f t="shared" si="0"/>
        <v>0.27430555555555552</v>
      </c>
      <c r="O43" s="10">
        <f t="shared" si="1"/>
        <v>3.125E-2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0.2326388888888889</v>
      </c>
      <c r="F44" s="10">
        <v>0.25</v>
      </c>
      <c r="G44" s="10">
        <v>0.53472222222222221</v>
      </c>
      <c r="H44" s="16" t="s">
        <v>149</v>
      </c>
      <c r="I44" s="16">
        <v>138</v>
      </c>
      <c r="J44" s="16" t="s">
        <v>150</v>
      </c>
      <c r="K44" s="19">
        <v>0.2048611111111111</v>
      </c>
      <c r="L44" s="19">
        <v>0.27430555555555558</v>
      </c>
      <c r="M44" s="19">
        <v>0.34375</v>
      </c>
      <c r="N44" s="10">
        <f t="shared" si="0"/>
        <v>0.28472222222222221</v>
      </c>
      <c r="O44" s="10">
        <f t="shared" si="1"/>
        <v>6.944444444444442E-2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BDF2-0705-45E0-8AA2-09571CA23529}">
  <dimension ref="A1:O49"/>
  <sheetViews>
    <sheetView showGridLines="0" zoomScale="55" zoomScaleNormal="55" workbookViewId="0">
      <pane ySplit="3" topLeftCell="A4" activePane="bottomLeft" state="frozen"/>
      <selection pane="bottomLeft" activeCell="G46" sqref="G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0.22222222222222221</v>
      </c>
      <c r="F5" s="10">
        <v>0.28819444444444442</v>
      </c>
      <c r="G5" s="10">
        <v>0.34722222222222221</v>
      </c>
      <c r="H5" s="16"/>
      <c r="I5" s="16"/>
      <c r="J5" s="16"/>
      <c r="K5" s="8"/>
      <c r="L5" s="8"/>
      <c r="M5" s="9"/>
      <c r="N5" s="10">
        <f>MOD(G5-F5, 1)</f>
        <v>5.902777777777779E-2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161</v>
      </c>
      <c r="E6" s="10">
        <v>0.22569444444444445</v>
      </c>
      <c r="F6" s="10">
        <v>0.28125</v>
      </c>
      <c r="G6" s="10">
        <v>0.51388888888888884</v>
      </c>
      <c r="H6" s="16"/>
      <c r="I6" s="16"/>
      <c r="J6" s="16"/>
      <c r="K6" s="5"/>
      <c r="L6" s="5"/>
      <c r="M6" s="5"/>
      <c r="N6" s="10">
        <f t="shared" ref="N6:N45" si="0">MOD(G6-F6, 1)</f>
        <v>0.23263888888888884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0.15277777777777779</v>
      </c>
      <c r="F7" s="10">
        <v>0.25</v>
      </c>
      <c r="G7" s="10">
        <v>0.52430555555555558</v>
      </c>
      <c r="H7" s="16"/>
      <c r="I7" s="16"/>
      <c r="J7" s="16"/>
      <c r="K7" s="5"/>
      <c r="L7" s="5"/>
      <c r="M7" s="5"/>
      <c r="N7" s="10">
        <f t="shared" si="0"/>
        <v>0.27430555555555558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155</v>
      </c>
      <c r="C8" s="17">
        <v>353</v>
      </c>
      <c r="D8" s="17" t="s">
        <v>156</v>
      </c>
      <c r="E8" s="10">
        <v>0.22222222222222221</v>
      </c>
      <c r="F8" s="10">
        <v>0.24652777777777779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0.10069444444444442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 t="s">
        <v>166</v>
      </c>
      <c r="F9" s="10" t="s">
        <v>192</v>
      </c>
      <c r="G9" s="10" t="s">
        <v>168</v>
      </c>
      <c r="H9" s="16"/>
      <c r="I9" s="16"/>
      <c r="J9" s="16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248</v>
      </c>
      <c r="C10" s="17">
        <v>353</v>
      </c>
      <c r="D10" s="17" t="s">
        <v>71</v>
      </c>
      <c r="E10" s="10">
        <v>0.19444444444444445</v>
      </c>
      <c r="F10" s="10">
        <v>0.25</v>
      </c>
      <c r="G10" s="10">
        <v>0.48958333333333331</v>
      </c>
      <c r="H10" s="16"/>
      <c r="I10" s="16"/>
      <c r="J10" s="16"/>
      <c r="K10" s="5"/>
      <c r="L10" s="5"/>
      <c r="M10" s="5"/>
      <c r="N10" s="10">
        <f t="shared" si="0"/>
        <v>0.23958333333333331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0.21875</v>
      </c>
      <c r="F12" s="10">
        <v>0.24652777777777779</v>
      </c>
      <c r="G12" s="10">
        <v>0.56597222222222221</v>
      </c>
      <c r="H12" s="16"/>
      <c r="I12" s="16"/>
      <c r="J12" s="16"/>
      <c r="K12" s="5"/>
      <c r="L12" s="5"/>
      <c r="M12" s="5"/>
      <c r="N12" s="10">
        <f t="shared" si="0"/>
        <v>0.31944444444444442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0.25347222222222221</v>
      </c>
      <c r="G13" s="10">
        <v>0.52430555555555558</v>
      </c>
      <c r="H13" s="16"/>
      <c r="I13" s="16"/>
      <c r="J13" s="16"/>
      <c r="K13" s="5"/>
      <c r="L13" s="5"/>
      <c r="M13" s="5"/>
      <c r="N13" s="10">
        <f t="shared" si="0"/>
        <v>0.27083333333333337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0.21180555555555555</v>
      </c>
      <c r="G14" s="10">
        <v>0.33680555555555558</v>
      </c>
      <c r="H14" s="16"/>
      <c r="I14" s="16"/>
      <c r="J14" s="16"/>
      <c r="K14" s="5"/>
      <c r="L14" s="5"/>
      <c r="M14" s="5"/>
      <c r="N14" s="10">
        <f t="shared" si="0"/>
        <v>0.12500000000000003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2.4305555555555556E-2</v>
      </c>
      <c r="F15" s="10">
        <v>0.26041666666666669</v>
      </c>
      <c r="G15" s="10">
        <v>0.38194444444444442</v>
      </c>
      <c r="H15" s="16"/>
      <c r="I15" s="16"/>
      <c r="J15" s="16"/>
      <c r="K15" s="5"/>
      <c r="L15" s="5"/>
      <c r="M15" s="5"/>
      <c r="N15" s="10">
        <f t="shared" si="0"/>
        <v>0.12152777777777773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110</v>
      </c>
      <c r="C16" s="17">
        <v>294</v>
      </c>
      <c r="D16" s="17" t="s">
        <v>141</v>
      </c>
      <c r="E16" s="10">
        <v>0.20833333333333334</v>
      </c>
      <c r="F16" s="10">
        <v>0.22222222222222221</v>
      </c>
      <c r="G16" s="10">
        <v>0.56597222222222221</v>
      </c>
      <c r="H16" s="16"/>
      <c r="I16" s="16"/>
      <c r="J16" s="16"/>
      <c r="K16" s="5"/>
      <c r="L16" s="5"/>
      <c r="M16" s="5"/>
      <c r="N16" s="10">
        <f t="shared" si="0"/>
        <v>0.34375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96</v>
      </c>
      <c r="C17" s="17">
        <v>612</v>
      </c>
      <c r="D17" s="17" t="s">
        <v>97</v>
      </c>
      <c r="E17" s="10">
        <v>0.22916666666666666</v>
      </c>
      <c r="F17" s="10">
        <v>0.28472222222222221</v>
      </c>
      <c r="G17" s="10">
        <v>0.54166666666666663</v>
      </c>
      <c r="H17" s="16"/>
      <c r="I17" s="16"/>
      <c r="J17" s="16"/>
      <c r="K17" s="5"/>
      <c r="L17" s="5"/>
      <c r="M17" s="5"/>
      <c r="N17" s="10">
        <f t="shared" si="0"/>
        <v>0.25694444444444442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0.21527777777777779</v>
      </c>
      <c r="F19" s="10">
        <v>0.21875</v>
      </c>
      <c r="G19" s="10">
        <v>0.3576388888888889</v>
      </c>
      <c r="H19" s="16"/>
      <c r="I19" s="16"/>
      <c r="J19" s="16"/>
      <c r="K19" s="5"/>
      <c r="L19" s="5"/>
      <c r="M19" s="5"/>
      <c r="N19" s="10">
        <f t="shared" si="0"/>
        <v>0.1388888888888889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0.18402777777777779</v>
      </c>
      <c r="F20" s="10">
        <v>0.22222222222222221</v>
      </c>
      <c r="G20" s="10">
        <v>0.47569444444444442</v>
      </c>
      <c r="H20" s="16"/>
      <c r="I20" s="16"/>
      <c r="J20" s="16"/>
      <c r="K20" s="5"/>
      <c r="L20" s="5"/>
      <c r="M20" s="5"/>
      <c r="N20" s="10">
        <f t="shared" si="0"/>
        <v>0.25347222222222221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250</v>
      </c>
      <c r="C21" s="17">
        <v>353</v>
      </c>
      <c r="D21" s="17" t="s">
        <v>251</v>
      </c>
      <c r="E21" s="10">
        <v>0.2013888888888889</v>
      </c>
      <c r="F21" s="10">
        <v>0.21527777777777779</v>
      </c>
      <c r="G21" s="10">
        <v>0.28125</v>
      </c>
      <c r="H21" s="16"/>
      <c r="I21" s="16"/>
      <c r="J21" s="16"/>
      <c r="K21" s="5"/>
      <c r="L21" s="5"/>
      <c r="M21" s="6"/>
      <c r="N21" s="10">
        <f t="shared" si="0"/>
        <v>6.597222222222221E-2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0.1875</v>
      </c>
      <c r="F22" s="10">
        <v>0.21527777777777779</v>
      </c>
      <c r="G22" s="10">
        <v>0.34722222222222221</v>
      </c>
      <c r="H22" s="16"/>
      <c r="I22" s="16"/>
      <c r="J22" s="16"/>
      <c r="K22" s="5"/>
      <c r="L22" s="5"/>
      <c r="M22" s="5"/>
      <c r="N22" s="10">
        <f t="shared" si="0"/>
        <v>0.13194444444444442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0.23958333333333334</v>
      </c>
      <c r="G23" s="10">
        <v>0.56944444444444442</v>
      </c>
      <c r="H23" s="16"/>
      <c r="I23" s="16"/>
      <c r="J23" s="16"/>
      <c r="K23" s="5"/>
      <c r="L23" s="5"/>
      <c r="M23" s="5"/>
      <c r="N23" s="10">
        <f t="shared" si="0"/>
        <v>0.32986111111111105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0.29166666666666669</v>
      </c>
      <c r="F24" s="10">
        <v>0.33680555555555558</v>
      </c>
      <c r="G24" s="10">
        <v>0.3611111111111111</v>
      </c>
      <c r="H24" s="16"/>
      <c r="I24" s="16"/>
      <c r="J24" s="16"/>
      <c r="K24" s="5"/>
      <c r="L24" s="5"/>
      <c r="M24" s="5"/>
      <c r="N24" s="10">
        <f t="shared" si="0"/>
        <v>2.4305555555555525E-2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0</v>
      </c>
      <c r="F25" s="10">
        <v>0.11805555555555555</v>
      </c>
      <c r="G25" s="10">
        <v>0.4861111111111111</v>
      </c>
      <c r="H25" s="16"/>
      <c r="I25" s="16"/>
      <c r="J25" s="16"/>
      <c r="K25" s="5"/>
      <c r="L25" s="5"/>
      <c r="M25" s="5"/>
      <c r="N25" s="10">
        <f t="shared" si="0"/>
        <v>0.36805555555555558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160</v>
      </c>
      <c r="C26" s="17">
        <v>294</v>
      </c>
      <c r="D26" s="17" t="s">
        <v>95</v>
      </c>
      <c r="E26" s="10">
        <v>0.25347222222222221</v>
      </c>
      <c r="F26" s="10">
        <v>0.31944444444444442</v>
      </c>
      <c r="G26" s="10">
        <v>0.5625</v>
      </c>
      <c r="H26" s="16"/>
      <c r="I26" s="16"/>
      <c r="J26" s="16"/>
      <c r="K26" s="5"/>
      <c r="L26" s="5"/>
      <c r="M26" s="5"/>
      <c r="N26" s="10">
        <f t="shared" si="0"/>
        <v>0.24305555555555558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0.2048611111111111</v>
      </c>
      <c r="F27" s="10">
        <v>0.22569444444444445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5.5555555555555552E-2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232</v>
      </c>
      <c r="C28" s="17">
        <v>353</v>
      </c>
      <c r="D28" s="17" t="s">
        <v>111</v>
      </c>
      <c r="E28" s="10">
        <v>0.22916666666666666</v>
      </c>
      <c r="F28" s="10">
        <v>0.2673611111111111</v>
      </c>
      <c r="G28" s="10">
        <v>0.51736111111111116</v>
      </c>
      <c r="H28" s="16"/>
      <c r="I28" s="16"/>
      <c r="J28" s="16"/>
      <c r="K28" s="5"/>
      <c r="L28" s="5"/>
      <c r="M28" s="5"/>
      <c r="N28" s="10">
        <f t="shared" si="0"/>
        <v>0.25000000000000006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64</v>
      </c>
      <c r="C29" s="17">
        <v>184041</v>
      </c>
      <c r="D29" s="17" t="s">
        <v>65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0.25347222222222221</v>
      </c>
      <c r="F30" s="10">
        <v>0.27430555555555558</v>
      </c>
      <c r="G30" s="10">
        <v>0.5</v>
      </c>
      <c r="H30" s="16"/>
      <c r="I30" s="16"/>
      <c r="J30" s="16"/>
      <c r="K30" s="5"/>
      <c r="L30" s="5"/>
      <c r="M30" s="5"/>
      <c r="N30" s="10">
        <f t="shared" si="0"/>
        <v>0.22569444444444442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0.22916666666666666</v>
      </c>
      <c r="F31" s="10">
        <v>0.27430555555555558</v>
      </c>
      <c r="G31" s="10">
        <v>0.39930555555555558</v>
      </c>
      <c r="H31" s="16"/>
      <c r="I31" s="16"/>
      <c r="J31" s="16"/>
      <c r="K31" s="5"/>
      <c r="L31" s="5"/>
      <c r="M31" s="5"/>
      <c r="N31" s="10">
        <f t="shared" si="0"/>
        <v>0.125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53</v>
      </c>
      <c r="C32" s="17">
        <v>15</v>
      </c>
      <c r="D32" s="17" t="s">
        <v>54</v>
      </c>
      <c r="E32" s="10">
        <v>0.19097222222222221</v>
      </c>
      <c r="F32" s="10">
        <v>0.21527777777777779</v>
      </c>
      <c r="G32" s="10">
        <v>0.40277777777777779</v>
      </c>
      <c r="H32" s="16"/>
      <c r="I32" s="16"/>
      <c r="J32" s="16"/>
      <c r="K32" s="5"/>
      <c r="L32" s="5"/>
      <c r="M32" s="5"/>
      <c r="N32" s="10">
        <f t="shared" si="0"/>
        <v>0.1875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68</v>
      </c>
      <c r="C33" s="17">
        <v>832</v>
      </c>
      <c r="D33" s="17" t="s">
        <v>69</v>
      </c>
      <c r="E33" s="10">
        <v>0.22569444444444445</v>
      </c>
      <c r="F33" s="10">
        <v>0.24652777777777779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2.4305555555555525E-2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169</v>
      </c>
      <c r="C34" s="17">
        <v>353</v>
      </c>
      <c r="D34" s="17" t="s">
        <v>171</v>
      </c>
      <c r="E34" s="10">
        <v>0.21180555555555555</v>
      </c>
      <c r="F34" s="10">
        <v>0.2361111111111111</v>
      </c>
      <c r="G34" s="10">
        <v>0.40277777777777779</v>
      </c>
      <c r="H34" s="16"/>
      <c r="I34" s="16"/>
      <c r="J34" s="16"/>
      <c r="K34" s="5"/>
      <c r="L34" s="5"/>
      <c r="M34" s="5"/>
      <c r="N34" s="10">
        <f t="shared" si="0"/>
        <v>0.16666666666666669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0</v>
      </c>
      <c r="F35" s="10">
        <v>7.2916666666666671E-2</v>
      </c>
      <c r="G35" s="10">
        <v>0.27083333333333331</v>
      </c>
      <c r="H35" s="16"/>
      <c r="I35" s="16"/>
      <c r="J35" s="16"/>
      <c r="K35" s="5"/>
      <c r="L35" s="5"/>
      <c r="M35" s="5"/>
      <c r="N35" s="10">
        <f t="shared" si="0"/>
        <v>0.19791666666666663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0.2361111111111111</v>
      </c>
      <c r="F36" s="10">
        <v>0.2638888888888889</v>
      </c>
      <c r="G36" s="10">
        <v>0.4513888888888889</v>
      </c>
      <c r="H36" s="16"/>
      <c r="I36" s="16"/>
      <c r="J36" s="16"/>
      <c r="K36" s="5"/>
      <c r="L36" s="5"/>
      <c r="M36" s="5"/>
      <c r="N36" s="10">
        <f t="shared" si="0"/>
        <v>0.1875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88</v>
      </c>
      <c r="C38" s="17">
        <v>184041</v>
      </c>
      <c r="D38" s="17" t="s">
        <v>89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0.25</v>
      </c>
      <c r="F39" s="10">
        <v>0.27083333333333331</v>
      </c>
      <c r="G39" s="10">
        <v>0.34027777777777779</v>
      </c>
      <c r="H39" s="16"/>
      <c r="I39" s="16"/>
      <c r="J39" s="16"/>
      <c r="K39" s="5"/>
      <c r="L39" s="5"/>
      <c r="M39" s="5"/>
      <c r="N39" s="10">
        <f t="shared" si="0"/>
        <v>6.9444444444444475E-2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176</v>
      </c>
      <c r="C41" s="17">
        <v>294</v>
      </c>
      <c r="D41" s="17" t="s">
        <v>177</v>
      </c>
      <c r="E41" s="10">
        <v>0.24305555555555555</v>
      </c>
      <c r="F41" s="10">
        <v>0.30208333333333331</v>
      </c>
      <c r="G41" s="10">
        <v>0.54513888888888884</v>
      </c>
      <c r="H41" s="16"/>
      <c r="I41" s="16"/>
      <c r="J41" s="16"/>
      <c r="K41" s="5"/>
      <c r="L41" s="5"/>
      <c r="M41" s="5"/>
      <c r="N41" s="10">
        <f t="shared" si="0"/>
        <v>0.24305555555555552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172</v>
      </c>
      <c r="C42" s="17">
        <v>674</v>
      </c>
      <c r="D42" s="17" t="s">
        <v>173</v>
      </c>
      <c r="E42" s="10">
        <v>0.28125</v>
      </c>
      <c r="F42" s="10">
        <v>0.39930555555555558</v>
      </c>
      <c r="G42" s="10">
        <v>0.51736111111111116</v>
      </c>
      <c r="H42" s="16"/>
      <c r="I42" s="16"/>
      <c r="J42" s="16"/>
      <c r="K42" s="5"/>
      <c r="L42" s="5"/>
      <c r="M42" s="5"/>
      <c r="N42" s="10">
        <f t="shared" si="0"/>
        <v>0.11805555555555558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0.24652777777777779</v>
      </c>
      <c r="F43" s="10">
        <v>0.27777777777777779</v>
      </c>
      <c r="G43" s="10">
        <v>0.46527777777777779</v>
      </c>
      <c r="H43" s="16"/>
      <c r="I43" s="16"/>
      <c r="J43" s="16"/>
      <c r="K43" s="5"/>
      <c r="L43" s="5"/>
      <c r="M43" s="5"/>
      <c r="N43" s="10">
        <f t="shared" si="0"/>
        <v>0.1875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0.19444444444444445</v>
      </c>
      <c r="F44" s="10">
        <v>0.22222222222222221</v>
      </c>
      <c r="G44" s="10">
        <v>0.56597222222222221</v>
      </c>
      <c r="H44" s="16"/>
      <c r="I44" s="16"/>
      <c r="J44" s="16"/>
      <c r="K44" s="5"/>
      <c r="L44" s="5"/>
      <c r="M44" s="5"/>
      <c r="N44" s="10">
        <f t="shared" si="0"/>
        <v>0.34375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0.2048611111111111</v>
      </c>
      <c r="F45" s="10">
        <v>0.22569444444444445</v>
      </c>
      <c r="G45" s="10">
        <v>0.28125</v>
      </c>
      <c r="H45" s="16"/>
      <c r="I45" s="16"/>
      <c r="J45" s="16"/>
      <c r="K45" s="5"/>
      <c r="L45" s="5"/>
      <c r="M45" s="5"/>
      <c r="N45" s="10">
        <f t="shared" si="0"/>
        <v>5.5555555555555552E-2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4987-8AF7-4BE6-A814-10C5CF2BF9AE}">
  <dimension ref="A1:O49"/>
  <sheetViews>
    <sheetView showGridLines="0" topLeftCell="C1" zoomScale="55" zoomScaleNormal="55" workbookViewId="0">
      <pane ySplit="3" topLeftCell="A4" activePane="bottomLeft" state="frozen"/>
      <selection pane="bottomLeft" activeCell="M8" sqref="M8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0.22222222222222221</v>
      </c>
      <c r="F5" s="10">
        <v>0.2638888888888889</v>
      </c>
      <c r="G5" s="10">
        <v>0.34375</v>
      </c>
      <c r="H5" s="10"/>
      <c r="I5" s="10"/>
      <c r="J5" s="10"/>
      <c r="K5" s="8"/>
      <c r="L5" s="8"/>
      <c r="M5" s="9"/>
      <c r="N5" s="10">
        <f>MOD(G5-F5, 1)</f>
        <v>7.9861111111111105E-2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0.25694444444444442</v>
      </c>
      <c r="F6" s="10">
        <v>0.30902777777777779</v>
      </c>
      <c r="G6" s="10">
        <v>0.46527777777777779</v>
      </c>
      <c r="H6" s="10"/>
      <c r="I6" s="10"/>
      <c r="J6" s="10"/>
      <c r="K6" s="5"/>
      <c r="L6" s="5"/>
      <c r="M6" s="5"/>
      <c r="N6" s="10">
        <f t="shared" ref="N6:N45" si="0">MOD(G6-F6, 1)</f>
        <v>0.15625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0.1701388888888889</v>
      </c>
      <c r="F7" s="10">
        <v>0.25347222222222221</v>
      </c>
      <c r="G7" s="10">
        <v>0.47916666666666669</v>
      </c>
      <c r="H7" s="10" t="s">
        <v>53</v>
      </c>
      <c r="I7" s="10">
        <v>15</v>
      </c>
      <c r="J7" s="10" t="s">
        <v>54</v>
      </c>
      <c r="K7" s="19">
        <v>0.125</v>
      </c>
      <c r="L7" s="19">
        <v>0.1736111111111111</v>
      </c>
      <c r="M7" s="19">
        <v>0.27083333333333331</v>
      </c>
      <c r="N7" s="10">
        <f t="shared" si="0"/>
        <v>0.22569444444444448</v>
      </c>
      <c r="O7" s="10">
        <f t="shared" si="1"/>
        <v>9.722222222222221E-2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0.28472222222222221</v>
      </c>
      <c r="G8" s="10">
        <v>0.48958333333333331</v>
      </c>
      <c r="H8" s="10"/>
      <c r="I8" s="10"/>
      <c r="J8" s="10"/>
      <c r="K8" s="5"/>
      <c r="L8" s="5"/>
      <c r="M8" s="5"/>
      <c r="N8" s="10">
        <f t="shared" si="0"/>
        <v>0.2048611111111111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 t="s">
        <v>166</v>
      </c>
      <c r="F9" s="10" t="s">
        <v>192</v>
      </c>
      <c r="G9" s="10" t="s">
        <v>168</v>
      </c>
      <c r="H9" s="10"/>
      <c r="I9" s="10"/>
      <c r="J9" s="10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248</v>
      </c>
      <c r="C10" s="17">
        <v>353</v>
      </c>
      <c r="D10" s="17" t="s">
        <v>71</v>
      </c>
      <c r="E10" s="10">
        <v>0.19791666666666666</v>
      </c>
      <c r="F10" s="10">
        <v>0.25</v>
      </c>
      <c r="G10" s="10">
        <v>0.3923611111111111</v>
      </c>
      <c r="H10" s="10"/>
      <c r="I10" s="10"/>
      <c r="J10" s="10"/>
      <c r="K10" s="5"/>
      <c r="L10" s="5"/>
      <c r="M10" s="5"/>
      <c r="N10" s="10">
        <f t="shared" si="0"/>
        <v>0.1423611111111111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 t="s">
        <v>139</v>
      </c>
      <c r="F11" s="10" t="s">
        <v>140</v>
      </c>
      <c r="G11" s="10"/>
      <c r="H11" s="10"/>
      <c r="I11" s="10"/>
      <c r="J11" s="10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150</v>
      </c>
      <c r="E12" s="10">
        <v>0.24305555555555555</v>
      </c>
      <c r="F12" s="10">
        <v>0.27777777777777779</v>
      </c>
      <c r="G12" s="10">
        <v>0.49305555555555558</v>
      </c>
      <c r="H12" s="10"/>
      <c r="I12" s="10"/>
      <c r="J12" s="10"/>
      <c r="K12" s="5"/>
      <c r="L12" s="5"/>
      <c r="M12" s="5"/>
      <c r="N12" s="10">
        <f t="shared" si="0"/>
        <v>0.21527777777777779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0.11458333333333333</v>
      </c>
      <c r="F13" s="10">
        <v>0.2638888888888889</v>
      </c>
      <c r="G13" s="10">
        <v>0.46527777777777779</v>
      </c>
      <c r="H13" s="10"/>
      <c r="I13" s="10"/>
      <c r="J13" s="10"/>
      <c r="K13" s="5"/>
      <c r="L13" s="5"/>
      <c r="M13" s="5"/>
      <c r="N13" s="10">
        <f t="shared" si="0"/>
        <v>0.2013888888888889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0.2048611111111111</v>
      </c>
      <c r="F14" s="10">
        <v>0.22569444444444445</v>
      </c>
      <c r="G14" s="10">
        <v>0.42708333333333331</v>
      </c>
      <c r="H14" s="10"/>
      <c r="I14" s="10"/>
      <c r="J14" s="10"/>
      <c r="K14" s="5"/>
      <c r="L14" s="5"/>
      <c r="M14" s="5"/>
      <c r="N14" s="10">
        <f t="shared" si="0"/>
        <v>0.20138888888888887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3.8194444444444448E-2</v>
      </c>
      <c r="F15" s="10">
        <v>0.22569444444444445</v>
      </c>
      <c r="G15" s="10">
        <v>0.34722222222222221</v>
      </c>
      <c r="H15" s="10"/>
      <c r="I15" s="10"/>
      <c r="J15" s="10"/>
      <c r="K15" s="5"/>
      <c r="L15" s="5"/>
      <c r="M15" s="5"/>
      <c r="N15" s="10">
        <f t="shared" si="0"/>
        <v>0.12152777777777776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110</v>
      </c>
      <c r="C16" s="17">
        <v>294</v>
      </c>
      <c r="D16" s="17" t="s">
        <v>141</v>
      </c>
      <c r="E16" s="10">
        <v>0.26041666666666669</v>
      </c>
      <c r="F16" s="10">
        <v>0.27430555555555558</v>
      </c>
      <c r="G16" s="10">
        <v>0.50694444444444442</v>
      </c>
      <c r="H16" s="10"/>
      <c r="I16" s="10"/>
      <c r="J16" s="10"/>
      <c r="K16" s="5"/>
      <c r="L16" s="5"/>
      <c r="M16" s="5"/>
      <c r="N16" s="10">
        <f t="shared" si="0"/>
        <v>0.23263888888888884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207</v>
      </c>
      <c r="C17" s="17">
        <v>782</v>
      </c>
      <c r="D17" s="17" t="s">
        <v>208</v>
      </c>
      <c r="E17" s="10">
        <v>0.2326388888888889</v>
      </c>
      <c r="F17" s="10">
        <v>0.25694444444444442</v>
      </c>
      <c r="G17" s="10">
        <v>0.51041666666666663</v>
      </c>
      <c r="H17" s="10"/>
      <c r="I17" s="10"/>
      <c r="J17" s="10"/>
      <c r="K17" s="5"/>
      <c r="L17" s="5"/>
      <c r="M17" s="5"/>
      <c r="N17" s="10">
        <f t="shared" si="0"/>
        <v>0.25347222222222221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96</v>
      </c>
      <c r="C18" s="17">
        <v>612</v>
      </c>
      <c r="D18" s="17" t="s">
        <v>97</v>
      </c>
      <c r="E18" s="10" t="s">
        <v>166</v>
      </c>
      <c r="F18" s="10" t="s">
        <v>192</v>
      </c>
      <c r="G18" s="10" t="s">
        <v>168</v>
      </c>
      <c r="H18" s="10"/>
      <c r="I18" s="10"/>
      <c r="J18" s="10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221</v>
      </c>
      <c r="C19" s="17">
        <v>294</v>
      </c>
      <c r="D19" s="17" t="s">
        <v>81</v>
      </c>
      <c r="E19" s="10">
        <v>0.2013888888888889</v>
      </c>
      <c r="F19" s="10">
        <v>0.2048611111111111</v>
      </c>
      <c r="G19" s="10">
        <v>0.23958333333333334</v>
      </c>
      <c r="H19" s="10"/>
      <c r="I19" s="10"/>
      <c r="J19" s="10"/>
      <c r="K19" s="5"/>
      <c r="L19" s="5"/>
      <c r="M19" s="5"/>
      <c r="N19" s="10">
        <f t="shared" si="0"/>
        <v>3.4722222222222238E-2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0.19791666666666666</v>
      </c>
      <c r="F20" s="10">
        <v>0.24305555555555555</v>
      </c>
      <c r="G20" s="10">
        <v>0.35069444444444442</v>
      </c>
      <c r="H20" s="10"/>
      <c r="I20" s="10"/>
      <c r="J20" s="10"/>
      <c r="K20" s="5"/>
      <c r="L20" s="5"/>
      <c r="M20" s="5"/>
      <c r="N20" s="10">
        <f t="shared" si="0"/>
        <v>0.10763888888888887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149</v>
      </c>
      <c r="C21" s="17">
        <v>138</v>
      </c>
      <c r="D21" s="17" t="s">
        <v>150</v>
      </c>
      <c r="E21" s="10" t="s">
        <v>166</v>
      </c>
      <c r="F21" s="10" t="s">
        <v>192</v>
      </c>
      <c r="G21" s="10" t="s">
        <v>168</v>
      </c>
      <c r="H21" s="10"/>
      <c r="I21" s="10"/>
      <c r="J21" s="10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0.22569444444444445</v>
      </c>
      <c r="F22" s="10">
        <v>0.25</v>
      </c>
      <c r="G22" s="10">
        <v>0.34375</v>
      </c>
      <c r="H22" s="10"/>
      <c r="I22" s="10"/>
      <c r="J22" s="10"/>
      <c r="K22" s="5"/>
      <c r="L22" s="5"/>
      <c r="M22" s="5"/>
      <c r="N22" s="10">
        <f t="shared" si="0"/>
        <v>9.375E-2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56</v>
      </c>
      <c r="C23" s="17">
        <v>353</v>
      </c>
      <c r="D23" s="17" t="s">
        <v>251</v>
      </c>
      <c r="E23" s="10">
        <v>0.25</v>
      </c>
      <c r="F23" s="10">
        <v>0.27777777777777779</v>
      </c>
      <c r="G23" s="10">
        <v>0.4513888888888889</v>
      </c>
      <c r="H23" s="10"/>
      <c r="I23" s="10"/>
      <c r="J23" s="10"/>
      <c r="K23" s="5"/>
      <c r="L23" s="5"/>
      <c r="M23" s="5"/>
      <c r="N23" s="10">
        <f t="shared" si="0"/>
        <v>0.1736111111111111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0.22222222222222221</v>
      </c>
      <c r="F24" s="10">
        <v>0.24305555555555555</v>
      </c>
      <c r="G24" s="10">
        <v>0.36458333333333331</v>
      </c>
      <c r="H24" s="10"/>
      <c r="I24" s="10"/>
      <c r="J24" s="10"/>
      <c r="K24" s="5"/>
      <c r="L24" s="5"/>
      <c r="M24" s="5"/>
      <c r="N24" s="10">
        <f t="shared" si="0"/>
        <v>0.12152777777777776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3.8194444444444448E-2</v>
      </c>
      <c r="F25" s="10">
        <v>0.1701388888888889</v>
      </c>
      <c r="G25" s="10">
        <v>0.5</v>
      </c>
      <c r="H25" s="10"/>
      <c r="I25" s="10"/>
      <c r="J25" s="10"/>
      <c r="K25" s="5"/>
      <c r="L25" s="5"/>
      <c r="M25" s="5"/>
      <c r="N25" s="10">
        <f t="shared" si="0"/>
        <v>0.3298611111111111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0.2326388888888889</v>
      </c>
      <c r="F26" s="10">
        <v>0.2638888888888889</v>
      </c>
      <c r="G26" s="10">
        <v>0.50694444444444442</v>
      </c>
      <c r="H26" s="10"/>
      <c r="I26" s="10"/>
      <c r="J26" s="10"/>
      <c r="K26" s="5"/>
      <c r="L26" s="5"/>
      <c r="M26" s="5"/>
      <c r="N26" s="10">
        <f t="shared" si="0"/>
        <v>0.24305555555555552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196</v>
      </c>
      <c r="C27" s="17">
        <v>598</v>
      </c>
      <c r="D27" s="17" t="s">
        <v>197</v>
      </c>
      <c r="E27" s="10">
        <v>0.24652777777777779</v>
      </c>
      <c r="F27" s="10">
        <v>0.28472222222222221</v>
      </c>
      <c r="G27" s="10">
        <v>0.3125</v>
      </c>
      <c r="H27" s="10"/>
      <c r="I27" s="10"/>
      <c r="J27" s="10"/>
      <c r="K27" s="5"/>
      <c r="L27" s="5"/>
      <c r="M27" s="5"/>
      <c r="N27" s="10">
        <f t="shared" si="0"/>
        <v>2.777777777777779E-2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64</v>
      </c>
      <c r="C28" s="17">
        <v>184041</v>
      </c>
      <c r="D28" s="17" t="s">
        <v>65</v>
      </c>
      <c r="E28" s="10" t="s">
        <v>139</v>
      </c>
      <c r="F28" s="10" t="s">
        <v>140</v>
      </c>
      <c r="G28" s="10"/>
      <c r="H28" s="10"/>
      <c r="I28" s="10"/>
      <c r="J28" s="10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198</v>
      </c>
      <c r="C29" s="17">
        <v>811</v>
      </c>
      <c r="D29" s="17" t="s">
        <v>199</v>
      </c>
      <c r="E29" s="10">
        <v>0.22569444444444445</v>
      </c>
      <c r="F29" s="10">
        <v>0.24305555555555555</v>
      </c>
      <c r="G29" s="10">
        <v>0.41319444444444442</v>
      </c>
      <c r="H29" s="10"/>
      <c r="I29" s="10"/>
      <c r="J29" s="10"/>
      <c r="K29" s="5"/>
      <c r="L29" s="5"/>
      <c r="M29" s="5"/>
      <c r="N29" s="10">
        <f t="shared" si="0"/>
        <v>0.17013888888888887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68</v>
      </c>
      <c r="C30" s="17">
        <v>832</v>
      </c>
      <c r="D30" s="17" t="s">
        <v>69</v>
      </c>
      <c r="E30" s="10">
        <v>0.22222222222222221</v>
      </c>
      <c r="F30" s="10">
        <v>0.27777777777777779</v>
      </c>
      <c r="G30" s="10">
        <v>0.37847222222222221</v>
      </c>
      <c r="H30" s="10"/>
      <c r="I30" s="10"/>
      <c r="J30" s="10"/>
      <c r="K30" s="5"/>
      <c r="L30" s="5"/>
      <c r="M30" s="5"/>
      <c r="N30" s="10">
        <f t="shared" si="0"/>
        <v>0.10069444444444442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151</v>
      </c>
      <c r="C31" s="17">
        <v>353</v>
      </c>
      <c r="D31" s="17" t="s">
        <v>111</v>
      </c>
      <c r="E31" s="10">
        <v>0.21527777777777779</v>
      </c>
      <c r="F31" s="10">
        <v>0.25694444444444442</v>
      </c>
      <c r="G31" s="10">
        <v>0.51041666666666663</v>
      </c>
      <c r="H31" s="10"/>
      <c r="I31" s="10"/>
      <c r="J31" s="10"/>
      <c r="K31" s="5"/>
      <c r="L31" s="5"/>
      <c r="M31" s="5"/>
      <c r="N31" s="10">
        <f t="shared" si="0"/>
        <v>0.25347222222222221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0"/>
      <c r="I32" s="10"/>
      <c r="J32" s="10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180</v>
      </c>
      <c r="C33" s="17">
        <v>184357</v>
      </c>
      <c r="D33" s="17" t="s">
        <v>181</v>
      </c>
      <c r="E33" s="10">
        <v>0.25</v>
      </c>
      <c r="F33" s="10">
        <v>0.27430555555555558</v>
      </c>
      <c r="G33" s="10">
        <v>0.29166666666666669</v>
      </c>
      <c r="H33" s="10"/>
      <c r="I33" s="10"/>
      <c r="J33" s="10"/>
      <c r="K33" s="5"/>
      <c r="L33" s="5"/>
      <c r="M33" s="5"/>
      <c r="N33" s="10">
        <f t="shared" si="0"/>
        <v>1.7361111111111105E-2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76</v>
      </c>
      <c r="C34" s="17">
        <v>527</v>
      </c>
      <c r="D34" s="17" t="s">
        <v>179</v>
      </c>
      <c r="E34" s="10">
        <v>0.25</v>
      </c>
      <c r="F34" s="10">
        <v>0.27777777777777779</v>
      </c>
      <c r="G34" s="10">
        <v>0.4201388888888889</v>
      </c>
      <c r="H34" s="10"/>
      <c r="I34" s="10"/>
      <c r="J34" s="10"/>
      <c r="K34" s="5"/>
      <c r="L34" s="5"/>
      <c r="M34" s="5"/>
      <c r="N34" s="10">
        <f t="shared" si="0"/>
        <v>0.1423611111111111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4.1666666666666664E-2</v>
      </c>
      <c r="F35" s="10">
        <v>9.7222222222222224E-2</v>
      </c>
      <c r="G35" s="10">
        <v>0.2986111111111111</v>
      </c>
      <c r="H35" s="10"/>
      <c r="I35" s="10"/>
      <c r="J35" s="10"/>
      <c r="K35" s="5"/>
      <c r="L35" s="5"/>
      <c r="M35" s="5"/>
      <c r="N35" s="10">
        <f t="shared" si="0"/>
        <v>0.2013888888888889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0.25</v>
      </c>
      <c r="F36" s="10">
        <v>0.27777777777777779</v>
      </c>
      <c r="G36" s="10">
        <v>0.44791666666666669</v>
      </c>
      <c r="H36" s="10" t="s">
        <v>252</v>
      </c>
      <c r="I36" s="10">
        <v>496</v>
      </c>
      <c r="J36" s="10" t="s">
        <v>253</v>
      </c>
      <c r="K36" s="10" t="s">
        <v>166</v>
      </c>
      <c r="L36" s="10" t="s">
        <v>192</v>
      </c>
      <c r="M36" s="10" t="s">
        <v>168</v>
      </c>
      <c r="N36" s="10">
        <f t="shared" si="0"/>
        <v>0.1701388888888889</v>
      </c>
      <c r="O36" s="10" t="e">
        <f t="shared" si="1"/>
        <v>#VALUE!</v>
      </c>
    </row>
    <row r="37" spans="1:15" ht="20.100000000000001" customHeight="1" x14ac:dyDescent="0.25">
      <c r="A37" s="14" t="s">
        <v>37</v>
      </c>
      <c r="B37" s="17" t="s">
        <v>88</v>
      </c>
      <c r="C37" s="17">
        <v>184041</v>
      </c>
      <c r="D37" s="17" t="s">
        <v>89</v>
      </c>
      <c r="E37" s="10" t="s">
        <v>139</v>
      </c>
      <c r="F37" s="10" t="s">
        <v>140</v>
      </c>
      <c r="G37" s="10"/>
      <c r="H37" s="10"/>
      <c r="I37" s="10"/>
      <c r="J37" s="10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74</v>
      </c>
      <c r="C38" s="17">
        <v>353</v>
      </c>
      <c r="D38" s="17" t="s">
        <v>254</v>
      </c>
      <c r="E38" s="10">
        <v>0.27777777777777779</v>
      </c>
      <c r="F38" s="10">
        <v>0.30555555555555558</v>
      </c>
      <c r="G38" s="10">
        <v>0.51041666666666663</v>
      </c>
      <c r="H38" s="10"/>
      <c r="I38" s="10"/>
      <c r="J38" s="10"/>
      <c r="K38" s="5"/>
      <c r="L38" s="5"/>
      <c r="M38" s="5"/>
      <c r="N38" s="10">
        <f t="shared" si="0"/>
        <v>0.20486111111111105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0.44791666666666669</v>
      </c>
      <c r="F39" s="10">
        <v>0.51388888888888884</v>
      </c>
      <c r="G39" s="10"/>
      <c r="H39" s="10"/>
      <c r="I39" s="10"/>
      <c r="J39" s="10"/>
      <c r="K39" s="5"/>
      <c r="L39" s="5"/>
      <c r="M39" s="5"/>
      <c r="N39" s="10">
        <f t="shared" si="0"/>
        <v>0.48611111111111116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0" t="s">
        <v>255</v>
      </c>
      <c r="I40" s="10">
        <v>732</v>
      </c>
      <c r="J40" s="10" t="s">
        <v>154</v>
      </c>
      <c r="K40" s="19">
        <v>0.31597222222222221</v>
      </c>
      <c r="L40" s="19">
        <v>0.38194444444444442</v>
      </c>
      <c r="M40" s="19">
        <v>0.46875</v>
      </c>
      <c r="N40" s="10" t="e">
        <f t="shared" si="0"/>
        <v>#VALUE!</v>
      </c>
      <c r="O40" s="10">
        <f t="shared" si="1"/>
        <v>8.680555555555558E-2</v>
      </c>
    </row>
    <row r="41" spans="1:15" ht="20.100000000000001" customHeight="1" x14ac:dyDescent="0.25">
      <c r="A41" s="14" t="s">
        <v>41</v>
      </c>
      <c r="B41" s="17" t="s">
        <v>184</v>
      </c>
      <c r="C41" s="17">
        <v>353</v>
      </c>
      <c r="D41" s="17" t="s">
        <v>163</v>
      </c>
      <c r="E41" s="10">
        <v>0.21180555555555555</v>
      </c>
      <c r="F41" s="10">
        <v>0.25</v>
      </c>
      <c r="G41" s="10">
        <v>0.30902777777777779</v>
      </c>
      <c r="H41" s="10"/>
      <c r="I41" s="10"/>
      <c r="J41" s="10"/>
      <c r="K41" s="5"/>
      <c r="L41" s="5"/>
      <c r="M41" s="5"/>
      <c r="N41" s="10">
        <f t="shared" si="0"/>
        <v>5.902777777777779E-2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211</v>
      </c>
      <c r="C42" s="17">
        <v>775</v>
      </c>
      <c r="D42" s="17" t="s">
        <v>212</v>
      </c>
      <c r="E42" s="10">
        <v>0.24305555555555555</v>
      </c>
      <c r="F42" s="10">
        <v>0.25347222222222221</v>
      </c>
      <c r="G42" s="10">
        <v>0.4236111111111111</v>
      </c>
      <c r="H42" s="10"/>
      <c r="I42" s="10"/>
      <c r="J42" s="10"/>
      <c r="K42" s="5"/>
      <c r="L42" s="5"/>
      <c r="M42" s="5"/>
      <c r="N42" s="10">
        <f t="shared" si="0"/>
        <v>0.1701388888888889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76</v>
      </c>
      <c r="C43" s="17">
        <v>795</v>
      </c>
      <c r="D43" s="17" t="s">
        <v>77</v>
      </c>
      <c r="E43" s="10">
        <v>0.24652777777777779</v>
      </c>
      <c r="F43" s="10">
        <v>0.27430555555555558</v>
      </c>
      <c r="G43" s="10">
        <v>0.40277777777777779</v>
      </c>
      <c r="H43" s="10" t="s">
        <v>256</v>
      </c>
      <c r="I43" s="10">
        <v>353</v>
      </c>
      <c r="J43" s="10" t="s">
        <v>131</v>
      </c>
      <c r="K43" s="19">
        <v>0.34375</v>
      </c>
      <c r="L43" s="19">
        <v>0.38194444444444442</v>
      </c>
      <c r="M43" s="19">
        <v>0.51041666666666663</v>
      </c>
      <c r="N43" s="10">
        <f t="shared" si="0"/>
        <v>0.12847222222222221</v>
      </c>
      <c r="O43" s="10">
        <f t="shared" si="1"/>
        <v>0.12847222222222221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0.21875</v>
      </c>
      <c r="F44" s="10">
        <v>0.24652777777777779</v>
      </c>
      <c r="G44" s="10">
        <v>0.51041666666666663</v>
      </c>
      <c r="H44" s="10"/>
      <c r="I44" s="10"/>
      <c r="J44" s="10"/>
      <c r="K44" s="5"/>
      <c r="L44" s="5"/>
      <c r="M44" s="5"/>
      <c r="N44" s="10">
        <f t="shared" si="0"/>
        <v>0.26388888888888884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0"/>
      <c r="I45" s="10"/>
      <c r="J45" s="10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ECAD-C708-4D63-98E1-FF287FAAA598}">
  <dimension ref="A1:O49"/>
  <sheetViews>
    <sheetView showGridLines="0" zoomScale="55" zoomScaleNormal="55" workbookViewId="0">
      <pane ySplit="3" topLeftCell="A4" activePane="bottomLeft" state="frozen"/>
      <selection pane="bottomLeft" activeCell="G46" sqref="G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0.2361111111111111</v>
      </c>
      <c r="F5" s="10">
        <v>0.2951388888888889</v>
      </c>
      <c r="G5" s="10">
        <v>0.43402777777777779</v>
      </c>
      <c r="H5" s="16"/>
      <c r="I5" s="16"/>
      <c r="J5" s="16"/>
      <c r="K5" s="8"/>
      <c r="L5" s="8"/>
      <c r="M5" s="9"/>
      <c r="N5" s="10">
        <f>MOD(G5-F5, 1)</f>
        <v>0.1388888888888889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257</v>
      </c>
      <c r="C6" s="17">
        <v>353</v>
      </c>
      <c r="D6" s="17" t="s">
        <v>236</v>
      </c>
      <c r="E6" s="10">
        <v>0.2361111111111111</v>
      </c>
      <c r="F6" s="10">
        <v>0.3125</v>
      </c>
      <c r="G6" s="10">
        <v>0.4548611111111111</v>
      </c>
      <c r="H6" s="16"/>
      <c r="I6" s="16"/>
      <c r="J6" s="16"/>
      <c r="K6" s="5"/>
      <c r="L6" s="5"/>
      <c r="M6" s="5"/>
      <c r="N6" s="10">
        <f t="shared" ref="N6:N45" si="0">MOD(G6-F6, 1)</f>
        <v>0.1423611111111111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0.16319444444444445</v>
      </c>
      <c r="F7" s="10">
        <v>0.25347222222222221</v>
      </c>
      <c r="G7" s="10">
        <v>0.4375</v>
      </c>
      <c r="H7" s="16"/>
      <c r="I7" s="16"/>
      <c r="J7" s="16"/>
      <c r="K7" s="5"/>
      <c r="L7" s="5"/>
      <c r="M7" s="5"/>
      <c r="N7" s="10">
        <f t="shared" si="0"/>
        <v>0.18402777777777779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0.28125</v>
      </c>
      <c r="F8" s="10">
        <v>0.3125</v>
      </c>
      <c r="G8" s="10">
        <v>0.33680555555555558</v>
      </c>
      <c r="H8" s="16"/>
      <c r="I8" s="16"/>
      <c r="J8" s="16"/>
      <c r="K8" s="5"/>
      <c r="L8" s="5"/>
      <c r="M8" s="5"/>
      <c r="N8" s="10">
        <f t="shared" si="0"/>
        <v>2.430555555555558E-2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74</v>
      </c>
      <c r="C9" s="17">
        <v>353</v>
      </c>
      <c r="D9" s="17" t="s">
        <v>254</v>
      </c>
      <c r="E9" s="10">
        <v>0.19097222222222221</v>
      </c>
      <c r="F9" s="10">
        <v>0.21527777777777779</v>
      </c>
      <c r="G9" s="10">
        <v>0.28125</v>
      </c>
      <c r="H9" s="16"/>
      <c r="I9" s="16"/>
      <c r="J9" s="16"/>
      <c r="K9" s="5"/>
      <c r="L9" s="5"/>
      <c r="M9" s="5"/>
      <c r="N9" s="10">
        <f t="shared" si="0"/>
        <v>6.597222222222221E-2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0.2013888888888889</v>
      </c>
      <c r="F10" s="10">
        <v>0.25</v>
      </c>
      <c r="G10" s="10">
        <v>0.42708333333333331</v>
      </c>
      <c r="H10" s="16"/>
      <c r="I10" s="16"/>
      <c r="J10" s="16"/>
      <c r="K10" s="5"/>
      <c r="L10" s="5"/>
      <c r="M10" s="5"/>
      <c r="N10" s="10">
        <f t="shared" si="0"/>
        <v>0.17708333333333331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0.25</v>
      </c>
      <c r="G11" s="10">
        <v>0.4548611111111111</v>
      </c>
      <c r="H11" s="16"/>
      <c r="I11" s="16"/>
      <c r="J11" s="16"/>
      <c r="K11" s="5"/>
      <c r="L11" s="5"/>
      <c r="M11" s="5"/>
      <c r="N11" s="10">
        <f t="shared" si="0"/>
        <v>0.2048611111111111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0.22222222222222221</v>
      </c>
      <c r="F12" s="10">
        <v>0.26041666666666669</v>
      </c>
      <c r="G12" s="10">
        <v>0.50347222222222221</v>
      </c>
      <c r="H12" s="16"/>
      <c r="I12" s="16"/>
      <c r="J12" s="16"/>
      <c r="K12" s="5"/>
      <c r="L12" s="5"/>
      <c r="M12" s="5"/>
      <c r="N12" s="10">
        <f t="shared" si="0"/>
        <v>0.24305555555555552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0.125</v>
      </c>
      <c r="F13" s="10">
        <v>0.25347222222222221</v>
      </c>
      <c r="G13" s="10">
        <v>0.50347222222222221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0.21875</v>
      </c>
      <c r="F14" s="10">
        <v>0.22916666666666666</v>
      </c>
      <c r="G14" s="10">
        <v>0.27083333333333331</v>
      </c>
      <c r="H14" s="16"/>
      <c r="I14" s="16"/>
      <c r="J14" s="16"/>
      <c r="K14" s="5"/>
      <c r="L14" s="5"/>
      <c r="M14" s="5"/>
      <c r="N14" s="10">
        <f t="shared" si="0"/>
        <v>4.1666666666666657E-2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1.3888888888888888E-2</v>
      </c>
      <c r="F15" s="10">
        <v>0.25694444444444442</v>
      </c>
      <c r="G15" s="10">
        <v>0.3923611111111111</v>
      </c>
      <c r="H15" s="16"/>
      <c r="I15" s="16"/>
      <c r="J15" s="16"/>
      <c r="K15" s="5"/>
      <c r="L15" s="5"/>
      <c r="M15" s="5"/>
      <c r="N15" s="10">
        <f t="shared" si="0"/>
        <v>0.13541666666666669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0.24305555555555555</v>
      </c>
      <c r="F16" s="10">
        <v>0.26041666666666669</v>
      </c>
      <c r="G16" s="10">
        <v>0.3888888888888889</v>
      </c>
      <c r="H16" s="16"/>
      <c r="I16" s="16"/>
      <c r="J16" s="16"/>
      <c r="K16" s="5"/>
      <c r="L16" s="5"/>
      <c r="M16" s="5"/>
      <c r="N16" s="10">
        <f t="shared" si="0"/>
        <v>0.12847222222222221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0.21180555555555555</v>
      </c>
      <c r="F17" s="10">
        <v>0.2326388888888889</v>
      </c>
      <c r="G17" s="10">
        <v>0.3263888888888889</v>
      </c>
      <c r="H17" s="16"/>
      <c r="I17" s="16"/>
      <c r="J17" s="16"/>
      <c r="K17" s="5"/>
      <c r="L17" s="5"/>
      <c r="M17" s="5"/>
      <c r="N17" s="10">
        <f t="shared" si="0"/>
        <v>9.375E-2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0.20833333333333334</v>
      </c>
      <c r="F19" s="10">
        <v>0.21180555555555555</v>
      </c>
      <c r="G19" s="10">
        <v>0.30555555555555558</v>
      </c>
      <c r="H19" s="16"/>
      <c r="I19" s="16"/>
      <c r="J19" s="16"/>
      <c r="K19" s="5"/>
      <c r="L19" s="5"/>
      <c r="M19" s="5"/>
      <c r="N19" s="10">
        <f t="shared" si="0"/>
        <v>9.3750000000000028E-2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0.21527777777777779</v>
      </c>
      <c r="F20" s="10">
        <v>0.24652777777777779</v>
      </c>
      <c r="G20" s="10">
        <v>0.52430555555555558</v>
      </c>
      <c r="H20" s="16"/>
      <c r="I20" s="16"/>
      <c r="J20" s="16"/>
      <c r="K20" s="5"/>
      <c r="L20" s="5"/>
      <c r="M20" s="5"/>
      <c r="N20" s="10">
        <f t="shared" si="0"/>
        <v>0.27777777777777779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106</v>
      </c>
      <c r="C21" s="17">
        <v>184328</v>
      </c>
      <c r="D21" s="17" t="s">
        <v>107</v>
      </c>
      <c r="E21" s="10" t="s">
        <v>139</v>
      </c>
      <c r="F21" s="10" t="s">
        <v>140</v>
      </c>
      <c r="G21" s="10"/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0.2013888888888889</v>
      </c>
      <c r="F22" s="10">
        <v>0.22222222222222221</v>
      </c>
      <c r="G22" s="10">
        <v>0.34722222222222221</v>
      </c>
      <c r="H22" s="16"/>
      <c r="I22" s="16"/>
      <c r="J22" s="16"/>
      <c r="K22" s="5"/>
      <c r="L22" s="5"/>
      <c r="M22" s="5"/>
      <c r="N22" s="10">
        <f t="shared" si="0"/>
        <v>0.125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0.2013888888888889</v>
      </c>
      <c r="F24" s="10">
        <v>0.21875</v>
      </c>
      <c r="G24" s="10">
        <v>0.50694444444444442</v>
      </c>
      <c r="H24" s="16"/>
      <c r="I24" s="16"/>
      <c r="J24" s="16"/>
      <c r="K24" s="5"/>
      <c r="L24" s="5"/>
      <c r="M24" s="5"/>
      <c r="N24" s="10">
        <f t="shared" si="0"/>
        <v>0.28819444444444442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1.3888888888888888E-2</v>
      </c>
      <c r="F25" s="10">
        <v>0.1423611111111111</v>
      </c>
      <c r="G25" s="10">
        <v>0.4861111111111111</v>
      </c>
      <c r="H25" s="16"/>
      <c r="I25" s="16"/>
      <c r="J25" s="16"/>
      <c r="K25" s="5"/>
      <c r="L25" s="5"/>
      <c r="M25" s="5"/>
      <c r="N25" s="10">
        <f t="shared" si="0"/>
        <v>0.34375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0.2361111111111111</v>
      </c>
      <c r="F26" s="10">
        <v>0.2673611111111111</v>
      </c>
      <c r="G26" s="10">
        <v>0.56944444444444442</v>
      </c>
      <c r="H26" s="16"/>
      <c r="I26" s="16"/>
      <c r="J26" s="16"/>
      <c r="K26" s="5"/>
      <c r="L26" s="5"/>
      <c r="M26" s="5"/>
      <c r="N26" s="10">
        <f t="shared" si="0"/>
        <v>0.30208333333333331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0.21180555555555555</v>
      </c>
      <c r="F27" s="10">
        <v>0.2326388888888889</v>
      </c>
      <c r="G27" s="10">
        <v>0.2951388888888889</v>
      </c>
      <c r="H27" s="16"/>
      <c r="I27" s="16"/>
      <c r="J27" s="16"/>
      <c r="K27" s="5"/>
      <c r="L27" s="5"/>
      <c r="M27" s="5"/>
      <c r="N27" s="10">
        <f t="shared" si="0"/>
        <v>6.25E-2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262</v>
      </c>
      <c r="C28" s="17">
        <v>353</v>
      </c>
      <c r="D28" s="17" t="s">
        <v>201</v>
      </c>
      <c r="E28" s="10">
        <v>0.21527777777777779</v>
      </c>
      <c r="F28" s="10">
        <v>0.2361111111111111</v>
      </c>
      <c r="G28" s="10">
        <v>0.49305555555555558</v>
      </c>
      <c r="H28" s="16"/>
      <c r="I28" s="16"/>
      <c r="J28" s="16"/>
      <c r="K28" s="5"/>
      <c r="L28" s="5"/>
      <c r="M28" s="5"/>
      <c r="N28" s="10">
        <f t="shared" si="0"/>
        <v>0.25694444444444448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184</v>
      </c>
      <c r="C29" s="17">
        <v>353</v>
      </c>
      <c r="D29" s="17" t="s">
        <v>163</v>
      </c>
      <c r="E29" s="10">
        <v>0.2361111111111111</v>
      </c>
      <c r="F29" s="10">
        <v>0.25</v>
      </c>
      <c r="G29" s="10">
        <v>0.46180555555555558</v>
      </c>
      <c r="H29" s="16"/>
      <c r="I29" s="16"/>
      <c r="J29" s="16"/>
      <c r="K29" s="5"/>
      <c r="L29" s="5"/>
      <c r="M29" s="5"/>
      <c r="N29" s="10">
        <f t="shared" si="0"/>
        <v>0.21180555555555558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0.2048611111111111</v>
      </c>
      <c r="F30" s="10">
        <v>0.22222222222222221</v>
      </c>
      <c r="G30" s="10">
        <v>0.47916666666666669</v>
      </c>
      <c r="H30" s="16"/>
      <c r="I30" s="16"/>
      <c r="J30" s="16"/>
      <c r="K30" s="5"/>
      <c r="L30" s="5"/>
      <c r="M30" s="5"/>
      <c r="N30" s="10">
        <f t="shared" si="0"/>
        <v>0.25694444444444448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0.19097222222222221</v>
      </c>
      <c r="F31" s="10">
        <v>0.21527777777777779</v>
      </c>
      <c r="G31" s="10">
        <v>0.36805555555555558</v>
      </c>
      <c r="H31" s="16"/>
      <c r="I31" s="16"/>
      <c r="J31" s="16"/>
      <c r="K31" s="5"/>
      <c r="L31" s="5"/>
      <c r="M31" s="5"/>
      <c r="N31" s="10">
        <f t="shared" si="0"/>
        <v>0.15277777777777779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207</v>
      </c>
      <c r="C33" s="17">
        <v>782</v>
      </c>
      <c r="D33" s="17" t="s">
        <v>208</v>
      </c>
      <c r="E33" s="10">
        <v>0.20833333333333334</v>
      </c>
      <c r="F33" s="10">
        <v>0.2326388888888889</v>
      </c>
      <c r="G33" s="10">
        <v>0.28819444444444442</v>
      </c>
      <c r="H33" s="16"/>
      <c r="I33" s="16"/>
      <c r="J33" s="16"/>
      <c r="K33" s="5"/>
      <c r="L33" s="5"/>
      <c r="M33" s="5"/>
      <c r="N33" s="10">
        <f t="shared" si="0"/>
        <v>5.5555555555555525E-2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64</v>
      </c>
      <c r="C34" s="17">
        <v>184041</v>
      </c>
      <c r="D34" s="17" t="s">
        <v>65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1.3888888888888888E-2</v>
      </c>
      <c r="F35" s="10">
        <v>8.3333333333333329E-2</v>
      </c>
      <c r="G35" s="10">
        <v>0.2951388888888889</v>
      </c>
      <c r="H35" s="16"/>
      <c r="I35" s="16"/>
      <c r="J35" s="16"/>
      <c r="K35" s="5"/>
      <c r="L35" s="5"/>
      <c r="M35" s="5"/>
      <c r="N35" s="10">
        <f t="shared" si="0"/>
        <v>0.21180555555555558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151</v>
      </c>
      <c r="C36" s="17">
        <v>353</v>
      </c>
      <c r="D36" s="17" t="s">
        <v>111</v>
      </c>
      <c r="E36" s="10">
        <v>0.2326388888888889</v>
      </c>
      <c r="F36" s="10">
        <v>0.25694444444444442</v>
      </c>
      <c r="G36" s="10">
        <v>0.39583333333333331</v>
      </c>
      <c r="H36" s="16"/>
      <c r="I36" s="16"/>
      <c r="J36" s="16"/>
      <c r="K36" s="5"/>
      <c r="L36" s="5"/>
      <c r="M36" s="5"/>
      <c r="N36" s="10">
        <f t="shared" si="0"/>
        <v>0.1388888888888889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0.21527777777777779</v>
      </c>
      <c r="F38" s="10">
        <v>0.24652777777777779</v>
      </c>
      <c r="G38" s="10">
        <v>0.37152777777777779</v>
      </c>
      <c r="H38" s="16"/>
      <c r="I38" s="16"/>
      <c r="J38" s="16"/>
      <c r="K38" s="5"/>
      <c r="L38" s="5"/>
      <c r="M38" s="5"/>
      <c r="N38" s="10">
        <f t="shared" si="0"/>
        <v>0.125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0.4201388888888889</v>
      </c>
      <c r="F39" s="10">
        <v>0.44791666666666669</v>
      </c>
      <c r="G39" s="10">
        <v>0.56944444444444442</v>
      </c>
      <c r="H39" s="16"/>
      <c r="I39" s="16"/>
      <c r="J39" s="16"/>
      <c r="K39" s="5"/>
      <c r="L39" s="5"/>
      <c r="M39" s="5"/>
      <c r="N39" s="10">
        <f t="shared" si="0"/>
        <v>0.12152777777777773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116</v>
      </c>
      <c r="C41" s="17">
        <v>104</v>
      </c>
      <c r="D41" s="17" t="s">
        <v>117</v>
      </c>
      <c r="E41" s="10">
        <v>0.2326388888888889</v>
      </c>
      <c r="F41" s="10">
        <v>0.40625</v>
      </c>
      <c r="G41" s="10">
        <v>0.53819444444444442</v>
      </c>
      <c r="H41" s="16"/>
      <c r="I41" s="16"/>
      <c r="J41" s="16"/>
      <c r="K41" s="5"/>
      <c r="L41" s="5"/>
      <c r="M41" s="5"/>
      <c r="N41" s="10">
        <f t="shared" si="0"/>
        <v>0.13194444444444442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263</v>
      </c>
      <c r="C42" s="17">
        <v>353</v>
      </c>
      <c r="D42" s="17" t="s">
        <v>241</v>
      </c>
      <c r="E42" s="10">
        <v>0.24305555555555555</v>
      </c>
      <c r="F42" s="10">
        <v>0.2638888888888889</v>
      </c>
      <c r="G42" s="10">
        <v>0.57291666666666663</v>
      </c>
      <c r="H42" s="16"/>
      <c r="I42" s="16"/>
      <c r="J42" s="16"/>
      <c r="K42" s="5"/>
      <c r="L42" s="5"/>
      <c r="M42" s="5"/>
      <c r="N42" s="10">
        <f t="shared" si="0"/>
        <v>0.30902777777777773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0.2638888888888889</v>
      </c>
      <c r="F43" s="10">
        <v>0.2951388888888889</v>
      </c>
      <c r="G43" s="10">
        <v>0.54513888888888884</v>
      </c>
      <c r="H43" s="16"/>
      <c r="I43" s="16"/>
      <c r="J43" s="16"/>
      <c r="K43" s="5"/>
      <c r="L43" s="5"/>
      <c r="M43" s="5"/>
      <c r="N43" s="10">
        <f t="shared" si="0"/>
        <v>0.24999999999999994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0.19791666666666666</v>
      </c>
      <c r="F44" s="10">
        <v>0.21875</v>
      </c>
      <c r="G44" s="10">
        <v>0.53819444444444442</v>
      </c>
      <c r="H44" s="16"/>
      <c r="I44" s="16"/>
      <c r="J44" s="16"/>
      <c r="K44" s="5"/>
      <c r="L44" s="5"/>
      <c r="M44" s="5"/>
      <c r="N44" s="10">
        <f t="shared" si="0"/>
        <v>0.31944444444444442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0.21180555555555555</v>
      </c>
      <c r="F45" s="10">
        <v>0.2326388888888889</v>
      </c>
      <c r="G45" s="10">
        <v>0.2951388888888889</v>
      </c>
      <c r="H45" s="16"/>
      <c r="I45" s="16"/>
      <c r="J45" s="16"/>
      <c r="K45" s="5"/>
      <c r="L45" s="5"/>
      <c r="M45" s="5"/>
      <c r="N45" s="10">
        <f t="shared" si="0"/>
        <v>6.25E-2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0C2C-3E65-444B-9BEC-FD656E17F3F5}">
  <dimension ref="A1:O49"/>
  <sheetViews>
    <sheetView showGridLines="0" topLeftCell="C1" zoomScale="60" zoomScaleNormal="55" workbookViewId="0">
      <pane ySplit="3" topLeftCell="A14" activePane="bottomLeft" state="frozen"/>
      <selection pane="bottomLeft" activeCell="M46" sqref="M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184</v>
      </c>
      <c r="C5" s="16">
        <v>353</v>
      </c>
      <c r="D5" s="16" t="s">
        <v>163</v>
      </c>
      <c r="E5" s="10">
        <v>0.2048611111111111</v>
      </c>
      <c r="F5" s="10">
        <v>0.24652777777777779</v>
      </c>
      <c r="G5" s="10">
        <v>0.34375</v>
      </c>
      <c r="H5" s="16"/>
      <c r="I5" s="16"/>
      <c r="J5" s="16"/>
      <c r="K5" s="8"/>
      <c r="L5" s="8"/>
      <c r="M5" s="9"/>
      <c r="N5" s="10">
        <f>MOD(G5-F5, 1)</f>
        <v>9.722222222222221E-2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0.28472222222222221</v>
      </c>
      <c r="G6" s="10">
        <v>0.52083333333333337</v>
      </c>
      <c r="H6" s="16"/>
      <c r="I6" s="16"/>
      <c r="J6" s="16"/>
      <c r="K6" s="5"/>
      <c r="L6" s="5"/>
      <c r="M6" s="5"/>
      <c r="N6" s="10">
        <f t="shared" ref="N6:N45" si="0">MOD(G6-F6, 1)</f>
        <v>0.23611111111111116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0.49652777777777779</v>
      </c>
      <c r="H7" s="16"/>
      <c r="I7" s="16"/>
      <c r="J7" s="16"/>
      <c r="K7" s="5"/>
      <c r="L7" s="5"/>
      <c r="M7" s="5"/>
      <c r="N7" s="10">
        <f t="shared" si="0"/>
        <v>0.24305555555555558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68</v>
      </c>
      <c r="C8" s="17">
        <v>832</v>
      </c>
      <c r="D8" s="17" t="s">
        <v>69</v>
      </c>
      <c r="E8" s="10">
        <v>0.22916666666666666</v>
      </c>
      <c r="F8" s="10">
        <v>0.26041666666666669</v>
      </c>
      <c r="G8" s="10">
        <v>0.32291666666666669</v>
      </c>
      <c r="H8" s="16"/>
      <c r="I8" s="16"/>
      <c r="J8" s="16"/>
      <c r="K8" s="5"/>
      <c r="L8" s="5"/>
      <c r="M8" s="5"/>
      <c r="N8" s="10">
        <f t="shared" si="0"/>
        <v>6.25E-2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0.19097222222222221</v>
      </c>
      <c r="F10" s="10">
        <v>0.25</v>
      </c>
      <c r="G10" s="10">
        <v>0.38541666666666669</v>
      </c>
      <c r="H10" s="16"/>
      <c r="I10" s="16"/>
      <c r="J10" s="16"/>
      <c r="K10" s="5"/>
      <c r="L10" s="5"/>
      <c r="M10" s="5"/>
      <c r="N10" s="10">
        <f t="shared" si="0"/>
        <v>0.13541666666666669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0.24305555555555555</v>
      </c>
      <c r="G11" s="10">
        <v>0.46875</v>
      </c>
      <c r="H11" s="16"/>
      <c r="I11" s="16"/>
      <c r="J11" s="16"/>
      <c r="K11" s="5"/>
      <c r="L11" s="5"/>
      <c r="M11" s="5"/>
      <c r="N11" s="10">
        <f t="shared" si="0"/>
        <v>0.22569444444444445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0.19444444444444445</v>
      </c>
      <c r="F12" s="10">
        <v>0.23958333333333334</v>
      </c>
      <c r="G12" s="10">
        <v>0.4513888888888889</v>
      </c>
      <c r="H12" s="16"/>
      <c r="I12" s="16"/>
      <c r="J12" s="16"/>
      <c r="K12" s="5"/>
      <c r="L12" s="5"/>
      <c r="M12" s="5"/>
      <c r="N12" s="10">
        <f t="shared" si="0"/>
        <v>0.21180555555555555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0.13194444444444445</v>
      </c>
      <c r="F13" s="10">
        <v>0.24305555555555555</v>
      </c>
      <c r="G13" s="10">
        <v>0.41666666666666669</v>
      </c>
      <c r="H13" s="16"/>
      <c r="I13" s="16"/>
      <c r="J13" s="16"/>
      <c r="K13" s="5"/>
      <c r="L13" s="5"/>
      <c r="M13" s="5"/>
      <c r="N13" s="10">
        <f t="shared" si="0"/>
        <v>0.17361111111111113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264</v>
      </c>
      <c r="C14" s="17">
        <v>816</v>
      </c>
      <c r="D14" s="17" t="s">
        <v>265</v>
      </c>
      <c r="E14" s="10">
        <v>0.22569444444444445</v>
      </c>
      <c r="F14" s="10">
        <v>0.24652777777777779</v>
      </c>
      <c r="G14" s="10">
        <v>0.49652777777777779</v>
      </c>
      <c r="H14" s="16"/>
      <c r="I14" s="16"/>
      <c r="J14" s="16"/>
      <c r="K14" s="5"/>
      <c r="L14" s="5"/>
      <c r="M14" s="5"/>
      <c r="N14" s="10">
        <f t="shared" si="0"/>
        <v>0.25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2.4305555555555556E-2</v>
      </c>
      <c r="F15" s="10">
        <v>0.25347222222222221</v>
      </c>
      <c r="G15" s="10">
        <v>0.38541666666666669</v>
      </c>
      <c r="H15" s="16"/>
      <c r="I15" s="16"/>
      <c r="J15" s="16"/>
      <c r="K15" s="5"/>
      <c r="L15" s="5"/>
      <c r="M15" s="5"/>
      <c r="N15" s="10">
        <f t="shared" si="0"/>
        <v>0.13194444444444448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0.2326388888888889</v>
      </c>
      <c r="F16" s="10">
        <v>0.24305555555555555</v>
      </c>
      <c r="G16" s="10">
        <v>0.55555555555555558</v>
      </c>
      <c r="H16" s="16"/>
      <c r="I16" s="16"/>
      <c r="J16" s="16"/>
      <c r="K16" s="5"/>
      <c r="L16" s="5"/>
      <c r="M16" s="5"/>
      <c r="N16" s="10">
        <f t="shared" si="0"/>
        <v>0.3125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176</v>
      </c>
      <c r="C17" s="17">
        <v>294</v>
      </c>
      <c r="D17" s="17" t="s">
        <v>177</v>
      </c>
      <c r="E17" s="10">
        <v>0.24305555555555555</v>
      </c>
      <c r="F17" s="10">
        <v>0.2638888888888889</v>
      </c>
      <c r="G17" s="10">
        <v>0.55555555555555558</v>
      </c>
      <c r="H17" s="16"/>
      <c r="I17" s="16"/>
      <c r="J17" s="16"/>
      <c r="K17" s="5"/>
      <c r="L17" s="5"/>
      <c r="M17" s="5"/>
      <c r="N17" s="10">
        <f t="shared" si="0"/>
        <v>0.29166666666666669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266</v>
      </c>
      <c r="C18" s="17">
        <v>353</v>
      </c>
      <c r="D18" s="17" t="s">
        <v>267</v>
      </c>
      <c r="E18" s="10" t="s">
        <v>166</v>
      </c>
      <c r="F18" s="10" t="s">
        <v>192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0.19791666666666666</v>
      </c>
      <c r="F19" s="10">
        <v>0.2013888888888889</v>
      </c>
      <c r="G19" s="10">
        <v>0.30208333333333331</v>
      </c>
      <c r="H19" s="16"/>
      <c r="I19" s="16"/>
      <c r="J19" s="16"/>
      <c r="K19" s="5"/>
      <c r="L19" s="5"/>
      <c r="M19" s="5"/>
      <c r="N19" s="10">
        <f t="shared" si="0"/>
        <v>0.10069444444444442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0.18055555555555555</v>
      </c>
      <c r="F20" s="10">
        <v>0.21527777777777779</v>
      </c>
      <c r="G20" s="10">
        <v>0.4513888888888889</v>
      </c>
      <c r="H20" s="16"/>
      <c r="I20" s="16"/>
      <c r="J20" s="16"/>
      <c r="K20" s="5"/>
      <c r="L20" s="5"/>
      <c r="M20" s="5"/>
      <c r="N20" s="10">
        <f t="shared" si="0"/>
        <v>0.2361111111111111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0.1736111111111111</v>
      </c>
      <c r="F22" s="10">
        <v>0.22569444444444445</v>
      </c>
      <c r="G22" s="10">
        <v>0.3263888888888889</v>
      </c>
      <c r="H22" s="16"/>
      <c r="I22" s="16"/>
      <c r="J22" s="16"/>
      <c r="K22" s="5"/>
      <c r="L22" s="5"/>
      <c r="M22" s="5"/>
      <c r="N22" s="10">
        <f t="shared" si="0"/>
        <v>0.10069444444444445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0.24305555555555555</v>
      </c>
      <c r="G23" s="10">
        <v>0.40972222222222221</v>
      </c>
      <c r="H23" s="16"/>
      <c r="I23" s="16"/>
      <c r="J23" s="16"/>
      <c r="K23" s="5"/>
      <c r="L23" s="5"/>
      <c r="M23" s="5"/>
      <c r="N23" s="10">
        <f t="shared" si="0"/>
        <v>0.16666666666666666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0.19791666666666666</v>
      </c>
      <c r="F24" s="10">
        <v>0.21875</v>
      </c>
      <c r="G24" s="10">
        <v>0.50694444444444442</v>
      </c>
      <c r="H24" s="16"/>
      <c r="I24" s="16"/>
      <c r="J24" s="16"/>
      <c r="K24" s="5"/>
      <c r="L24" s="5"/>
      <c r="M24" s="5"/>
      <c r="N24" s="10">
        <f t="shared" si="0"/>
        <v>0.28819444444444442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2.4305555555555556E-2</v>
      </c>
      <c r="F25" s="10">
        <v>0.16319444444444445</v>
      </c>
      <c r="G25" s="10">
        <v>0.5</v>
      </c>
      <c r="H25" s="16"/>
      <c r="I25" s="16"/>
      <c r="J25" s="16"/>
      <c r="K25" s="5"/>
      <c r="L25" s="5"/>
      <c r="M25" s="5"/>
      <c r="N25" s="10">
        <f t="shared" si="0"/>
        <v>0.33680555555555558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0.24305555555555555</v>
      </c>
      <c r="F26" s="10">
        <v>0.28472222222222221</v>
      </c>
      <c r="G26" s="10">
        <v>0.49305555555555558</v>
      </c>
      <c r="H26" s="16"/>
      <c r="I26" s="16"/>
      <c r="J26" s="16"/>
      <c r="K26" s="5"/>
      <c r="L26" s="5"/>
      <c r="M26" s="5"/>
      <c r="N26" s="10">
        <f t="shared" si="0"/>
        <v>0.20833333333333337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0.21527777777777779</v>
      </c>
      <c r="F27" s="10">
        <v>0.23958333333333334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4.1666666666666657E-2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232</v>
      </c>
      <c r="C28" s="17">
        <v>353</v>
      </c>
      <c r="D28" s="17" t="s">
        <v>111</v>
      </c>
      <c r="E28" s="10">
        <v>0.21875</v>
      </c>
      <c r="F28" s="10">
        <v>0.23958333333333334</v>
      </c>
      <c r="G28" s="10">
        <v>0.47569444444444442</v>
      </c>
      <c r="H28" s="16"/>
      <c r="I28" s="16"/>
      <c r="J28" s="16"/>
      <c r="K28" s="5"/>
      <c r="L28" s="5"/>
      <c r="M28" s="5"/>
      <c r="N28" s="10">
        <f t="shared" si="0"/>
        <v>0.23611111111111108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104</v>
      </c>
      <c r="C29" s="17">
        <v>811</v>
      </c>
      <c r="D29" s="17" t="s">
        <v>105</v>
      </c>
      <c r="E29" s="10">
        <v>0.21875</v>
      </c>
      <c r="F29" s="10">
        <v>0.2326388888888889</v>
      </c>
      <c r="G29" s="10">
        <v>0.4826388888888889</v>
      </c>
      <c r="H29" s="16"/>
      <c r="I29" s="16"/>
      <c r="J29" s="16"/>
      <c r="K29" s="5"/>
      <c r="L29" s="5"/>
      <c r="M29" s="5"/>
      <c r="N29" s="10">
        <f t="shared" si="0"/>
        <v>0.25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74</v>
      </c>
      <c r="C30" s="17">
        <v>353</v>
      </c>
      <c r="D30" s="17" t="s">
        <v>254</v>
      </c>
      <c r="E30" s="10">
        <v>0.22222222222222221</v>
      </c>
      <c r="F30" s="10">
        <v>0.23958333333333334</v>
      </c>
      <c r="G30" s="10">
        <v>0.36458333333333331</v>
      </c>
      <c r="H30" s="16"/>
      <c r="I30" s="16"/>
      <c r="J30" s="16"/>
      <c r="K30" s="5"/>
      <c r="L30" s="5"/>
      <c r="M30" s="5"/>
      <c r="N30" s="10">
        <f t="shared" si="0"/>
        <v>0.12499999999999997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0.19097222222222221</v>
      </c>
      <c r="F31" s="10">
        <v>0.21527777777777779</v>
      </c>
      <c r="G31" s="10">
        <v>0.44791666666666669</v>
      </c>
      <c r="H31" s="16"/>
      <c r="I31" s="16"/>
      <c r="J31" s="16"/>
      <c r="K31" s="5"/>
      <c r="L31" s="5"/>
      <c r="M31" s="5"/>
      <c r="N31" s="10">
        <f t="shared" si="0"/>
        <v>0.2326388888888889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0.18402777777777779</v>
      </c>
      <c r="F33" s="10">
        <v>0.21180555555555555</v>
      </c>
      <c r="G33" s="10">
        <v>0.28125</v>
      </c>
      <c r="H33" s="16"/>
      <c r="I33" s="16"/>
      <c r="J33" s="16"/>
      <c r="K33" s="5"/>
      <c r="L33" s="5"/>
      <c r="M33" s="5"/>
      <c r="N33" s="10">
        <f t="shared" si="0"/>
        <v>6.9444444444444448E-2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0.22569444444444445</v>
      </c>
      <c r="F34" s="10">
        <v>0.24305555555555555</v>
      </c>
      <c r="G34" s="10">
        <v>0.52083333333333337</v>
      </c>
      <c r="H34" s="16"/>
      <c r="I34" s="16"/>
      <c r="J34" s="16"/>
      <c r="K34" s="5"/>
      <c r="L34" s="5"/>
      <c r="M34" s="5"/>
      <c r="N34" s="10">
        <f t="shared" si="0"/>
        <v>0.27777777777777779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5.9027777777777776E-2</v>
      </c>
      <c r="F35" s="10">
        <v>0.12152777777777778</v>
      </c>
      <c r="G35" s="10">
        <v>0.33333333333333331</v>
      </c>
      <c r="H35" s="16"/>
      <c r="I35" s="16"/>
      <c r="J35" s="16"/>
      <c r="K35" s="5"/>
      <c r="L35" s="5"/>
      <c r="M35" s="5"/>
      <c r="N35" s="10">
        <f t="shared" si="0"/>
        <v>0.21180555555555552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0.2326388888888889</v>
      </c>
      <c r="F36" s="10">
        <v>0.25694444444444442</v>
      </c>
      <c r="G36" s="10">
        <v>0.4513888888888889</v>
      </c>
      <c r="H36" s="16"/>
      <c r="I36" s="16"/>
      <c r="J36" s="16"/>
      <c r="K36" s="5"/>
      <c r="L36" s="5"/>
      <c r="M36" s="5"/>
      <c r="N36" s="10">
        <f t="shared" si="0"/>
        <v>0.19444444444444448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72</v>
      </c>
      <c r="C37" s="17">
        <v>180</v>
      </c>
      <c r="D37" s="17" t="s">
        <v>73</v>
      </c>
      <c r="E37" s="10">
        <v>0.1875</v>
      </c>
      <c r="F37" s="10">
        <v>0.2048611111111111</v>
      </c>
      <c r="G37" s="10">
        <v>0.35416666666666669</v>
      </c>
      <c r="H37" s="16"/>
      <c r="I37" s="16"/>
      <c r="J37" s="16"/>
      <c r="K37" s="5"/>
      <c r="L37" s="5"/>
      <c r="M37" s="6"/>
      <c r="N37" s="10">
        <f t="shared" si="0"/>
        <v>0.14930555555555558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0.24305555555555555</v>
      </c>
      <c r="F38" s="10">
        <v>0.27083333333333331</v>
      </c>
      <c r="G38" s="10">
        <v>0.44791666666666669</v>
      </c>
      <c r="H38" s="16"/>
      <c r="I38" s="16"/>
      <c r="J38" s="16"/>
      <c r="K38" s="5"/>
      <c r="L38" s="5"/>
      <c r="M38" s="5"/>
      <c r="N38" s="10">
        <f t="shared" si="0"/>
        <v>0.17708333333333337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0.23958333333333334</v>
      </c>
      <c r="F39" s="10">
        <v>0.27083333333333331</v>
      </c>
      <c r="G39" s="10">
        <v>0.28819444444444442</v>
      </c>
      <c r="H39" s="16"/>
      <c r="I39" s="16"/>
      <c r="J39" s="16"/>
      <c r="K39" s="5"/>
      <c r="L39" s="5"/>
      <c r="M39" s="5"/>
      <c r="N39" s="10">
        <f t="shared" si="0"/>
        <v>1.7361111111111105E-2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0.22222222222222221</v>
      </c>
      <c r="F41" s="10">
        <v>0.2673611111111111</v>
      </c>
      <c r="G41" s="10">
        <v>0.47569444444444442</v>
      </c>
      <c r="H41" s="16"/>
      <c r="I41" s="16"/>
      <c r="J41" s="16"/>
      <c r="K41" s="5"/>
      <c r="L41" s="5"/>
      <c r="M41" s="5"/>
      <c r="N41" s="10">
        <f t="shared" si="0"/>
        <v>0.20833333333333331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263</v>
      </c>
      <c r="C42" s="17">
        <v>353</v>
      </c>
      <c r="D42" s="17" t="s">
        <v>241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0.2638888888888889</v>
      </c>
      <c r="F43" s="10">
        <v>0.2951388888888889</v>
      </c>
      <c r="G43" s="10">
        <v>0.55555555555555558</v>
      </c>
      <c r="H43" s="16"/>
      <c r="I43" s="16"/>
      <c r="J43" s="16"/>
      <c r="K43" s="5"/>
      <c r="L43" s="5"/>
      <c r="M43" s="5"/>
      <c r="N43" s="10">
        <f t="shared" si="0"/>
        <v>0.26041666666666669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0.19791666666666666</v>
      </c>
      <c r="F44" s="10">
        <v>0.22222222222222221</v>
      </c>
      <c r="G44" s="10">
        <v>0.54166666666666663</v>
      </c>
      <c r="H44" s="16"/>
      <c r="I44" s="16"/>
      <c r="J44" s="16"/>
      <c r="K44" s="5"/>
      <c r="L44" s="5"/>
      <c r="M44" s="5"/>
      <c r="N44" s="10">
        <f t="shared" si="0"/>
        <v>0.31944444444444442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0.21527777777777779</v>
      </c>
      <c r="F45" s="10">
        <v>0.23958333333333334</v>
      </c>
      <c r="G45" s="10">
        <v>0.28125</v>
      </c>
      <c r="H45" s="10" t="s">
        <v>211</v>
      </c>
      <c r="I45" s="10">
        <v>775</v>
      </c>
      <c r="J45" s="10" t="s">
        <v>212</v>
      </c>
      <c r="K45" s="19">
        <v>0.22222222222222221</v>
      </c>
      <c r="L45" s="19">
        <v>0.27430555555555558</v>
      </c>
      <c r="M45" s="19">
        <v>0.28472222222222221</v>
      </c>
      <c r="N45" s="10">
        <f t="shared" si="0"/>
        <v>4.1666666666666657E-2</v>
      </c>
      <c r="O45" s="10">
        <f t="shared" si="1"/>
        <v>1.041666666666663E-2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AC52-22F9-432C-B562-7172EB70250D}">
  <dimension ref="A1:O49"/>
  <sheetViews>
    <sheetView showGridLines="0" zoomScale="55" zoomScaleNormal="55" workbookViewId="0">
      <pane ySplit="3" topLeftCell="A4" activePane="bottomLeft" state="frozen"/>
      <selection pane="bottomLeft" activeCell="I18" sqref="I18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0.21875</v>
      </c>
      <c r="F5" s="10">
        <v>0.26041666666666669</v>
      </c>
      <c r="G5" s="10">
        <v>0.3263888888888889</v>
      </c>
      <c r="H5" s="16"/>
      <c r="I5" s="16"/>
      <c r="J5" s="16"/>
      <c r="K5" s="8"/>
      <c r="L5" s="8"/>
      <c r="M5" s="9"/>
      <c r="N5" s="10">
        <f>MOD(G5-F5, 1)</f>
        <v>6.597222222222221E-2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0.2361111111111111</v>
      </c>
      <c r="F6" s="10">
        <v>0.28472222222222221</v>
      </c>
      <c r="G6" s="10">
        <v>0.52430555555555558</v>
      </c>
      <c r="H6" s="16"/>
      <c r="I6" s="16"/>
      <c r="J6" s="16"/>
      <c r="K6" s="5"/>
      <c r="L6" s="5"/>
      <c r="M6" s="5"/>
      <c r="N6" s="10">
        <f t="shared" ref="N6:N45" si="0">MOD(G6-F6, 1)</f>
        <v>0.23958333333333337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</v>
      </c>
      <c r="G7" s="10">
        <v>0.47222222222222221</v>
      </c>
      <c r="H7" s="16"/>
      <c r="I7" s="16"/>
      <c r="J7" s="16"/>
      <c r="K7" s="5"/>
      <c r="L7" s="5"/>
      <c r="M7" s="5"/>
      <c r="N7" s="10">
        <f t="shared" si="0"/>
        <v>0.22222222222222221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68</v>
      </c>
      <c r="C8" s="17">
        <v>832</v>
      </c>
      <c r="D8" s="17" t="s">
        <v>69</v>
      </c>
      <c r="E8" s="10">
        <v>0.22916666666666666</v>
      </c>
      <c r="F8" s="10">
        <v>0.25347222222222221</v>
      </c>
      <c r="G8" s="10">
        <v>0.31944444444444442</v>
      </c>
      <c r="H8" s="16"/>
      <c r="I8" s="16"/>
      <c r="J8" s="16"/>
      <c r="K8" s="5"/>
      <c r="L8" s="5"/>
      <c r="M8" s="5"/>
      <c r="N8" s="10">
        <f t="shared" si="0"/>
        <v>6.597222222222221E-2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0.18402777777777779</v>
      </c>
      <c r="F10" s="10">
        <v>0.22222222222222221</v>
      </c>
      <c r="G10" s="10">
        <v>0.37847222222222221</v>
      </c>
      <c r="H10" s="16"/>
      <c r="I10" s="16"/>
      <c r="J10" s="16"/>
      <c r="K10" s="5"/>
      <c r="L10" s="5"/>
      <c r="M10" s="5"/>
      <c r="N10" s="10">
        <f t="shared" si="0"/>
        <v>0.15625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0.2048611111111111</v>
      </c>
      <c r="F11" s="10">
        <v>0.23958333333333334</v>
      </c>
      <c r="G11" s="10">
        <v>0.4236111111111111</v>
      </c>
      <c r="H11" s="16"/>
      <c r="I11" s="16"/>
      <c r="J11" s="16"/>
      <c r="K11" s="5"/>
      <c r="L11" s="5"/>
      <c r="M11" s="5"/>
      <c r="N11" s="10">
        <f t="shared" si="0"/>
        <v>0.18402777777777776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0.21180555555555555</v>
      </c>
      <c r="F12" s="10">
        <v>0.2361111111111111</v>
      </c>
      <c r="G12" s="10">
        <v>0.54861111111111116</v>
      </c>
      <c r="H12" s="16"/>
      <c r="I12" s="16"/>
      <c r="J12" s="16"/>
      <c r="K12" s="5"/>
      <c r="L12" s="5"/>
      <c r="M12" s="5"/>
      <c r="N12" s="10">
        <f t="shared" si="0"/>
        <v>0.31250000000000006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0.14930555555555555</v>
      </c>
      <c r="F13" s="10">
        <v>0.25694444444444442</v>
      </c>
      <c r="G13" s="10">
        <v>0.4201388888888889</v>
      </c>
      <c r="H13" s="16"/>
      <c r="I13" s="16"/>
      <c r="J13" s="16"/>
      <c r="K13" s="5"/>
      <c r="L13" s="5"/>
      <c r="M13" s="5"/>
      <c r="N13" s="10">
        <f t="shared" si="0"/>
        <v>0.16319444444444448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0.2048611111111111</v>
      </c>
      <c r="G14" s="10">
        <v>0.33680555555555558</v>
      </c>
      <c r="H14" s="16"/>
      <c r="I14" s="16"/>
      <c r="J14" s="16"/>
      <c r="K14" s="5"/>
      <c r="L14" s="5"/>
      <c r="M14" s="5"/>
      <c r="N14" s="10">
        <f t="shared" si="0"/>
        <v>0.13194444444444448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2.0833333333333332E-2</v>
      </c>
      <c r="F15" s="10">
        <v>0.27083333333333331</v>
      </c>
      <c r="G15" s="10">
        <v>0.3298611111111111</v>
      </c>
      <c r="H15" s="16"/>
      <c r="I15" s="16"/>
      <c r="J15" s="16"/>
      <c r="K15" s="5"/>
      <c r="L15" s="5"/>
      <c r="M15" s="5"/>
      <c r="N15" s="10">
        <f t="shared" si="0"/>
        <v>5.902777777777779E-2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0.22222222222222221</v>
      </c>
      <c r="F16" s="10">
        <v>0.2326388888888889</v>
      </c>
      <c r="G16" s="10">
        <v>0.55208333333333337</v>
      </c>
      <c r="H16" s="16"/>
      <c r="I16" s="16"/>
      <c r="J16" s="16"/>
      <c r="K16" s="5"/>
      <c r="L16" s="5"/>
      <c r="M16" s="5"/>
      <c r="N16" s="10">
        <f t="shared" si="0"/>
        <v>0.31944444444444448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141</v>
      </c>
      <c r="E17" s="10">
        <v>0.19097222222222221</v>
      </c>
      <c r="F17" s="10">
        <v>0.2013888888888889</v>
      </c>
      <c r="G17" s="10">
        <v>0.50694444444444442</v>
      </c>
      <c r="H17" s="16"/>
      <c r="I17" s="16"/>
      <c r="J17" s="16"/>
      <c r="K17" s="5"/>
      <c r="L17" s="5"/>
      <c r="M17" s="5"/>
      <c r="N17" s="10">
        <f t="shared" si="0"/>
        <v>0.30555555555555552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0.1875</v>
      </c>
      <c r="F19" s="10">
        <v>0.19097222222222221</v>
      </c>
      <c r="G19" s="10">
        <v>0.28819444444444442</v>
      </c>
      <c r="H19" s="16"/>
      <c r="I19" s="16"/>
      <c r="J19" s="16"/>
      <c r="K19" s="5"/>
      <c r="L19" s="5"/>
      <c r="M19" s="5"/>
      <c r="N19" s="10">
        <f t="shared" si="0"/>
        <v>9.722222222222221E-2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0.1736111111111111</v>
      </c>
      <c r="F20" s="10">
        <v>0.20833333333333334</v>
      </c>
      <c r="G20" s="10">
        <v>0.4548611111111111</v>
      </c>
      <c r="H20" s="16"/>
      <c r="I20" s="16"/>
      <c r="J20" s="16"/>
      <c r="K20" s="5"/>
      <c r="L20" s="5"/>
      <c r="M20" s="5"/>
      <c r="N20" s="10">
        <f t="shared" si="0"/>
        <v>0.24652777777777776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0.1875</v>
      </c>
      <c r="F22" s="10">
        <v>0.2048611111111111</v>
      </c>
      <c r="G22" s="10">
        <v>0.31597222222222221</v>
      </c>
      <c r="H22" s="16"/>
      <c r="I22" s="16"/>
      <c r="J22" s="16"/>
      <c r="K22" s="5"/>
      <c r="L22" s="5"/>
      <c r="M22" s="5"/>
      <c r="N22" s="10">
        <f t="shared" si="0"/>
        <v>0.1111111111111111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0.2361111111111111</v>
      </c>
      <c r="G23" s="10">
        <v>0.39930555555555558</v>
      </c>
      <c r="H23" s="16"/>
      <c r="I23" s="16"/>
      <c r="J23" s="16"/>
      <c r="K23" s="5"/>
      <c r="L23" s="5"/>
      <c r="M23" s="5"/>
      <c r="N23" s="10">
        <f t="shared" si="0"/>
        <v>0.16319444444444448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0.21180555555555555</v>
      </c>
      <c r="F24" s="10">
        <v>0.2326388888888889</v>
      </c>
      <c r="G24" s="10">
        <v>0.55208333333333337</v>
      </c>
      <c r="H24" s="16"/>
      <c r="I24" s="16"/>
      <c r="J24" s="16"/>
      <c r="K24" s="5"/>
      <c r="L24" s="5"/>
      <c r="M24" s="5"/>
      <c r="N24" s="10">
        <f t="shared" si="0"/>
        <v>0.31944444444444448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2.0833333333333332E-2</v>
      </c>
      <c r="F25" s="10">
        <v>0.14583333333333334</v>
      </c>
      <c r="G25" s="10">
        <v>0.37847222222222221</v>
      </c>
      <c r="H25" s="16"/>
      <c r="I25" s="16"/>
      <c r="J25" s="16"/>
      <c r="K25" s="5"/>
      <c r="L25" s="5"/>
      <c r="M25" s="5"/>
      <c r="N25" s="10">
        <f t="shared" si="0"/>
        <v>0.23263888888888887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0.22569444444444445</v>
      </c>
      <c r="F26" s="10">
        <v>0.25694444444444442</v>
      </c>
      <c r="G26" s="10">
        <v>0.44791666666666669</v>
      </c>
      <c r="H26" s="16"/>
      <c r="I26" s="16"/>
      <c r="J26" s="16"/>
      <c r="K26" s="5"/>
      <c r="L26" s="5"/>
      <c r="M26" s="5"/>
      <c r="N26" s="10">
        <f t="shared" si="0"/>
        <v>0.19097222222222227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0.20833333333333334</v>
      </c>
      <c r="F27" s="10">
        <v>0.22916666666666666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5.2083333333333343E-2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232</v>
      </c>
      <c r="C28" s="17">
        <v>353</v>
      </c>
      <c r="D28" s="17" t="s">
        <v>111</v>
      </c>
      <c r="E28" s="10">
        <v>0.22222222222222221</v>
      </c>
      <c r="F28" s="10">
        <v>0.26041666666666669</v>
      </c>
      <c r="G28" s="10">
        <v>0.52777777777777779</v>
      </c>
      <c r="H28" s="16"/>
      <c r="I28" s="16"/>
      <c r="J28" s="16"/>
      <c r="K28" s="5"/>
      <c r="L28" s="5"/>
      <c r="M28" s="5"/>
      <c r="N28" s="10">
        <f t="shared" si="0"/>
        <v>0.2673611111111111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268</v>
      </c>
      <c r="C29" s="17">
        <v>353</v>
      </c>
      <c r="D29" s="17" t="s">
        <v>251</v>
      </c>
      <c r="E29" s="10">
        <v>0.22222222222222221</v>
      </c>
      <c r="F29" s="10">
        <v>0.2361111111111111</v>
      </c>
      <c r="G29" s="10">
        <v>0.4513888888888889</v>
      </c>
      <c r="H29" s="16"/>
      <c r="I29" s="16"/>
      <c r="J29" s="16"/>
      <c r="K29" s="5"/>
      <c r="L29" s="5"/>
      <c r="M29" s="5"/>
      <c r="N29" s="10">
        <f t="shared" si="0"/>
        <v>0.21527777777777779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0.21875</v>
      </c>
      <c r="F30" s="10">
        <v>0.2326388888888889</v>
      </c>
      <c r="G30" s="10">
        <v>0.41666666666666669</v>
      </c>
      <c r="H30" s="16"/>
      <c r="I30" s="16"/>
      <c r="J30" s="16"/>
      <c r="K30" s="5"/>
      <c r="L30" s="5"/>
      <c r="M30" s="5"/>
      <c r="N30" s="10">
        <f t="shared" si="0"/>
        <v>0.18402777777777779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0.21180555555555555</v>
      </c>
      <c r="F31" s="10">
        <v>0.25347222222222221</v>
      </c>
      <c r="G31" s="10">
        <v>0.4375</v>
      </c>
      <c r="H31" s="16"/>
      <c r="I31" s="16"/>
      <c r="J31" s="16"/>
      <c r="K31" s="5"/>
      <c r="L31" s="5"/>
      <c r="M31" s="5"/>
      <c r="N31" s="10">
        <f t="shared" si="0"/>
        <v>0.18402777777777779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211</v>
      </c>
      <c r="C33" s="17">
        <v>775</v>
      </c>
      <c r="D33" s="17" t="s">
        <v>212</v>
      </c>
      <c r="E33" s="10">
        <v>0.22222222222222221</v>
      </c>
      <c r="F33" s="10">
        <v>0.23958333333333334</v>
      </c>
      <c r="G33" s="10">
        <v>0.2638888888888889</v>
      </c>
      <c r="H33" s="16"/>
      <c r="I33" s="16"/>
      <c r="J33" s="16"/>
      <c r="K33" s="5"/>
      <c r="L33" s="5"/>
      <c r="M33" s="5"/>
      <c r="N33" s="10">
        <f t="shared" si="0"/>
        <v>2.4305555555555552E-2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0.2013888888888889</v>
      </c>
      <c r="F34" s="10">
        <v>0.22569444444444445</v>
      </c>
      <c r="G34" s="10">
        <v>0.45833333333333331</v>
      </c>
      <c r="H34" s="16"/>
      <c r="I34" s="16"/>
      <c r="J34" s="16"/>
      <c r="K34" s="5"/>
      <c r="L34" s="5"/>
      <c r="M34" s="5"/>
      <c r="N34" s="10">
        <f t="shared" si="0"/>
        <v>0.23263888888888887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2.0833333333333332E-2</v>
      </c>
      <c r="F35" s="10">
        <v>9.0277777777777776E-2</v>
      </c>
      <c r="G35" s="10">
        <v>0.27083333333333331</v>
      </c>
      <c r="H35" s="16"/>
      <c r="I35" s="16"/>
      <c r="J35" s="16"/>
      <c r="K35" s="5"/>
      <c r="L35" s="5"/>
      <c r="M35" s="5"/>
      <c r="N35" s="10">
        <f t="shared" si="0"/>
        <v>0.18055555555555552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0.2326388888888889</v>
      </c>
      <c r="F36" s="10">
        <v>0.28819444444444442</v>
      </c>
      <c r="G36" s="10">
        <v>0.4548611111111111</v>
      </c>
      <c r="H36" s="16"/>
      <c r="I36" s="16"/>
      <c r="J36" s="16"/>
      <c r="K36" s="5"/>
      <c r="L36" s="5"/>
      <c r="M36" s="5"/>
      <c r="N36" s="10">
        <f t="shared" si="0"/>
        <v>0.16666666666666669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269</v>
      </c>
      <c r="C37" s="17">
        <v>496</v>
      </c>
      <c r="D37" s="17" t="s">
        <v>253</v>
      </c>
      <c r="E37" s="10">
        <v>0.22569444444444445</v>
      </c>
      <c r="F37" s="10">
        <v>0.24652777777777779</v>
      </c>
      <c r="G37" s="10">
        <v>0.3263888888888889</v>
      </c>
      <c r="H37" s="16"/>
      <c r="I37" s="16"/>
      <c r="J37" s="16"/>
      <c r="K37" s="5"/>
      <c r="L37" s="5"/>
      <c r="M37" s="6"/>
      <c r="N37" s="10">
        <f t="shared" si="0"/>
        <v>7.9861111111111105E-2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0.2013888888888889</v>
      </c>
      <c r="F38" s="10">
        <v>0.22916666666666666</v>
      </c>
      <c r="G38" s="10">
        <v>0.55208333333333337</v>
      </c>
      <c r="H38" s="16"/>
      <c r="I38" s="16"/>
      <c r="J38" s="16"/>
      <c r="K38" s="5"/>
      <c r="L38" s="5"/>
      <c r="M38" s="5"/>
      <c r="N38" s="10">
        <f t="shared" si="0"/>
        <v>0.32291666666666674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53</v>
      </c>
      <c r="C41" s="17">
        <v>15</v>
      </c>
      <c r="D41" s="17" t="s">
        <v>54</v>
      </c>
      <c r="E41" s="10">
        <v>0.1875</v>
      </c>
      <c r="F41" s="10">
        <v>0.21875</v>
      </c>
      <c r="G41" s="10">
        <v>0.51388888888888884</v>
      </c>
      <c r="H41" s="16"/>
      <c r="I41" s="16"/>
      <c r="J41" s="16"/>
      <c r="K41" s="5"/>
      <c r="L41" s="5"/>
      <c r="M41" s="5"/>
      <c r="N41" s="10">
        <f t="shared" si="0"/>
        <v>0.29513888888888884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263</v>
      </c>
      <c r="C42" s="17">
        <v>353</v>
      </c>
      <c r="D42" s="17" t="s">
        <v>241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0.2638888888888889</v>
      </c>
      <c r="F43" s="10">
        <v>0.31944444444444442</v>
      </c>
      <c r="G43" s="10">
        <v>0.52777777777777779</v>
      </c>
      <c r="H43" s="16"/>
      <c r="I43" s="16"/>
      <c r="J43" s="16"/>
      <c r="K43" s="5"/>
      <c r="L43" s="5"/>
      <c r="M43" s="5"/>
      <c r="N43" s="10">
        <f t="shared" si="0"/>
        <v>0.20833333333333337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0.1701388888888889</v>
      </c>
      <c r="F44" s="10">
        <v>0.2048611111111111</v>
      </c>
      <c r="G44" s="10">
        <v>0.54166666666666663</v>
      </c>
      <c r="H44" s="16"/>
      <c r="I44" s="16"/>
      <c r="J44" s="16"/>
      <c r="K44" s="5"/>
      <c r="L44" s="5"/>
      <c r="M44" s="5"/>
      <c r="N44" s="10">
        <f t="shared" si="0"/>
        <v>0.33680555555555552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E222-3E84-4D3B-B065-6F0B83202B89}">
  <dimension ref="A1:O49"/>
  <sheetViews>
    <sheetView showGridLines="0" zoomScale="55" zoomScaleNormal="55" workbookViewId="0">
      <pane ySplit="3" topLeftCell="A4" activePane="bottomLeft" state="frozen"/>
      <selection pane="bottomLeft" activeCell="F16" sqref="F16"/>
    </sheetView>
  </sheetViews>
  <sheetFormatPr defaultRowHeight="15" x14ac:dyDescent="0.25"/>
  <cols>
    <col min="1" max="1" width="53.85546875" customWidth="1"/>
    <col min="2" max="2" width="30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27.710937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0.30902777777777779</v>
      </c>
      <c r="F5" s="10">
        <v>0.3611111111111111</v>
      </c>
      <c r="G5" s="10">
        <v>0.49652777777777779</v>
      </c>
      <c r="H5" s="10"/>
      <c r="I5" s="10"/>
      <c r="J5" s="10"/>
      <c r="K5" s="8"/>
      <c r="L5" s="8"/>
      <c r="M5" s="9"/>
      <c r="N5" s="10">
        <f>MOD(G5-F5, 1)</f>
        <v>0.13541666666666669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0.28819444444444442</v>
      </c>
      <c r="F6" s="10">
        <v>0.3263888888888889</v>
      </c>
      <c r="G6" s="10">
        <v>0.49652777777777779</v>
      </c>
      <c r="H6" s="10"/>
      <c r="I6" s="10"/>
      <c r="J6" s="10"/>
      <c r="K6" s="5"/>
      <c r="L6" s="5"/>
      <c r="M6" s="5"/>
      <c r="N6" s="10">
        <f t="shared" ref="N6:N45" si="0">MOD(G6-F6, 1)</f>
        <v>0.1701388888888889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56</v>
      </c>
      <c r="C7" s="17">
        <v>184090</v>
      </c>
      <c r="D7" s="17" t="s">
        <v>57</v>
      </c>
      <c r="E7" s="10">
        <v>0.14583333333333334</v>
      </c>
      <c r="F7" s="10">
        <v>0.25694444444444442</v>
      </c>
      <c r="G7" s="10">
        <v>0.4861111111111111</v>
      </c>
      <c r="H7" s="10"/>
      <c r="I7" s="10"/>
      <c r="J7" s="10"/>
      <c r="K7" s="5"/>
      <c r="L7" s="5"/>
      <c r="M7" s="5"/>
      <c r="N7" s="10">
        <f t="shared" si="0"/>
        <v>0.22916666666666669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0.2673611111111111</v>
      </c>
      <c r="F8" s="10">
        <v>0.29166666666666669</v>
      </c>
      <c r="G8" s="10">
        <v>0.34375</v>
      </c>
      <c r="H8" s="10" t="s">
        <v>270</v>
      </c>
      <c r="I8" s="10">
        <v>353</v>
      </c>
      <c r="J8" s="10" t="s">
        <v>267</v>
      </c>
      <c r="K8" s="5" t="s">
        <v>166</v>
      </c>
      <c r="L8" s="5" t="s">
        <v>192</v>
      </c>
      <c r="M8" s="5" t="s">
        <v>168</v>
      </c>
      <c r="N8" s="10">
        <f t="shared" si="0"/>
        <v>5.2083333333333315E-2</v>
      </c>
      <c r="O8" s="10" t="e">
        <f t="shared" si="1"/>
        <v>#VALUE!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 t="s">
        <v>274</v>
      </c>
      <c r="F9" s="10" t="s">
        <v>192</v>
      </c>
      <c r="G9" s="10" t="s">
        <v>168</v>
      </c>
      <c r="H9" s="10"/>
      <c r="I9" s="10"/>
      <c r="J9" s="10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64</v>
      </c>
      <c r="C10" s="17">
        <v>184041</v>
      </c>
      <c r="D10" s="17" t="s">
        <v>65</v>
      </c>
      <c r="E10" s="10" t="s">
        <v>139</v>
      </c>
      <c r="F10" s="10" t="s">
        <v>140</v>
      </c>
      <c r="G10" s="10"/>
      <c r="H10" s="10"/>
      <c r="I10" s="10"/>
      <c r="J10" s="10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0.24652777777777779</v>
      </c>
      <c r="G11" s="10">
        <v>0.54861111111111116</v>
      </c>
      <c r="H11" s="10"/>
      <c r="I11" s="10"/>
      <c r="J11" s="10"/>
      <c r="K11" s="5"/>
      <c r="L11" s="5"/>
      <c r="M11" s="5"/>
      <c r="N11" s="10">
        <f t="shared" si="0"/>
        <v>0.30208333333333337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0.30208333333333331</v>
      </c>
      <c r="F12" s="10">
        <v>0.3263888888888889</v>
      </c>
      <c r="G12" s="10">
        <v>0.54513888888888884</v>
      </c>
      <c r="H12" s="10"/>
      <c r="I12" s="10"/>
      <c r="J12" s="10"/>
      <c r="K12" s="5"/>
      <c r="L12" s="5"/>
      <c r="M12" s="5"/>
      <c r="N12" s="10">
        <f t="shared" si="0"/>
        <v>0.21874999999999994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114</v>
      </c>
      <c r="C13" s="17">
        <v>353</v>
      </c>
      <c r="D13" s="17" t="s">
        <v>271</v>
      </c>
      <c r="E13" s="10">
        <v>0.14583333333333334</v>
      </c>
      <c r="F13" s="10">
        <v>0.24652777777777779</v>
      </c>
      <c r="G13" s="10">
        <v>0.46527777777777779</v>
      </c>
      <c r="H13" s="10"/>
      <c r="I13" s="10"/>
      <c r="J13" s="10"/>
      <c r="K13" s="5"/>
      <c r="L13" s="5"/>
      <c r="M13" s="5"/>
      <c r="N13" s="10">
        <f t="shared" si="0"/>
        <v>0.21875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0.2048611111111111</v>
      </c>
      <c r="F14" s="10">
        <v>0.21527777777777779</v>
      </c>
      <c r="G14" s="10"/>
      <c r="H14" s="10"/>
      <c r="I14" s="10"/>
      <c r="J14" s="10"/>
      <c r="K14" s="5"/>
      <c r="L14" s="5"/>
      <c r="M14" s="5"/>
      <c r="N14" s="10">
        <f t="shared" si="0"/>
        <v>0.78472222222222221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2.4305555555555556E-2</v>
      </c>
      <c r="F15" s="10">
        <v>0.21875</v>
      </c>
      <c r="G15" s="10">
        <v>0.3125</v>
      </c>
      <c r="H15" s="10" t="s">
        <v>53</v>
      </c>
      <c r="I15" s="10">
        <v>15</v>
      </c>
      <c r="J15" s="10" t="s">
        <v>54</v>
      </c>
      <c r="K15" s="19">
        <v>3.8194444444444448E-2</v>
      </c>
      <c r="L15" s="19">
        <v>0.21875</v>
      </c>
      <c r="M15" s="19">
        <v>0.29166666666666669</v>
      </c>
      <c r="N15" s="10">
        <f t="shared" si="0"/>
        <v>9.375E-2</v>
      </c>
      <c r="O15" s="10">
        <f t="shared" si="1"/>
        <v>7.2916666666666685E-2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0.28819444444444442</v>
      </c>
      <c r="F16" s="10">
        <v>0.30902777777777779</v>
      </c>
      <c r="G16" s="10">
        <v>0.36458333333333331</v>
      </c>
      <c r="H16" s="10"/>
      <c r="I16" s="10"/>
      <c r="J16" s="10"/>
      <c r="K16" s="5"/>
      <c r="L16" s="5"/>
      <c r="M16" s="5"/>
      <c r="N16" s="10">
        <f t="shared" si="0"/>
        <v>5.5555555555555525E-2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0.20833333333333334</v>
      </c>
      <c r="F17" s="10">
        <v>0.22222222222222221</v>
      </c>
      <c r="G17" s="10">
        <v>0.34375</v>
      </c>
      <c r="H17" s="10"/>
      <c r="I17" s="10"/>
      <c r="J17" s="10"/>
      <c r="K17" s="5"/>
      <c r="L17" s="5"/>
      <c r="M17" s="5"/>
      <c r="N17" s="10">
        <f t="shared" si="0"/>
        <v>0.12152777777777779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122</v>
      </c>
      <c r="C18" s="17">
        <v>353</v>
      </c>
      <c r="D18" s="17" t="s">
        <v>123</v>
      </c>
      <c r="E18" s="10" t="s">
        <v>274</v>
      </c>
      <c r="F18" s="10" t="s">
        <v>192</v>
      </c>
      <c r="G18" s="10" t="s">
        <v>168</v>
      </c>
      <c r="H18" s="10"/>
      <c r="I18" s="10"/>
      <c r="J18" s="10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0.22222222222222221</v>
      </c>
      <c r="F19" s="10">
        <v>0.22569444444444445</v>
      </c>
      <c r="G19" s="10">
        <v>0.3125</v>
      </c>
      <c r="H19" s="10"/>
      <c r="I19" s="10"/>
      <c r="J19" s="10"/>
      <c r="K19" s="5"/>
      <c r="L19" s="5"/>
      <c r="M19" s="5"/>
      <c r="N19" s="10">
        <f t="shared" si="0"/>
        <v>8.6805555555555552E-2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0.19791666666666666</v>
      </c>
      <c r="F20" s="10">
        <v>0.22569444444444445</v>
      </c>
      <c r="G20" s="10">
        <v>0.47569444444444442</v>
      </c>
      <c r="H20" s="10"/>
      <c r="I20" s="10"/>
      <c r="J20" s="10"/>
      <c r="K20" s="5"/>
      <c r="L20" s="5"/>
      <c r="M20" s="5"/>
      <c r="N20" s="10">
        <f t="shared" si="0"/>
        <v>0.24999999999999997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74</v>
      </c>
      <c r="C21" s="17">
        <v>353</v>
      </c>
      <c r="D21" s="17" t="s">
        <v>254</v>
      </c>
      <c r="E21" s="10">
        <v>0.2013888888888889</v>
      </c>
      <c r="F21" s="10">
        <v>0.21875</v>
      </c>
      <c r="G21" s="10">
        <v>0.2951388888888889</v>
      </c>
      <c r="H21" s="10"/>
      <c r="I21" s="10"/>
      <c r="J21" s="10"/>
      <c r="K21" s="5"/>
      <c r="L21" s="5"/>
      <c r="M21" s="6"/>
      <c r="N21" s="10">
        <f t="shared" si="0"/>
        <v>7.6388888888888895E-2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0.2638888888888889</v>
      </c>
      <c r="F22" s="10">
        <v>0.3125</v>
      </c>
      <c r="G22" s="10"/>
      <c r="H22" s="10"/>
      <c r="I22" s="10"/>
      <c r="J22" s="10"/>
      <c r="K22" s="5"/>
      <c r="L22" s="5"/>
      <c r="M22" s="5"/>
      <c r="N22" s="10">
        <f t="shared" si="0"/>
        <v>0.6875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0"/>
      <c r="I23" s="10"/>
      <c r="J23" s="10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0.20833333333333334</v>
      </c>
      <c r="F24" s="10">
        <v>0.22569444444444445</v>
      </c>
      <c r="G24" s="10">
        <v>0.50694444444444442</v>
      </c>
      <c r="H24" s="10"/>
      <c r="I24" s="10"/>
      <c r="J24" s="10"/>
      <c r="K24" s="5"/>
      <c r="L24" s="5"/>
      <c r="M24" s="5"/>
      <c r="N24" s="10">
        <f t="shared" si="0"/>
        <v>0.28125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2.7777777777777776E-2</v>
      </c>
      <c r="F25" s="10">
        <v>0.15972222222222221</v>
      </c>
      <c r="G25" s="10">
        <v>0.30902777777777779</v>
      </c>
      <c r="H25" s="10" t="s">
        <v>193</v>
      </c>
      <c r="I25" s="10">
        <v>91</v>
      </c>
      <c r="J25" s="10" t="s">
        <v>194</v>
      </c>
      <c r="K25" s="19">
        <v>0.24652777777777779</v>
      </c>
      <c r="L25" s="19">
        <v>0.37152777777777779</v>
      </c>
      <c r="M25" s="19">
        <v>0.49652777777777779</v>
      </c>
      <c r="N25" s="10">
        <f t="shared" si="0"/>
        <v>0.14930555555555558</v>
      </c>
      <c r="O25" s="10">
        <f t="shared" si="1"/>
        <v>0.125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0.31944444444444442</v>
      </c>
      <c r="F26" s="10">
        <v>0.34722222222222221</v>
      </c>
      <c r="G26" s="10">
        <v>0.54861111111111116</v>
      </c>
      <c r="H26" s="10" t="s">
        <v>207</v>
      </c>
      <c r="I26" s="10">
        <v>782</v>
      </c>
      <c r="J26" s="10" t="s">
        <v>208</v>
      </c>
      <c r="K26" s="19">
        <v>0.24305555555555555</v>
      </c>
      <c r="L26" s="19">
        <v>0.2638888888888889</v>
      </c>
      <c r="M26" s="19">
        <v>0.33333333333333331</v>
      </c>
      <c r="N26" s="10">
        <f t="shared" si="0"/>
        <v>0.20138888888888895</v>
      </c>
      <c r="O26" s="10">
        <f t="shared" si="1"/>
        <v>6.944444444444442E-2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0.30208333333333331</v>
      </c>
      <c r="F27" s="10">
        <v>0.3263888888888889</v>
      </c>
      <c r="G27" s="10">
        <v>0.37152777777777779</v>
      </c>
      <c r="H27" s="10"/>
      <c r="I27" s="10"/>
      <c r="J27" s="10"/>
      <c r="K27" s="5"/>
      <c r="L27" s="5"/>
      <c r="M27" s="5"/>
      <c r="N27" s="10">
        <f t="shared" si="0"/>
        <v>4.5138888888888895E-2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78</v>
      </c>
      <c r="C28" s="17">
        <v>792</v>
      </c>
      <c r="D28" s="17" t="s">
        <v>79</v>
      </c>
      <c r="E28" s="10" t="s">
        <v>139</v>
      </c>
      <c r="F28" s="10" t="s">
        <v>140</v>
      </c>
      <c r="G28" s="10"/>
      <c r="H28" s="10"/>
      <c r="I28" s="10"/>
      <c r="J28" s="10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100</v>
      </c>
      <c r="C29" s="17">
        <v>184016</v>
      </c>
      <c r="D29" s="17" t="s">
        <v>101</v>
      </c>
      <c r="E29" s="10" t="s">
        <v>139</v>
      </c>
      <c r="F29" s="10" t="s">
        <v>140</v>
      </c>
      <c r="G29" s="10"/>
      <c r="H29" s="10"/>
      <c r="I29" s="10"/>
      <c r="J29" s="10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58</v>
      </c>
      <c r="C30" s="17">
        <v>752</v>
      </c>
      <c r="D30" s="17" t="s">
        <v>59</v>
      </c>
      <c r="E30" s="10">
        <v>0.24305555555555555</v>
      </c>
      <c r="F30" s="10">
        <v>0.26041666666666669</v>
      </c>
      <c r="G30" s="10">
        <v>0.56944444444444442</v>
      </c>
      <c r="H30" s="10"/>
      <c r="I30" s="10"/>
      <c r="J30" s="10"/>
      <c r="K30" s="5"/>
      <c r="L30" s="5"/>
      <c r="M30" s="5"/>
      <c r="N30" s="10">
        <f t="shared" si="0"/>
        <v>0.30902777777777773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104</v>
      </c>
      <c r="C31" s="17">
        <v>811</v>
      </c>
      <c r="D31" s="17" t="s">
        <v>105</v>
      </c>
      <c r="E31" s="10">
        <v>0.30555555555555558</v>
      </c>
      <c r="F31" s="10">
        <v>0.33680555555555558</v>
      </c>
      <c r="G31" s="10">
        <v>0.50347222222222221</v>
      </c>
      <c r="H31" s="10"/>
      <c r="I31" s="10"/>
      <c r="J31" s="10"/>
      <c r="K31" s="5"/>
      <c r="L31" s="5"/>
      <c r="M31" s="5"/>
      <c r="N31" s="10">
        <f t="shared" si="0"/>
        <v>0.16666666666666663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0"/>
      <c r="I32" s="10"/>
      <c r="J32" s="10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0.19444444444444445</v>
      </c>
      <c r="F33" s="10">
        <v>0.21180555555555555</v>
      </c>
      <c r="G33" s="10">
        <v>0.27777777777777779</v>
      </c>
      <c r="H33" s="10"/>
      <c r="I33" s="10"/>
      <c r="J33" s="10"/>
      <c r="K33" s="5"/>
      <c r="L33" s="5"/>
      <c r="M33" s="5"/>
      <c r="N33" s="10">
        <f t="shared" si="0"/>
        <v>6.5972222222222238E-2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0"/>
      <c r="I34" s="10"/>
      <c r="J34" s="10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272</v>
      </c>
      <c r="C35" s="17">
        <v>184212</v>
      </c>
      <c r="D35" s="17" t="s">
        <v>273</v>
      </c>
      <c r="E35" s="10">
        <v>0.15972222222222221</v>
      </c>
      <c r="F35" s="10">
        <v>0.22222222222222221</v>
      </c>
      <c r="G35" s="10">
        <v>0.25</v>
      </c>
      <c r="H35" s="10"/>
      <c r="I35" s="10"/>
      <c r="J35" s="10"/>
      <c r="K35" s="5"/>
      <c r="L35" s="5"/>
      <c r="M35" s="5"/>
      <c r="N35" s="10">
        <f t="shared" si="0"/>
        <v>2.777777777777779E-2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0.31944444444444442</v>
      </c>
      <c r="F36" s="10" t="s">
        <v>275</v>
      </c>
      <c r="G36" s="10"/>
      <c r="H36" s="10"/>
      <c r="I36" s="10"/>
      <c r="J36" s="10"/>
      <c r="K36" s="5"/>
      <c r="L36" s="5"/>
      <c r="M36" s="5"/>
      <c r="N36" s="10" t="e">
        <f t="shared" si="0"/>
        <v>#VALUE!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140</v>
      </c>
      <c r="G37" s="10"/>
      <c r="H37" s="10"/>
      <c r="I37" s="10"/>
      <c r="J37" s="10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62</v>
      </c>
      <c r="C38" s="17">
        <v>184016</v>
      </c>
      <c r="D38" s="17" t="s">
        <v>63</v>
      </c>
      <c r="E38" s="10" t="s">
        <v>139</v>
      </c>
      <c r="F38" s="10" t="s">
        <v>140</v>
      </c>
      <c r="G38" s="10"/>
      <c r="H38" s="10"/>
      <c r="I38" s="10"/>
      <c r="J38" s="10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149</v>
      </c>
      <c r="C39" s="17">
        <v>138</v>
      </c>
      <c r="D39" s="17" t="s">
        <v>150</v>
      </c>
      <c r="E39" s="10">
        <v>0.2361111111111111</v>
      </c>
      <c r="F39" s="10">
        <v>0.38541666666666669</v>
      </c>
      <c r="G39" s="10">
        <v>0.43055555555555558</v>
      </c>
      <c r="H39" s="10"/>
      <c r="I39" s="10"/>
      <c r="J39" s="10"/>
      <c r="K39" s="5"/>
      <c r="L39" s="5"/>
      <c r="M39" s="5"/>
      <c r="N39" s="10">
        <f t="shared" si="0"/>
        <v>4.5138888888888895E-2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0" t="s">
        <v>263</v>
      </c>
      <c r="I40" s="10">
        <v>353</v>
      </c>
      <c r="J40" s="10" t="s">
        <v>241</v>
      </c>
      <c r="K40" s="19">
        <v>0.2326388888888889</v>
      </c>
      <c r="L40" s="19">
        <v>0.27083333333333331</v>
      </c>
      <c r="M40" s="19">
        <v>0.36805555555555558</v>
      </c>
      <c r="N40" s="10" t="e">
        <f t="shared" si="0"/>
        <v>#VALUE!</v>
      </c>
      <c r="O40" s="10">
        <f t="shared" si="1"/>
        <v>9.7222222222222265E-2</v>
      </c>
    </row>
    <row r="41" spans="1:15" ht="20.100000000000001" customHeight="1" x14ac:dyDescent="0.25">
      <c r="A41" s="14" t="s">
        <v>41</v>
      </c>
      <c r="B41" s="17" t="s">
        <v>176</v>
      </c>
      <c r="C41" s="17">
        <v>294</v>
      </c>
      <c r="D41" s="17" t="s">
        <v>177</v>
      </c>
      <c r="E41" s="10">
        <v>0.2986111111111111</v>
      </c>
      <c r="F41" s="10">
        <v>0.34722222222222221</v>
      </c>
      <c r="G41" s="10">
        <v>0.4201388888888889</v>
      </c>
      <c r="H41" s="10" t="s">
        <v>153</v>
      </c>
      <c r="I41" s="10">
        <v>732</v>
      </c>
      <c r="J41" s="10" t="s">
        <v>154</v>
      </c>
      <c r="K41" s="19">
        <v>0.34375</v>
      </c>
      <c r="L41" s="19">
        <v>0.3888888888888889</v>
      </c>
      <c r="M41" s="19">
        <v>0.4236111111111111</v>
      </c>
      <c r="N41" s="10">
        <f t="shared" si="0"/>
        <v>7.2916666666666685E-2</v>
      </c>
      <c r="O41" s="10">
        <f t="shared" si="1"/>
        <v>3.472222222222221E-2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0"/>
      <c r="I42" s="10"/>
      <c r="J42" s="10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0.25347222222222221</v>
      </c>
      <c r="F43" s="10">
        <v>0.27777777777777779</v>
      </c>
      <c r="G43" s="10">
        <v>0.54861111111111116</v>
      </c>
      <c r="H43" s="10"/>
      <c r="I43" s="10"/>
      <c r="J43" s="10"/>
      <c r="K43" s="5"/>
      <c r="L43" s="5"/>
      <c r="M43" s="5"/>
      <c r="N43" s="10">
        <f t="shared" si="0"/>
        <v>0.27083333333333337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0.21180555555555555</v>
      </c>
      <c r="F44" s="10">
        <v>0.2326388888888889</v>
      </c>
      <c r="G44" s="10">
        <v>0.54861111111111116</v>
      </c>
      <c r="H44" s="10" t="s">
        <v>186</v>
      </c>
      <c r="I44" s="10">
        <v>530</v>
      </c>
      <c r="J44" s="10" t="s">
        <v>187</v>
      </c>
      <c r="K44" s="19">
        <v>0.3263888888888889</v>
      </c>
      <c r="L44" s="19">
        <v>0.35416666666666669</v>
      </c>
      <c r="M44" s="19">
        <v>0.3611111111111111</v>
      </c>
      <c r="N44" s="10">
        <f t="shared" si="0"/>
        <v>0.31597222222222227</v>
      </c>
      <c r="O44" s="10">
        <f t="shared" si="1"/>
        <v>6.9444444444444198E-3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A6AF-EB2A-473B-88AC-28289AEF0CB8}">
  <dimension ref="A1:O49"/>
  <sheetViews>
    <sheetView showGridLines="0" topLeftCell="C1" zoomScale="55" zoomScaleNormal="55" workbookViewId="0">
      <pane ySplit="3" topLeftCell="A4" activePane="bottomLeft" state="frozen"/>
      <selection pane="bottomLeft" activeCell="M13" sqref="M13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268</v>
      </c>
      <c r="C5" s="16">
        <v>353</v>
      </c>
      <c r="D5" s="16" t="s">
        <v>251</v>
      </c>
      <c r="E5" s="10">
        <v>0.19791666666666666</v>
      </c>
      <c r="F5" s="10">
        <v>0.24305555555555555</v>
      </c>
      <c r="G5" s="10">
        <v>0.33333333333333331</v>
      </c>
      <c r="H5" s="16"/>
      <c r="I5" s="16"/>
      <c r="J5" s="16"/>
      <c r="K5" s="8"/>
      <c r="L5" s="8"/>
      <c r="M5" s="9"/>
      <c r="N5" s="10">
        <f>MOD(G5-F5, 1)</f>
        <v>9.0277777777777762E-2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0.24305555555555555</v>
      </c>
      <c r="F6" s="10">
        <v>0.3125</v>
      </c>
      <c r="G6" s="10">
        <v>0.4513888888888889</v>
      </c>
      <c r="H6" s="16"/>
      <c r="I6" s="16"/>
      <c r="J6" s="16"/>
      <c r="K6" s="5"/>
      <c r="L6" s="5"/>
      <c r="M6" s="5"/>
      <c r="N6" s="10">
        <f t="shared" ref="N6:N45" si="0">MOD(G6-F6, 1)</f>
        <v>0.1388888888888889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0.15625</v>
      </c>
      <c r="F7" s="10">
        <v>0.25694444444444442</v>
      </c>
      <c r="G7" s="10">
        <v>0.46180555555555558</v>
      </c>
      <c r="H7" s="16"/>
      <c r="I7" s="16"/>
      <c r="J7" s="16"/>
      <c r="K7" s="5"/>
      <c r="L7" s="5"/>
      <c r="M7" s="5"/>
      <c r="N7" s="10">
        <f t="shared" si="0"/>
        <v>0.20486111111111116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0.27083333333333331</v>
      </c>
      <c r="F8" s="10">
        <v>0.3298611111111111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1.7361111111111105E-2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155</v>
      </c>
      <c r="C9" s="17">
        <v>353</v>
      </c>
      <c r="D9" s="17" t="s">
        <v>156</v>
      </c>
      <c r="E9" s="10">
        <v>0.2326388888888889</v>
      </c>
      <c r="F9" s="10">
        <v>0.24652777777777779</v>
      </c>
      <c r="G9" s="10">
        <v>0.40277777777777779</v>
      </c>
      <c r="H9" s="16"/>
      <c r="I9" s="16"/>
      <c r="J9" s="16"/>
      <c r="K9" s="5"/>
      <c r="L9" s="5"/>
      <c r="M9" s="5"/>
      <c r="N9" s="10">
        <f t="shared" si="0"/>
        <v>0.15625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0.19791666666666666</v>
      </c>
      <c r="F10" s="10">
        <v>0.22222222222222221</v>
      </c>
      <c r="G10" s="10">
        <v>0.4375</v>
      </c>
      <c r="H10" s="16"/>
      <c r="I10" s="16"/>
      <c r="J10" s="16"/>
      <c r="K10" s="5"/>
      <c r="L10" s="5"/>
      <c r="M10" s="5"/>
      <c r="N10" s="10">
        <f t="shared" si="0"/>
        <v>0.21527777777777779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0.2013888888888889</v>
      </c>
      <c r="F11" s="10">
        <v>0.2361111111111111</v>
      </c>
      <c r="G11" s="10">
        <v>0.44097222222222221</v>
      </c>
      <c r="H11" s="16"/>
      <c r="I11" s="16"/>
      <c r="J11" s="16"/>
      <c r="K11" s="5"/>
      <c r="L11" s="5"/>
      <c r="M11" s="5"/>
      <c r="N11" s="10">
        <f t="shared" si="0"/>
        <v>0.2048611111111111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111</v>
      </c>
      <c r="E12" s="10">
        <v>0.28819444444444442</v>
      </c>
      <c r="F12" s="10">
        <v>0.34375</v>
      </c>
      <c r="G12" s="10">
        <v>0.49652777777777779</v>
      </c>
      <c r="H12" s="10" t="s">
        <v>264</v>
      </c>
      <c r="I12" s="10">
        <v>816</v>
      </c>
      <c r="J12" s="10" t="s">
        <v>276</v>
      </c>
      <c r="K12" s="19">
        <v>0.2326388888888889</v>
      </c>
      <c r="L12" s="19">
        <v>0.25347222222222221</v>
      </c>
      <c r="M12" s="19">
        <v>0.3298611111111111</v>
      </c>
      <c r="N12" s="10">
        <f t="shared" si="0"/>
        <v>0.15277777777777779</v>
      </c>
      <c r="O12" s="10">
        <f t="shared" si="1"/>
        <v>7.6388888888888895E-2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8.3333333333333329E-2</v>
      </c>
      <c r="F13" s="10">
        <v>0.21875</v>
      </c>
      <c r="G13" s="10">
        <v>0.46875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0.1875</v>
      </c>
      <c r="F14" s="10">
        <v>0.20833333333333334</v>
      </c>
      <c r="G14" s="10">
        <v>0.37847222222222221</v>
      </c>
      <c r="H14" s="16"/>
      <c r="I14" s="16"/>
      <c r="J14" s="16"/>
      <c r="K14" s="5"/>
      <c r="L14" s="5"/>
      <c r="M14" s="5"/>
      <c r="N14" s="10">
        <f t="shared" si="0"/>
        <v>0.17013888888888887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3.472222222222222E-3</v>
      </c>
      <c r="F15" s="10">
        <v>0.1736111111111111</v>
      </c>
      <c r="G15" s="10">
        <v>0.36805555555555558</v>
      </c>
      <c r="H15" s="16"/>
      <c r="I15" s="16"/>
      <c r="J15" s="16"/>
      <c r="K15" s="5"/>
      <c r="L15" s="5"/>
      <c r="M15" s="5"/>
      <c r="N15" s="10">
        <f t="shared" si="0"/>
        <v>0.19444444444444448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0.2326388888888889</v>
      </c>
      <c r="F16" s="10">
        <v>0.24305555555555555</v>
      </c>
      <c r="G16" s="10">
        <v>0.39583333333333331</v>
      </c>
      <c r="H16" s="16"/>
      <c r="I16" s="16"/>
      <c r="J16" s="16"/>
      <c r="K16" s="5"/>
      <c r="L16" s="5"/>
      <c r="M16" s="5"/>
      <c r="N16" s="10">
        <f t="shared" si="0"/>
        <v>0.15277777777777776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280</v>
      </c>
      <c r="E17" s="10">
        <v>0.21180555555555555</v>
      </c>
      <c r="F17" s="10">
        <v>0.2326388888888889</v>
      </c>
      <c r="G17" s="10">
        <v>0.49652777777777779</v>
      </c>
      <c r="H17" s="16"/>
      <c r="I17" s="16"/>
      <c r="J17" s="16"/>
      <c r="K17" s="5"/>
      <c r="L17" s="5"/>
      <c r="M17" s="5"/>
      <c r="N17" s="10">
        <f t="shared" si="0"/>
        <v>0.2638888888888889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266</v>
      </c>
      <c r="C18" s="17">
        <v>353</v>
      </c>
      <c r="D18" s="17" t="s">
        <v>267</v>
      </c>
      <c r="E18" s="10" t="s">
        <v>166</v>
      </c>
      <c r="F18" s="10" t="s">
        <v>192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0.2013888888888889</v>
      </c>
      <c r="F19" s="10">
        <v>0.2048611111111111</v>
      </c>
      <c r="G19" s="10">
        <v>0.30208333333333331</v>
      </c>
      <c r="H19" s="16"/>
      <c r="I19" s="16"/>
      <c r="J19" s="16"/>
      <c r="K19" s="5"/>
      <c r="L19" s="5"/>
      <c r="M19" s="5"/>
      <c r="N19" s="10">
        <f t="shared" si="0"/>
        <v>9.722222222222221E-2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0.18402777777777779</v>
      </c>
      <c r="F20" s="10">
        <v>0.21180555555555555</v>
      </c>
      <c r="G20" s="10">
        <v>0.48958333333333331</v>
      </c>
      <c r="H20" s="16"/>
      <c r="I20" s="16"/>
      <c r="J20" s="16"/>
      <c r="K20" s="5"/>
      <c r="L20" s="5"/>
      <c r="M20" s="5"/>
      <c r="N20" s="10">
        <f t="shared" si="0"/>
        <v>0.27777777777777779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0.17708333333333334</v>
      </c>
      <c r="F22" s="10">
        <v>0.25</v>
      </c>
      <c r="G22" s="10">
        <v>0.27777777777777779</v>
      </c>
      <c r="H22" s="16"/>
      <c r="I22" s="16"/>
      <c r="J22" s="16"/>
      <c r="K22" s="5"/>
      <c r="L22" s="5"/>
      <c r="M22" s="5"/>
      <c r="N22" s="10">
        <f t="shared" si="0"/>
        <v>2.777777777777779E-2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102</v>
      </c>
      <c r="C23" s="17">
        <v>184016</v>
      </c>
      <c r="D23" s="17" t="s">
        <v>103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66</v>
      </c>
      <c r="C24" s="17">
        <v>353</v>
      </c>
      <c r="D24" s="17" t="s">
        <v>67</v>
      </c>
      <c r="E24" s="10">
        <v>0.21527777777777779</v>
      </c>
      <c r="F24" s="10">
        <v>0.24305555555555555</v>
      </c>
      <c r="G24" s="10">
        <v>0.52083333333333337</v>
      </c>
      <c r="H24" s="16"/>
      <c r="I24" s="16"/>
      <c r="J24" s="16"/>
      <c r="K24" s="5"/>
      <c r="L24" s="5"/>
      <c r="M24" s="5"/>
      <c r="N24" s="10">
        <f t="shared" si="0"/>
        <v>0.27777777777777779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3.472222222222222E-3</v>
      </c>
      <c r="F25" s="10">
        <v>0.13541666666666666</v>
      </c>
      <c r="G25" s="10">
        <v>0.46527777777777779</v>
      </c>
      <c r="H25" s="16"/>
      <c r="I25" s="16"/>
      <c r="J25" s="16"/>
      <c r="K25" s="5"/>
      <c r="L25" s="5"/>
      <c r="M25" s="5"/>
      <c r="N25" s="10">
        <f t="shared" si="0"/>
        <v>0.32986111111111116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0.2673611111111111</v>
      </c>
      <c r="F26" s="10">
        <v>0.33680555555555558</v>
      </c>
      <c r="G26" s="10">
        <v>0.49305555555555558</v>
      </c>
      <c r="H26" s="16"/>
      <c r="I26" s="16"/>
      <c r="J26" s="16"/>
      <c r="K26" s="5"/>
      <c r="L26" s="5"/>
      <c r="M26" s="5"/>
      <c r="N26" s="10">
        <f t="shared" si="0"/>
        <v>0.15625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0.17708333333333334</v>
      </c>
      <c r="F27" s="10">
        <v>0.19791666666666666</v>
      </c>
      <c r="G27" s="10">
        <v>0.36458333333333331</v>
      </c>
      <c r="H27" s="16"/>
      <c r="I27" s="16"/>
      <c r="J27" s="16"/>
      <c r="K27" s="5"/>
      <c r="L27" s="5"/>
      <c r="M27" s="5"/>
      <c r="N27" s="10">
        <f t="shared" si="0"/>
        <v>0.16666666666666666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204</v>
      </c>
      <c r="C28" s="17">
        <v>353</v>
      </c>
      <c r="D28" s="17" t="s">
        <v>205</v>
      </c>
      <c r="E28" s="10">
        <v>0.21180555555555555</v>
      </c>
      <c r="F28" s="10">
        <v>0.23958333333333334</v>
      </c>
      <c r="G28" s="10">
        <v>0.375</v>
      </c>
      <c r="H28" s="16"/>
      <c r="I28" s="16"/>
      <c r="J28" s="16"/>
      <c r="K28" s="5"/>
      <c r="L28" s="5"/>
      <c r="M28" s="5"/>
      <c r="N28" s="10">
        <f t="shared" si="0"/>
        <v>0.13541666666666666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149</v>
      </c>
      <c r="C29" s="17">
        <v>138</v>
      </c>
      <c r="D29" s="17" t="s">
        <v>150</v>
      </c>
      <c r="E29" s="10">
        <v>0.22222222222222221</v>
      </c>
      <c r="F29" s="10">
        <v>0.23958333333333334</v>
      </c>
      <c r="G29" s="10">
        <v>0.52777777777777779</v>
      </c>
      <c r="H29" s="16"/>
      <c r="I29" s="16"/>
      <c r="J29" s="16"/>
      <c r="K29" s="5"/>
      <c r="L29" s="5"/>
      <c r="M29" s="5"/>
      <c r="N29" s="10">
        <f t="shared" si="0"/>
        <v>0.28819444444444442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0.24305555555555555</v>
      </c>
      <c r="F30" s="10">
        <v>0.26041666666666669</v>
      </c>
      <c r="G30" s="10">
        <v>0.44444444444444442</v>
      </c>
      <c r="H30" s="16"/>
      <c r="I30" s="16"/>
      <c r="J30" s="16"/>
      <c r="K30" s="5"/>
      <c r="L30" s="5"/>
      <c r="M30" s="5"/>
      <c r="N30" s="10">
        <f t="shared" si="0"/>
        <v>0.18402777777777773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126</v>
      </c>
      <c r="C31" s="17">
        <v>479</v>
      </c>
      <c r="D31" s="17" t="s">
        <v>127</v>
      </c>
      <c r="E31" s="10">
        <v>0.22916666666666666</v>
      </c>
      <c r="F31" s="10">
        <v>0.2673611111111111</v>
      </c>
      <c r="G31" s="10">
        <v>0.43402777777777779</v>
      </c>
      <c r="H31" s="16"/>
      <c r="I31" s="16"/>
      <c r="J31" s="16"/>
      <c r="K31" s="5"/>
      <c r="L31" s="5"/>
      <c r="M31" s="5"/>
      <c r="N31" s="10">
        <f t="shared" si="0"/>
        <v>0.16666666666666669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90</v>
      </c>
      <c r="C32" s="17">
        <v>353</v>
      </c>
      <c r="D32" s="17" t="s">
        <v>91</v>
      </c>
      <c r="E32" s="10">
        <v>0.1701388888888889</v>
      </c>
      <c r="F32" s="10">
        <v>0.19444444444444445</v>
      </c>
      <c r="G32" s="10">
        <v>0.41666666666666669</v>
      </c>
      <c r="H32" s="16"/>
      <c r="I32" s="16"/>
      <c r="J32" s="16"/>
      <c r="K32" s="5"/>
      <c r="L32" s="5"/>
      <c r="M32" s="5"/>
      <c r="N32" s="10">
        <f t="shared" si="0"/>
        <v>0.22222222222222224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180</v>
      </c>
      <c r="C33" s="17">
        <v>184357</v>
      </c>
      <c r="D33" s="17" t="s">
        <v>181</v>
      </c>
      <c r="E33" s="10">
        <v>0.21875</v>
      </c>
      <c r="F33" s="10">
        <v>0.25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2.0833333333333315E-2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277</v>
      </c>
      <c r="C34" s="17">
        <v>65</v>
      </c>
      <c r="D34" s="17" t="s">
        <v>278</v>
      </c>
      <c r="E34" s="10">
        <v>0.21180555555555555</v>
      </c>
      <c r="F34" s="10">
        <v>0.2326388888888889</v>
      </c>
      <c r="G34" s="10">
        <v>0.47569444444444442</v>
      </c>
      <c r="H34" s="16"/>
      <c r="I34" s="16"/>
      <c r="J34" s="16"/>
      <c r="K34" s="5"/>
      <c r="L34" s="5"/>
      <c r="M34" s="5"/>
      <c r="N34" s="10">
        <f t="shared" si="0"/>
        <v>0.24305555555555552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272</v>
      </c>
      <c r="C35" s="17">
        <v>184212</v>
      </c>
      <c r="D35" s="17" t="s">
        <v>273</v>
      </c>
      <c r="E35" s="10">
        <v>0.15277777777777779</v>
      </c>
      <c r="F35" s="10">
        <v>0.21527777777777779</v>
      </c>
      <c r="G35" s="10">
        <v>0.22569444444444445</v>
      </c>
      <c r="H35" s="16"/>
      <c r="I35" s="16"/>
      <c r="J35" s="16"/>
      <c r="K35" s="5"/>
      <c r="L35" s="5"/>
      <c r="M35" s="5"/>
      <c r="N35" s="10">
        <f t="shared" si="0"/>
        <v>1.0416666666666657E-2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0.24305555555555555</v>
      </c>
      <c r="F36" s="10">
        <v>0.2673611111111111</v>
      </c>
      <c r="G36" s="10">
        <v>0.4513888888888889</v>
      </c>
      <c r="H36" s="16"/>
      <c r="I36" s="16"/>
      <c r="J36" s="16"/>
      <c r="K36" s="5"/>
      <c r="L36" s="5"/>
      <c r="M36" s="5"/>
      <c r="N36" s="10">
        <f t="shared" si="0"/>
        <v>0.18402777777777779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78</v>
      </c>
      <c r="C37" s="17">
        <v>792</v>
      </c>
      <c r="D37" s="17" t="s">
        <v>79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88</v>
      </c>
      <c r="C38" s="17">
        <v>184041</v>
      </c>
      <c r="D38" s="17" t="s">
        <v>89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263</v>
      </c>
      <c r="C41" s="17">
        <v>353</v>
      </c>
      <c r="D41" s="17" t="s">
        <v>279</v>
      </c>
      <c r="E41" s="10">
        <v>0.20833333333333334</v>
      </c>
      <c r="F41" s="10">
        <v>0.25694444444444442</v>
      </c>
      <c r="G41" s="10">
        <v>0.35416666666666669</v>
      </c>
      <c r="H41" s="16"/>
      <c r="I41" s="16"/>
      <c r="J41" s="16"/>
      <c r="K41" s="5"/>
      <c r="L41" s="5"/>
      <c r="M41" s="5"/>
      <c r="N41" s="10">
        <f t="shared" si="0"/>
        <v>9.7222222222222265E-2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100</v>
      </c>
      <c r="C42" s="17">
        <v>184016</v>
      </c>
      <c r="D42" s="17" t="s">
        <v>101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0.25694444444444442</v>
      </c>
      <c r="F43" s="10">
        <v>0.29166666666666669</v>
      </c>
      <c r="G43" s="10">
        <v>0.49652777777777779</v>
      </c>
      <c r="H43" s="16"/>
      <c r="I43" s="16"/>
      <c r="J43" s="16"/>
      <c r="K43" s="5"/>
      <c r="L43" s="5"/>
      <c r="M43" s="5"/>
      <c r="N43" s="10">
        <f t="shared" si="0"/>
        <v>0.2048611111111111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182</v>
      </c>
      <c r="C44" s="17" t="s">
        <v>282</v>
      </c>
      <c r="D44" s="17" t="s">
        <v>281</v>
      </c>
      <c r="E44" s="10">
        <v>0.2673611111111111</v>
      </c>
      <c r="F44" s="10">
        <v>0.3298611111111111</v>
      </c>
      <c r="G44" s="10">
        <v>0.3576388888888889</v>
      </c>
      <c r="H44" s="16"/>
      <c r="I44" s="16"/>
      <c r="J44" s="16"/>
      <c r="K44" s="5"/>
      <c r="L44" s="5"/>
      <c r="M44" s="5"/>
      <c r="N44" s="10">
        <f t="shared" si="0"/>
        <v>2.777777777777779E-2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ABBB-A7EE-4801-8EB9-938D52A9DE02}">
  <dimension ref="A1:O49"/>
  <sheetViews>
    <sheetView showGridLines="0" zoomScale="55" zoomScaleNormal="55" workbookViewId="0">
      <pane ySplit="3" topLeftCell="A4" activePane="bottomLeft" state="frozen"/>
      <selection pane="bottomLeft" activeCell="F31" sqref="F31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182</v>
      </c>
      <c r="C5" s="16" t="s">
        <v>282</v>
      </c>
      <c r="D5" s="16" t="s">
        <v>183</v>
      </c>
      <c r="E5" s="10">
        <v>0.21527777777777779</v>
      </c>
      <c r="F5" s="10">
        <v>0.27430555555555558</v>
      </c>
      <c r="G5" s="10">
        <v>0.38541666666666669</v>
      </c>
      <c r="H5" s="16"/>
      <c r="I5" s="16"/>
      <c r="J5" s="16"/>
      <c r="K5" s="8"/>
      <c r="L5" s="8"/>
      <c r="M5" s="9"/>
      <c r="N5" s="10">
        <f>MOD(G5-F5, 1)</f>
        <v>0.1111111111111111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0.28125</v>
      </c>
      <c r="G6" s="10">
        <v>0.43402777777777779</v>
      </c>
      <c r="H6" s="16"/>
      <c r="I6" s="16"/>
      <c r="J6" s="16"/>
      <c r="K6" s="5"/>
      <c r="L6" s="5"/>
      <c r="M6" s="5"/>
      <c r="N6" s="10">
        <f t="shared" ref="N6:N45" si="0">MOD(G6-F6, 1)</f>
        <v>0.15277777777777779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0.15625</v>
      </c>
      <c r="F7" s="10">
        <v>0.25</v>
      </c>
      <c r="G7" s="10">
        <v>0.40277777777777779</v>
      </c>
      <c r="H7" s="16"/>
      <c r="I7" s="16"/>
      <c r="J7" s="16"/>
      <c r="K7" s="5"/>
      <c r="L7" s="5"/>
      <c r="M7" s="5"/>
      <c r="N7" s="10">
        <f t="shared" si="0"/>
        <v>0.15277777777777779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90</v>
      </c>
      <c r="C8" s="17">
        <v>353</v>
      </c>
      <c r="D8" s="17" t="s">
        <v>91</v>
      </c>
      <c r="E8" s="10">
        <v>0.2048611111111111</v>
      </c>
      <c r="F8" s="10">
        <v>0.23958333333333334</v>
      </c>
      <c r="G8" s="10">
        <v>0.35416666666666669</v>
      </c>
      <c r="H8" s="16"/>
      <c r="I8" s="16"/>
      <c r="J8" s="16"/>
      <c r="K8" s="5"/>
      <c r="L8" s="5"/>
      <c r="M8" s="5"/>
      <c r="N8" s="10">
        <f t="shared" si="0"/>
        <v>0.11458333333333334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 t="s">
        <v>166</v>
      </c>
      <c r="F9" s="10" t="s">
        <v>292</v>
      </c>
      <c r="G9" s="10" t="s">
        <v>168</v>
      </c>
      <c r="H9" s="16"/>
      <c r="I9" s="16"/>
      <c r="J9" s="16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169</v>
      </c>
      <c r="C10" s="17">
        <v>353</v>
      </c>
      <c r="D10" s="17" t="s">
        <v>91</v>
      </c>
      <c r="E10" s="10" t="s">
        <v>166</v>
      </c>
      <c r="F10" s="10" t="s">
        <v>292</v>
      </c>
      <c r="G10" s="10" t="s">
        <v>168</v>
      </c>
      <c r="H10" s="16"/>
      <c r="I10" s="16"/>
      <c r="J10" s="16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0.24305555555555555</v>
      </c>
      <c r="G11" s="10">
        <v>0.41319444444444442</v>
      </c>
      <c r="H11" s="16"/>
      <c r="I11" s="16"/>
      <c r="J11" s="16"/>
      <c r="K11" s="5"/>
      <c r="L11" s="5"/>
      <c r="M11" s="5"/>
      <c r="N11" s="10">
        <f t="shared" si="0"/>
        <v>0.17013888888888887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0.23958333333333334</v>
      </c>
      <c r="F12" s="10">
        <v>0.29166666666666669</v>
      </c>
      <c r="G12" s="10">
        <v>0.47569444444444442</v>
      </c>
      <c r="H12" s="16"/>
      <c r="I12" s="16"/>
      <c r="J12" s="16"/>
      <c r="K12" s="5"/>
      <c r="L12" s="5"/>
      <c r="M12" s="5"/>
      <c r="N12" s="10">
        <f t="shared" si="0"/>
        <v>0.18402777777777773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0.24305555555555555</v>
      </c>
      <c r="G13" s="10">
        <v>0.47569444444444442</v>
      </c>
      <c r="H13" s="16"/>
      <c r="I13" s="16"/>
      <c r="J13" s="16"/>
      <c r="K13" s="5"/>
      <c r="L13" s="5"/>
      <c r="M13" s="5"/>
      <c r="N13" s="10">
        <f t="shared" si="0"/>
        <v>0.23263888888888887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211</v>
      </c>
      <c r="C14" s="17">
        <v>775</v>
      </c>
      <c r="D14" s="17" t="s">
        <v>212</v>
      </c>
      <c r="E14" s="10">
        <v>0.25</v>
      </c>
      <c r="F14" s="10">
        <v>0.2673611111111111</v>
      </c>
      <c r="G14" s="10">
        <v>0.35069444444444442</v>
      </c>
      <c r="H14" s="16"/>
      <c r="I14" s="16"/>
      <c r="J14" s="16"/>
      <c r="K14" s="5"/>
      <c r="L14" s="5"/>
      <c r="M14" s="5"/>
      <c r="N14" s="10">
        <f t="shared" si="0"/>
        <v>8.3333333333333315E-2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4.1666666666666664E-2</v>
      </c>
      <c r="F15" s="10">
        <v>0.28125</v>
      </c>
      <c r="G15" s="10">
        <v>0.3611111111111111</v>
      </c>
      <c r="H15" s="16"/>
      <c r="I15" s="16"/>
      <c r="J15" s="16"/>
      <c r="K15" s="5"/>
      <c r="L15" s="5"/>
      <c r="M15" s="5"/>
      <c r="N15" s="10">
        <f t="shared" si="0"/>
        <v>7.9861111111111105E-2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0.21875</v>
      </c>
      <c r="F16" s="10">
        <v>0.2326388888888889</v>
      </c>
      <c r="G16" s="10">
        <v>0.47222222222222221</v>
      </c>
      <c r="H16" s="16"/>
      <c r="I16" s="16"/>
      <c r="J16" s="16"/>
      <c r="K16" s="5"/>
      <c r="L16" s="5"/>
      <c r="M16" s="5"/>
      <c r="N16" s="10">
        <f t="shared" si="0"/>
        <v>0.23958333333333331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141</v>
      </c>
      <c r="E17" s="10">
        <v>0.19791666666666666</v>
      </c>
      <c r="F17" s="10">
        <v>0.21180555555555555</v>
      </c>
      <c r="G17" s="10">
        <v>0.47222222222222221</v>
      </c>
      <c r="H17" s="16"/>
      <c r="I17" s="16"/>
      <c r="J17" s="16"/>
      <c r="K17" s="5"/>
      <c r="L17" s="5"/>
      <c r="M17" s="5"/>
      <c r="N17" s="10">
        <f t="shared" si="0"/>
        <v>0.26041666666666663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283</v>
      </c>
      <c r="C18" s="17">
        <v>353</v>
      </c>
      <c r="D18" s="17" t="s">
        <v>284</v>
      </c>
      <c r="E18" s="10">
        <v>0.1875</v>
      </c>
      <c r="F18" s="10">
        <v>0.21180555555555555</v>
      </c>
      <c r="G18" s="10">
        <v>0.36458333333333331</v>
      </c>
      <c r="H18" s="16"/>
      <c r="I18" s="16"/>
      <c r="J18" s="16"/>
      <c r="K18" s="5"/>
      <c r="L18" s="5"/>
      <c r="M18" s="5"/>
      <c r="N18" s="10">
        <f t="shared" si="0"/>
        <v>0.15277777777777776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0.24305555555555555</v>
      </c>
      <c r="F19" s="10">
        <v>0.24652777777777779</v>
      </c>
      <c r="G19" s="10">
        <v>0.3125</v>
      </c>
      <c r="H19" s="16"/>
      <c r="I19" s="16"/>
      <c r="J19" s="16"/>
      <c r="K19" s="5"/>
      <c r="L19" s="5"/>
      <c r="M19" s="5"/>
      <c r="N19" s="10">
        <f t="shared" si="0"/>
        <v>6.597222222222221E-2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0.18402777777777779</v>
      </c>
      <c r="F20" s="10">
        <v>0.21527777777777779</v>
      </c>
      <c r="G20" s="10">
        <v>0.4236111111111111</v>
      </c>
      <c r="H20" s="16"/>
      <c r="I20" s="16"/>
      <c r="J20" s="16"/>
      <c r="K20" s="5"/>
      <c r="L20" s="5"/>
      <c r="M20" s="5"/>
      <c r="N20" s="10">
        <f t="shared" si="0"/>
        <v>0.20833333333333331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0.16319444444444445</v>
      </c>
      <c r="F22" s="10">
        <v>0.19444444444444445</v>
      </c>
      <c r="G22" s="10">
        <v>0.34027777777777779</v>
      </c>
      <c r="H22" s="16"/>
      <c r="I22" s="16"/>
      <c r="J22" s="16"/>
      <c r="K22" s="5"/>
      <c r="L22" s="5"/>
      <c r="M22" s="5"/>
      <c r="N22" s="10">
        <f t="shared" si="0"/>
        <v>0.14583333333333334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0.23958333333333334</v>
      </c>
      <c r="G23" s="10">
        <v>0.26041666666666669</v>
      </c>
      <c r="H23" s="16"/>
      <c r="I23" s="16"/>
      <c r="J23" s="16"/>
      <c r="K23" s="5"/>
      <c r="L23" s="5"/>
      <c r="M23" s="5"/>
      <c r="N23" s="10">
        <f t="shared" si="0"/>
        <v>2.0833333333333343E-2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285</v>
      </c>
      <c r="C24" s="17">
        <v>353</v>
      </c>
      <c r="D24" s="17" t="s">
        <v>251</v>
      </c>
      <c r="E24" s="10">
        <v>0.21875</v>
      </c>
      <c r="F24" s="10">
        <v>0.24305555555555555</v>
      </c>
      <c r="G24" s="10">
        <v>0.47569444444444442</v>
      </c>
      <c r="H24" s="16"/>
      <c r="I24" s="16"/>
      <c r="J24" s="16"/>
      <c r="K24" s="5"/>
      <c r="L24" s="5"/>
      <c r="M24" s="5"/>
      <c r="N24" s="10">
        <f t="shared" si="0"/>
        <v>0.23263888888888887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3.8194444444444448E-2</v>
      </c>
      <c r="F25" s="10">
        <v>0.1736111111111111</v>
      </c>
      <c r="G25" s="10">
        <v>0.4375</v>
      </c>
      <c r="H25" s="16"/>
      <c r="I25" s="16"/>
      <c r="J25" s="16"/>
      <c r="K25" s="5"/>
      <c r="L25" s="5"/>
      <c r="M25" s="5"/>
      <c r="N25" s="10">
        <f t="shared" si="0"/>
        <v>0.2638888888888889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0.21875</v>
      </c>
      <c r="F26" s="10">
        <v>0.25</v>
      </c>
      <c r="G26" s="10">
        <v>0.47222222222222221</v>
      </c>
      <c r="H26" s="16"/>
      <c r="I26" s="16"/>
      <c r="J26" s="16"/>
      <c r="K26" s="5"/>
      <c r="L26" s="5"/>
      <c r="M26" s="5"/>
      <c r="N26" s="10">
        <f t="shared" si="0"/>
        <v>0.22222222222222221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0.20833333333333334</v>
      </c>
      <c r="F27" s="10">
        <v>0.2326388888888889</v>
      </c>
      <c r="G27" s="10">
        <v>0.27777777777777779</v>
      </c>
      <c r="H27" s="16"/>
      <c r="I27" s="16"/>
      <c r="J27" s="16"/>
      <c r="K27" s="5"/>
      <c r="L27" s="5"/>
      <c r="M27" s="5"/>
      <c r="N27" s="10">
        <f t="shared" si="0"/>
        <v>4.5138888888888895E-2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72</v>
      </c>
      <c r="C28" s="17">
        <v>180</v>
      </c>
      <c r="D28" s="17" t="s">
        <v>73</v>
      </c>
      <c r="E28" s="10">
        <v>0.19444444444444445</v>
      </c>
      <c r="F28" s="10">
        <v>0.22569444444444445</v>
      </c>
      <c r="G28" s="10">
        <v>0.47222222222222221</v>
      </c>
      <c r="H28" s="16"/>
      <c r="I28" s="16"/>
      <c r="J28" s="16"/>
      <c r="K28" s="5"/>
      <c r="L28" s="5"/>
      <c r="M28" s="5"/>
      <c r="N28" s="10">
        <f t="shared" si="0"/>
        <v>0.24652777777777776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114</v>
      </c>
      <c r="C29" s="17">
        <v>353</v>
      </c>
      <c r="D29" s="17" t="s">
        <v>71</v>
      </c>
      <c r="E29" s="10">
        <v>0.18402777777777779</v>
      </c>
      <c r="F29" s="10">
        <v>0.2048611111111111</v>
      </c>
      <c r="G29" s="10">
        <v>0.4375</v>
      </c>
      <c r="H29" s="16"/>
      <c r="I29" s="16"/>
      <c r="J29" s="16"/>
      <c r="K29" s="5"/>
      <c r="L29" s="5"/>
      <c r="M29" s="5"/>
      <c r="N29" s="10">
        <f t="shared" si="0"/>
        <v>0.2326388888888889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0.22222222222222221</v>
      </c>
      <c r="F30" s="10">
        <v>0.2361111111111111</v>
      </c>
      <c r="G30" s="10">
        <v>0.39930555555555558</v>
      </c>
      <c r="H30" s="16"/>
      <c r="I30" s="16"/>
      <c r="J30" s="16"/>
      <c r="K30" s="5"/>
      <c r="L30" s="5"/>
      <c r="M30" s="5"/>
      <c r="N30" s="10">
        <f t="shared" si="0"/>
        <v>0.16319444444444448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0.2013888888888889</v>
      </c>
      <c r="F31" s="10">
        <v>0.2326388888888889</v>
      </c>
      <c r="G31" s="10">
        <v>0.41666666666666669</v>
      </c>
      <c r="H31" s="16"/>
      <c r="I31" s="16"/>
      <c r="J31" s="16"/>
      <c r="K31" s="5"/>
      <c r="L31" s="5"/>
      <c r="M31" s="5"/>
      <c r="N31" s="10">
        <f t="shared" si="0"/>
        <v>0.18402777777777779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289</v>
      </c>
      <c r="C32" s="17" t="s">
        <v>290</v>
      </c>
      <c r="D32" s="17" t="s">
        <v>291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0.18402777777777779</v>
      </c>
      <c r="F33" s="10">
        <v>0.2048611111111111</v>
      </c>
      <c r="G33" s="10">
        <v>0.27430555555555558</v>
      </c>
      <c r="H33" s="16"/>
      <c r="I33" s="16"/>
      <c r="J33" s="16"/>
      <c r="K33" s="5"/>
      <c r="L33" s="5"/>
      <c r="M33" s="5"/>
      <c r="N33" s="10">
        <f t="shared" si="0"/>
        <v>6.9444444444444475E-2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0.2326388888888889</v>
      </c>
      <c r="F34" s="10">
        <v>0.25347222222222221</v>
      </c>
      <c r="G34" s="10">
        <v>0.4201388888888889</v>
      </c>
      <c r="H34" s="16"/>
      <c r="I34" s="16"/>
      <c r="J34" s="16"/>
      <c r="K34" s="5"/>
      <c r="L34" s="5"/>
      <c r="M34" s="5"/>
      <c r="N34" s="10">
        <f t="shared" si="0"/>
        <v>0.16666666666666669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53</v>
      </c>
      <c r="C35" s="17">
        <v>15</v>
      </c>
      <c r="D35" s="17" t="s">
        <v>54</v>
      </c>
      <c r="E35" s="10">
        <v>0.11805555555555555</v>
      </c>
      <c r="F35" s="10">
        <v>0.18402777777777779</v>
      </c>
      <c r="G35" s="10">
        <v>0.25</v>
      </c>
      <c r="H35" s="16"/>
      <c r="I35" s="16"/>
      <c r="J35" s="16"/>
      <c r="K35" s="5"/>
      <c r="L35" s="5"/>
      <c r="M35" s="5"/>
      <c r="N35" s="10">
        <f t="shared" si="0"/>
        <v>6.597222222222221E-2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149</v>
      </c>
      <c r="C36" s="17">
        <v>138</v>
      </c>
      <c r="D36" s="17" t="s">
        <v>150</v>
      </c>
      <c r="E36" s="10">
        <v>0.22569444444444445</v>
      </c>
      <c r="F36" s="10">
        <v>0.25347222222222221</v>
      </c>
      <c r="G36" s="10">
        <v>0.47222222222222221</v>
      </c>
      <c r="H36" s="16"/>
      <c r="I36" s="16"/>
      <c r="J36" s="16"/>
      <c r="K36" s="5"/>
      <c r="L36" s="5"/>
      <c r="M36" s="5"/>
      <c r="N36" s="10">
        <f t="shared" si="0"/>
        <v>0.21875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116</v>
      </c>
      <c r="C37" s="17">
        <v>104</v>
      </c>
      <c r="D37" s="17" t="s">
        <v>286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88</v>
      </c>
      <c r="C38" s="17">
        <v>184041</v>
      </c>
      <c r="D38" s="17" t="s">
        <v>89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0.21180555555555555</v>
      </c>
      <c r="F39" s="10">
        <v>0.25</v>
      </c>
      <c r="G39" s="10">
        <v>0.30208333333333331</v>
      </c>
      <c r="H39" s="16"/>
      <c r="I39" s="16"/>
      <c r="J39" s="16"/>
      <c r="K39" s="5"/>
      <c r="L39" s="5"/>
      <c r="M39" s="5"/>
      <c r="N39" s="10">
        <f t="shared" si="0"/>
        <v>5.2083333333333315E-2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108</v>
      </c>
      <c r="C40" s="17" t="s">
        <v>287</v>
      </c>
      <c r="D40" s="17" t="s">
        <v>288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0.22916666666666666</v>
      </c>
      <c r="F41" s="10">
        <v>0.28819444444444442</v>
      </c>
      <c r="G41" s="10">
        <v>0.47222222222222221</v>
      </c>
      <c r="H41" s="16"/>
      <c r="I41" s="16"/>
      <c r="J41" s="16"/>
      <c r="K41" s="5"/>
      <c r="L41" s="5"/>
      <c r="M41" s="5"/>
      <c r="N41" s="10">
        <f t="shared" si="0"/>
        <v>0.18402777777777779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0.2326388888888889</v>
      </c>
      <c r="F42" s="10">
        <v>0.24305555555555555</v>
      </c>
      <c r="G42" s="10">
        <v>0.47222222222222221</v>
      </c>
      <c r="H42" s="16"/>
      <c r="I42" s="16"/>
      <c r="J42" s="16"/>
      <c r="K42" s="5"/>
      <c r="L42" s="5"/>
      <c r="M42" s="5"/>
      <c r="N42" s="10">
        <f t="shared" si="0"/>
        <v>0.22916666666666666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0.27777777777777779</v>
      </c>
      <c r="F43" s="10">
        <v>0.30555555555555558</v>
      </c>
      <c r="G43" s="10">
        <v>0.47569444444444442</v>
      </c>
      <c r="H43" s="16"/>
      <c r="I43" s="16"/>
      <c r="J43" s="16"/>
      <c r="K43" s="5"/>
      <c r="L43" s="5"/>
      <c r="M43" s="5"/>
      <c r="N43" s="10">
        <f t="shared" si="0"/>
        <v>0.17013888888888884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0.1875</v>
      </c>
      <c r="F44" s="10">
        <v>0.21180555555555555</v>
      </c>
      <c r="G44" s="10">
        <v>0.47222222222222221</v>
      </c>
      <c r="H44" s="16"/>
      <c r="I44" s="16"/>
      <c r="J44" s="16"/>
      <c r="K44" s="5"/>
      <c r="L44" s="5"/>
      <c r="M44" s="5"/>
      <c r="N44" s="10">
        <f t="shared" si="0"/>
        <v>0.26041666666666663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855A-9901-43DB-AC86-D635B304BCA1}">
  <dimension ref="A1:O49"/>
  <sheetViews>
    <sheetView showGridLines="0" zoomScale="55" zoomScaleNormal="55" workbookViewId="0">
      <pane ySplit="3" topLeftCell="A4" activePane="bottomLeft" state="frozen"/>
      <selection pane="bottomLeft" activeCell="G46" sqref="G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0.21875</v>
      </c>
      <c r="F5" s="10">
        <v>0.2638888888888889</v>
      </c>
      <c r="G5" s="10">
        <v>0.47222222222222221</v>
      </c>
      <c r="H5" s="16"/>
      <c r="I5" s="16"/>
      <c r="J5" s="16"/>
      <c r="K5" s="8"/>
      <c r="L5" s="8"/>
      <c r="M5" s="9"/>
      <c r="N5" s="10">
        <f>MOD(G5-F5, 1)</f>
        <v>0.20833333333333331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0.22916666666666666</v>
      </c>
      <c r="F6" s="10">
        <v>0.28125</v>
      </c>
      <c r="G6" s="10">
        <v>0.47569444444444442</v>
      </c>
      <c r="H6" s="16"/>
      <c r="I6" s="16"/>
      <c r="J6" s="16"/>
      <c r="K6" s="5"/>
      <c r="L6" s="5"/>
      <c r="M6" s="5"/>
      <c r="N6" s="10">
        <f t="shared" ref="N6:N45" si="0">MOD(G6-F6, 1)</f>
        <v>0.19444444444444442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0.49652777777777779</v>
      </c>
      <c r="H7" s="16"/>
      <c r="I7" s="16"/>
      <c r="J7" s="16"/>
      <c r="K7" s="5"/>
      <c r="L7" s="5"/>
      <c r="M7" s="5"/>
      <c r="N7" s="10">
        <f t="shared" si="0"/>
        <v>0.24305555555555558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263</v>
      </c>
      <c r="C8" s="17">
        <v>353</v>
      </c>
      <c r="D8" s="17" t="s">
        <v>241</v>
      </c>
      <c r="E8" s="10">
        <v>0.21527777777777779</v>
      </c>
      <c r="F8" s="10">
        <v>0.25694444444444442</v>
      </c>
      <c r="G8" s="10">
        <v>0.34375</v>
      </c>
      <c r="H8" s="16"/>
      <c r="I8" s="16"/>
      <c r="J8" s="16"/>
      <c r="K8" s="5"/>
      <c r="L8" s="5"/>
      <c r="M8" s="5"/>
      <c r="N8" s="10">
        <f t="shared" si="0"/>
        <v>8.680555555555558E-2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180</v>
      </c>
      <c r="C9" s="17">
        <v>184357</v>
      </c>
      <c r="D9" s="17" t="s">
        <v>181</v>
      </c>
      <c r="E9" s="10">
        <v>0.2326388888888889</v>
      </c>
      <c r="F9" s="10">
        <v>0.34027777777777779</v>
      </c>
      <c r="G9" s="10">
        <v>0.43402777777777779</v>
      </c>
      <c r="H9" s="16"/>
      <c r="I9" s="16"/>
      <c r="J9" s="16"/>
      <c r="K9" s="5"/>
      <c r="L9" s="5"/>
      <c r="M9" s="5"/>
      <c r="N9" s="10">
        <f t="shared" si="0"/>
        <v>9.375E-2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0.1875</v>
      </c>
      <c r="F10" s="10">
        <v>0.25694444444444442</v>
      </c>
      <c r="G10" s="10">
        <v>0.43055555555555558</v>
      </c>
      <c r="H10" s="16"/>
      <c r="I10" s="16"/>
      <c r="J10" s="16"/>
      <c r="K10" s="5"/>
      <c r="L10" s="5"/>
      <c r="M10" s="5"/>
      <c r="N10" s="10">
        <f t="shared" si="0"/>
        <v>0.17361111111111116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102</v>
      </c>
      <c r="C11" s="17">
        <v>184016</v>
      </c>
      <c r="D11" s="17" t="s">
        <v>103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0.22222222222222221</v>
      </c>
      <c r="F12" s="10">
        <v>0.25347222222222221</v>
      </c>
      <c r="G12" s="10">
        <v>0.50347222222222221</v>
      </c>
      <c r="H12" s="16"/>
      <c r="I12" s="16"/>
      <c r="J12" s="16"/>
      <c r="K12" s="5"/>
      <c r="L12" s="5"/>
      <c r="M12" s="5"/>
      <c r="N12" s="10">
        <f t="shared" si="0"/>
        <v>0.25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0.2326388888888889</v>
      </c>
      <c r="G13" s="10">
        <v>0.28125</v>
      </c>
      <c r="H13" s="16"/>
      <c r="I13" s="16"/>
      <c r="J13" s="16"/>
      <c r="K13" s="5"/>
      <c r="L13" s="5"/>
      <c r="M13" s="5"/>
      <c r="N13" s="10">
        <f t="shared" si="0"/>
        <v>4.8611111111111105E-2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0.19444444444444445</v>
      </c>
      <c r="F14" s="10">
        <v>0.2048611111111111</v>
      </c>
      <c r="G14" s="10">
        <v>0.27430555555555558</v>
      </c>
      <c r="H14" s="16"/>
      <c r="I14" s="16"/>
      <c r="J14" s="16"/>
      <c r="K14" s="5"/>
      <c r="L14" s="5"/>
      <c r="M14" s="5"/>
      <c r="N14" s="10">
        <f t="shared" si="0"/>
        <v>6.9444444444444475E-2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3.125E-2</v>
      </c>
      <c r="F15" s="10">
        <v>0.2673611111111111</v>
      </c>
      <c r="G15" s="10">
        <v>0.31944444444444442</v>
      </c>
      <c r="H15" s="16"/>
      <c r="I15" s="16"/>
      <c r="J15" s="16"/>
      <c r="K15" s="5"/>
      <c r="L15" s="5"/>
      <c r="M15" s="5"/>
      <c r="N15" s="10">
        <f t="shared" si="0"/>
        <v>5.2083333333333315E-2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76</v>
      </c>
      <c r="C16" s="17">
        <v>795</v>
      </c>
      <c r="D16" s="17" t="s">
        <v>77</v>
      </c>
      <c r="E16" s="10">
        <v>0.22916666666666666</v>
      </c>
      <c r="F16" s="10">
        <v>0.24305555555555555</v>
      </c>
      <c r="G16" s="10">
        <v>0.5</v>
      </c>
      <c r="H16" s="16"/>
      <c r="I16" s="16"/>
      <c r="J16" s="16"/>
      <c r="K16" s="5"/>
      <c r="L16" s="5"/>
      <c r="M16" s="5"/>
      <c r="N16" s="10">
        <f t="shared" si="0"/>
        <v>0.25694444444444442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0.21180555555555555</v>
      </c>
      <c r="F17" s="10">
        <v>0.22916666666666666</v>
      </c>
      <c r="G17" s="10">
        <v>0.375</v>
      </c>
      <c r="H17" s="16"/>
      <c r="I17" s="16"/>
      <c r="J17" s="16"/>
      <c r="K17" s="5"/>
      <c r="L17" s="5"/>
      <c r="M17" s="5"/>
      <c r="N17" s="10">
        <f t="shared" si="0"/>
        <v>0.14583333333333334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283</v>
      </c>
      <c r="C18" s="17">
        <v>353</v>
      </c>
      <c r="D18" s="17" t="s">
        <v>284</v>
      </c>
      <c r="E18" s="10" t="s">
        <v>166</v>
      </c>
      <c r="F18" s="10" t="s">
        <v>292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0.1875</v>
      </c>
      <c r="F19" s="10">
        <v>0.2361111111111111</v>
      </c>
      <c r="G19" s="10">
        <v>0.30555555555555558</v>
      </c>
      <c r="H19" s="16"/>
      <c r="I19" s="16"/>
      <c r="J19" s="16"/>
      <c r="K19" s="5"/>
      <c r="L19" s="5"/>
      <c r="M19" s="5"/>
      <c r="N19" s="10">
        <f t="shared" si="0"/>
        <v>6.9444444444444475E-2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0.19097222222222221</v>
      </c>
      <c r="F20" s="10">
        <v>0.22222222222222221</v>
      </c>
      <c r="G20" s="10">
        <v>0.45833333333333331</v>
      </c>
      <c r="H20" s="16"/>
      <c r="I20" s="16"/>
      <c r="J20" s="16"/>
      <c r="K20" s="5"/>
      <c r="L20" s="5"/>
      <c r="M20" s="5"/>
      <c r="N20" s="10">
        <f t="shared" si="0"/>
        <v>0.2361111111111111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74</v>
      </c>
      <c r="C21" s="17">
        <v>353</v>
      </c>
      <c r="D21" s="17" t="s">
        <v>146</v>
      </c>
      <c r="E21" s="10" t="s">
        <v>139</v>
      </c>
      <c r="F21" s="10" t="s">
        <v>140</v>
      </c>
      <c r="G21" s="10"/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0.18402777777777779</v>
      </c>
      <c r="F22" s="10">
        <v>0.2326388888888889</v>
      </c>
      <c r="G22" s="10">
        <v>0.34375</v>
      </c>
      <c r="H22" s="16"/>
      <c r="I22" s="16"/>
      <c r="J22" s="16"/>
      <c r="K22" s="5"/>
      <c r="L22" s="5"/>
      <c r="M22" s="5"/>
      <c r="N22" s="10">
        <f t="shared" si="0"/>
        <v>0.1111111111111111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64</v>
      </c>
      <c r="C23" s="17">
        <v>184041</v>
      </c>
      <c r="D23" s="17" t="s">
        <v>65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0.18402777777777779</v>
      </c>
      <c r="F24" s="10">
        <v>0.23958333333333334</v>
      </c>
      <c r="G24" s="10">
        <v>0.42708333333333331</v>
      </c>
      <c r="H24" s="16"/>
      <c r="I24" s="16"/>
      <c r="J24" s="16"/>
      <c r="K24" s="5"/>
      <c r="L24" s="5"/>
      <c r="M24" s="5"/>
      <c r="N24" s="10">
        <f t="shared" si="0"/>
        <v>0.18749999999999997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3.125E-2</v>
      </c>
      <c r="F25" s="10">
        <v>0.16666666666666666</v>
      </c>
      <c r="G25" s="10">
        <v>0.3611111111111111</v>
      </c>
      <c r="H25" s="16"/>
      <c r="I25" s="16"/>
      <c r="J25" s="16"/>
      <c r="K25" s="5"/>
      <c r="L25" s="5"/>
      <c r="M25" s="5"/>
      <c r="N25" s="10">
        <f t="shared" si="0"/>
        <v>0.19444444444444445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0.21875</v>
      </c>
      <c r="F26" s="10">
        <v>0.25</v>
      </c>
      <c r="G26" s="10">
        <v>0.5</v>
      </c>
      <c r="H26" s="16"/>
      <c r="I26" s="16"/>
      <c r="J26" s="16"/>
      <c r="K26" s="5"/>
      <c r="L26" s="5"/>
      <c r="M26" s="5"/>
      <c r="N26" s="10">
        <f t="shared" si="0"/>
        <v>0.25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0.23958333333333334</v>
      </c>
      <c r="F27" s="10">
        <v>0.2638888888888889</v>
      </c>
      <c r="G27" s="10">
        <v>0.28472222222222221</v>
      </c>
      <c r="H27" s="16"/>
      <c r="I27" s="16"/>
      <c r="J27" s="16"/>
      <c r="K27" s="5"/>
      <c r="L27" s="5"/>
      <c r="M27" s="5"/>
      <c r="N27" s="10">
        <f t="shared" si="0"/>
        <v>2.0833333333333315E-2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88</v>
      </c>
      <c r="C28" s="17">
        <v>184041</v>
      </c>
      <c r="D28" s="17" t="s">
        <v>89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176</v>
      </c>
      <c r="C29" s="17">
        <v>294</v>
      </c>
      <c r="D29" s="17" t="s">
        <v>177</v>
      </c>
      <c r="E29" s="10">
        <v>0.22222222222222221</v>
      </c>
      <c r="F29" s="10">
        <v>0.24305555555555555</v>
      </c>
      <c r="G29" s="10">
        <v>0.50347222222222221</v>
      </c>
      <c r="H29" s="16"/>
      <c r="I29" s="16"/>
      <c r="J29" s="16"/>
      <c r="K29" s="5"/>
      <c r="L29" s="5"/>
      <c r="M29" s="5"/>
      <c r="N29" s="10">
        <f t="shared" si="0"/>
        <v>0.26041666666666663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198</v>
      </c>
      <c r="C30" s="17">
        <v>811</v>
      </c>
      <c r="D30" s="17" t="s">
        <v>199</v>
      </c>
      <c r="E30" s="10">
        <v>0.21180555555555555</v>
      </c>
      <c r="F30" s="10">
        <v>0.2326388888888889</v>
      </c>
      <c r="G30" s="10">
        <v>0.49652777777777779</v>
      </c>
      <c r="H30" s="16"/>
      <c r="I30" s="16"/>
      <c r="J30" s="16"/>
      <c r="K30" s="5"/>
      <c r="L30" s="5"/>
      <c r="M30" s="5"/>
      <c r="N30" s="10">
        <f t="shared" si="0"/>
        <v>0.2638888888888889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0.1875</v>
      </c>
      <c r="F31" s="10">
        <v>0.21180555555555555</v>
      </c>
      <c r="G31" s="10">
        <v>0.49652777777777779</v>
      </c>
      <c r="H31" s="16"/>
      <c r="I31" s="16"/>
      <c r="J31" s="16"/>
      <c r="K31" s="5"/>
      <c r="L31" s="5"/>
      <c r="M31" s="5"/>
      <c r="N31" s="10">
        <f t="shared" si="0"/>
        <v>0.28472222222222221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207</v>
      </c>
      <c r="C33" s="17">
        <v>782</v>
      </c>
      <c r="D33" s="17" t="s">
        <v>208</v>
      </c>
      <c r="E33" s="10">
        <v>0.20833333333333334</v>
      </c>
      <c r="F33" s="10">
        <v>0.22569444444444445</v>
      </c>
      <c r="G33" s="10">
        <v>0.2951388888888889</v>
      </c>
      <c r="H33" s="16"/>
      <c r="I33" s="16"/>
      <c r="J33" s="16"/>
      <c r="K33" s="5"/>
      <c r="L33" s="5"/>
      <c r="M33" s="5"/>
      <c r="N33" s="10">
        <f t="shared" si="0"/>
        <v>6.9444444444444448E-2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3.125E-2</v>
      </c>
      <c r="F35" s="10">
        <v>0.10416666666666667</v>
      </c>
      <c r="G35" s="10">
        <v>0.22569444444444445</v>
      </c>
      <c r="H35" s="16"/>
      <c r="I35" s="16"/>
      <c r="J35" s="16"/>
      <c r="K35" s="5"/>
      <c r="L35" s="5"/>
      <c r="M35" s="5"/>
      <c r="N35" s="10">
        <f t="shared" si="0"/>
        <v>0.12152777777777778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0.2326388888888889</v>
      </c>
      <c r="F36" s="10">
        <v>0.2638888888888889</v>
      </c>
      <c r="G36" s="10">
        <v>0.3576388888888889</v>
      </c>
      <c r="H36" s="16"/>
      <c r="I36" s="16"/>
      <c r="J36" s="16"/>
      <c r="K36" s="5"/>
      <c r="L36" s="5"/>
      <c r="M36" s="5"/>
      <c r="N36" s="10">
        <f t="shared" si="0"/>
        <v>9.375E-2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0.2013888888888889</v>
      </c>
      <c r="F38" s="10">
        <v>0.24305555555555555</v>
      </c>
      <c r="G38" s="10">
        <v>0.49652777777777779</v>
      </c>
      <c r="H38" s="16"/>
      <c r="I38" s="16"/>
      <c r="J38" s="16"/>
      <c r="K38" s="5"/>
      <c r="L38" s="5"/>
      <c r="M38" s="5"/>
      <c r="N38" s="10">
        <f t="shared" si="0"/>
        <v>0.25347222222222221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186</v>
      </c>
      <c r="C39" s="17">
        <v>530</v>
      </c>
      <c r="D39" s="17" t="s">
        <v>187</v>
      </c>
      <c r="E39" s="10" t="s">
        <v>166</v>
      </c>
      <c r="F39" s="10" t="s">
        <v>292</v>
      </c>
      <c r="G39" s="10" t="s">
        <v>168</v>
      </c>
      <c r="H39" s="16"/>
      <c r="I39" s="16"/>
      <c r="J39" s="16"/>
      <c r="K39" s="5"/>
      <c r="L39" s="5"/>
      <c r="M39" s="5"/>
      <c r="N39" s="10" t="e">
        <f t="shared" si="0"/>
        <v>#VALUE!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104</v>
      </c>
      <c r="C41" s="17">
        <v>811</v>
      </c>
      <c r="D41" s="17" t="s">
        <v>105</v>
      </c>
      <c r="E41" s="10">
        <v>0.21527777777777779</v>
      </c>
      <c r="F41" s="10">
        <v>0.25694444444444442</v>
      </c>
      <c r="G41" s="10">
        <v>0.5</v>
      </c>
      <c r="H41" s="16"/>
      <c r="I41" s="16"/>
      <c r="J41" s="16"/>
      <c r="K41" s="5"/>
      <c r="L41" s="5"/>
      <c r="M41" s="5"/>
      <c r="N41" s="10">
        <f t="shared" si="0"/>
        <v>0.24305555555555558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293</v>
      </c>
      <c r="E43" s="10" t="s">
        <v>166</v>
      </c>
      <c r="F43" s="10" t="s">
        <v>292</v>
      </c>
      <c r="G43" s="10" t="s">
        <v>168</v>
      </c>
      <c r="H43" s="16"/>
      <c r="I43" s="16"/>
      <c r="J43" s="16"/>
      <c r="K43" s="5"/>
      <c r="L43" s="5"/>
      <c r="M43" s="5"/>
      <c r="N43" s="10" t="e">
        <f t="shared" si="0"/>
        <v>#VALUE!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0.2013888888888889</v>
      </c>
      <c r="F44" s="10">
        <v>0.24652777777777779</v>
      </c>
      <c r="G44" s="10">
        <v>0.5</v>
      </c>
      <c r="H44" s="16"/>
      <c r="I44" s="16"/>
      <c r="J44" s="16"/>
      <c r="K44" s="5"/>
      <c r="L44" s="5"/>
      <c r="M44" s="5"/>
      <c r="N44" s="10">
        <f t="shared" si="0"/>
        <v>0.25347222222222221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0.20833333333333334</v>
      </c>
      <c r="F45" s="10">
        <v>0.22569444444444445</v>
      </c>
      <c r="G45" s="10">
        <v>0.2951388888888889</v>
      </c>
      <c r="H45" s="16"/>
      <c r="I45" s="16"/>
      <c r="J45" s="16"/>
      <c r="K45" s="5"/>
      <c r="L45" s="5"/>
      <c r="M45" s="5"/>
      <c r="N45" s="10">
        <f t="shared" si="0"/>
        <v>6.9444444444444448E-2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6147-266F-490E-9349-DCD34E519645}">
  <dimension ref="A1:O49"/>
  <sheetViews>
    <sheetView showGridLines="0" tabSelected="1" zoomScale="70" zoomScaleNormal="70" workbookViewId="0">
      <pane ySplit="3" topLeftCell="A4" activePane="bottomLeft" state="frozen"/>
      <selection pane="bottomLeft" activeCell="E45" sqref="E45:F45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0.22916666666666666</v>
      </c>
      <c r="F5" s="10">
        <v>0.28125</v>
      </c>
      <c r="G5" s="10">
        <v>0.40972222222222221</v>
      </c>
      <c r="H5" s="16"/>
      <c r="I5" s="16"/>
      <c r="J5" s="16"/>
      <c r="K5" s="8"/>
      <c r="L5" s="8"/>
      <c r="M5" s="9"/>
      <c r="N5" s="10">
        <f>MOD(G5-F5, 1)</f>
        <v>0.12847222222222221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0.29166666666666669</v>
      </c>
      <c r="G6" s="10">
        <v>0.59722222222222221</v>
      </c>
      <c r="H6" s="16"/>
      <c r="I6" s="16"/>
      <c r="J6" s="16"/>
      <c r="K6" s="5"/>
      <c r="L6" s="5"/>
      <c r="M6" s="5"/>
      <c r="N6" s="10">
        <f t="shared" ref="N6:N45" si="0">MOD(G6-F6, 1)</f>
        <v>0.30555555555555552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0.42708333333333331</v>
      </c>
      <c r="H7" s="16"/>
      <c r="I7" s="16"/>
      <c r="J7" s="16"/>
      <c r="K7" s="5"/>
      <c r="L7" s="5"/>
      <c r="M7" s="5"/>
      <c r="N7" s="10">
        <f t="shared" si="0"/>
        <v>0.1736111111111111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0.28819444444444442</v>
      </c>
      <c r="G8" s="10">
        <v>0.3263888888888889</v>
      </c>
      <c r="H8" s="16"/>
      <c r="I8" s="16"/>
      <c r="J8" s="16"/>
      <c r="K8" s="5"/>
      <c r="L8" s="5"/>
      <c r="M8" s="5"/>
      <c r="N8" s="10">
        <f t="shared" si="0"/>
        <v>3.8194444444444475E-2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180</v>
      </c>
      <c r="C9" s="17">
        <v>184357</v>
      </c>
      <c r="D9" s="17" t="s">
        <v>181</v>
      </c>
      <c r="E9" s="10">
        <v>0.22916666666666666</v>
      </c>
      <c r="F9" s="10">
        <v>0.2638888888888889</v>
      </c>
      <c r="G9" s="10">
        <v>0.3611111111111111</v>
      </c>
      <c r="H9" s="16"/>
      <c r="I9" s="16"/>
      <c r="J9" s="16"/>
      <c r="K9" s="5"/>
      <c r="L9" s="5"/>
      <c r="M9" s="5"/>
      <c r="N9" s="10">
        <f t="shared" si="0"/>
        <v>9.722222222222221E-2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0.2013888888888889</v>
      </c>
      <c r="F10" s="10">
        <v>0.26041666666666669</v>
      </c>
      <c r="G10" s="10">
        <v>0.375</v>
      </c>
      <c r="H10" s="16"/>
      <c r="I10" s="16"/>
      <c r="J10" s="16"/>
      <c r="K10" s="5"/>
      <c r="L10" s="5"/>
      <c r="M10" s="5"/>
      <c r="N10" s="10">
        <f t="shared" si="0"/>
        <v>0.11458333333333331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0.25</v>
      </c>
      <c r="G11" s="10">
        <v>0.44444444444444442</v>
      </c>
      <c r="H11" s="16"/>
      <c r="I11" s="16"/>
      <c r="J11" s="16"/>
      <c r="K11" s="5"/>
      <c r="L11" s="5"/>
      <c r="M11" s="5"/>
      <c r="N11" s="10">
        <f t="shared" si="0"/>
        <v>0.19444444444444442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0.22569444444444445</v>
      </c>
      <c r="F12" s="10">
        <v>0.25347222222222221</v>
      </c>
      <c r="G12" s="10">
        <v>0.56944444444444442</v>
      </c>
      <c r="H12" s="16"/>
      <c r="I12" s="16"/>
      <c r="J12" s="16"/>
      <c r="K12" s="5"/>
      <c r="L12" s="5"/>
      <c r="M12" s="5"/>
      <c r="N12" s="10">
        <f t="shared" si="0"/>
        <v>0.31597222222222221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0.1111111111111111</v>
      </c>
      <c r="F13" s="10">
        <v>0.2361111111111111</v>
      </c>
      <c r="G13" s="10">
        <v>0.44791666666666669</v>
      </c>
      <c r="H13" s="16"/>
      <c r="I13" s="16"/>
      <c r="J13" s="16"/>
      <c r="K13" s="5"/>
      <c r="L13" s="5"/>
      <c r="M13" s="5"/>
      <c r="N13" s="10">
        <f t="shared" si="0"/>
        <v>0.21180555555555558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0.18402777777777779</v>
      </c>
      <c r="F14" s="10">
        <v>0.19791666666666666</v>
      </c>
      <c r="G14" s="10">
        <v>0.4826388888888889</v>
      </c>
      <c r="H14" s="16"/>
      <c r="I14" s="16"/>
      <c r="J14" s="16"/>
      <c r="K14" s="5"/>
      <c r="L14" s="5"/>
      <c r="M14" s="5"/>
      <c r="N14" s="10">
        <f t="shared" si="0"/>
        <v>0.28472222222222221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3.8194444444444448E-2</v>
      </c>
      <c r="F15" s="10">
        <v>0.1423611111111111</v>
      </c>
      <c r="G15" s="10">
        <v>0.55208333333333337</v>
      </c>
      <c r="H15" s="16"/>
      <c r="I15" s="16"/>
      <c r="J15" s="16"/>
      <c r="K15" s="5"/>
      <c r="L15" s="5"/>
      <c r="M15" s="5"/>
      <c r="N15" s="10">
        <f t="shared" si="0"/>
        <v>0.40972222222222227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0.21875</v>
      </c>
      <c r="F16" s="10">
        <v>0.22916666666666666</v>
      </c>
      <c r="G16" s="10">
        <v>0.51736111111111116</v>
      </c>
      <c r="H16" s="16"/>
      <c r="I16" s="16"/>
      <c r="J16" s="16"/>
      <c r="K16" s="5"/>
      <c r="L16" s="5"/>
      <c r="M16" s="5"/>
      <c r="N16" s="10">
        <f t="shared" si="0"/>
        <v>0.28819444444444453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66</v>
      </c>
      <c r="C17" s="17">
        <v>353</v>
      </c>
      <c r="D17" s="17" t="s">
        <v>67</v>
      </c>
      <c r="E17" s="10">
        <v>0.21180555555555555</v>
      </c>
      <c r="F17" s="10">
        <v>0.22222222222222221</v>
      </c>
      <c r="G17" s="10">
        <v>0.60069444444444442</v>
      </c>
      <c r="H17" s="16"/>
      <c r="I17" s="16"/>
      <c r="J17" s="16"/>
      <c r="K17" s="5"/>
      <c r="L17" s="5"/>
      <c r="M17" s="5"/>
      <c r="N17" s="10">
        <f t="shared" si="0"/>
        <v>0.37847222222222221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269</v>
      </c>
      <c r="C18" s="17">
        <v>496</v>
      </c>
      <c r="D18" s="17" t="s">
        <v>253</v>
      </c>
      <c r="E18" s="10" t="s">
        <v>166</v>
      </c>
      <c r="F18" s="10" t="s">
        <v>292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299</v>
      </c>
      <c r="E19" s="10">
        <v>0.27777777777777779</v>
      </c>
      <c r="F19" s="10">
        <v>0.28125</v>
      </c>
      <c r="G19" s="10">
        <v>0.35416666666666669</v>
      </c>
      <c r="H19" s="16"/>
      <c r="I19" s="16"/>
      <c r="J19" s="16"/>
      <c r="K19" s="5"/>
      <c r="L19" s="5"/>
      <c r="M19" s="5"/>
      <c r="N19" s="10">
        <f t="shared" si="0"/>
        <v>7.2916666666666685E-2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0.18055555555555555</v>
      </c>
      <c r="F20" s="10">
        <v>0.21527777777777779</v>
      </c>
      <c r="G20" s="10">
        <v>0.52777777777777779</v>
      </c>
      <c r="H20" s="16"/>
      <c r="I20" s="16"/>
      <c r="J20" s="16"/>
      <c r="K20" s="5"/>
      <c r="L20" s="5"/>
      <c r="M20" s="5"/>
      <c r="N20" s="10">
        <f t="shared" si="0"/>
        <v>0.3125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294</v>
      </c>
      <c r="C21" s="17">
        <v>772</v>
      </c>
      <c r="D21" s="17" t="s">
        <v>135</v>
      </c>
      <c r="E21" s="10">
        <v>0.32291666666666669</v>
      </c>
      <c r="F21" s="10">
        <v>0.34027777777777779</v>
      </c>
      <c r="G21" s="10">
        <v>0.47222222222222221</v>
      </c>
      <c r="H21" s="16"/>
      <c r="I21" s="16"/>
      <c r="J21" s="16"/>
      <c r="K21" s="5"/>
      <c r="L21" s="5"/>
      <c r="M21" s="6"/>
      <c r="N21" s="10">
        <f t="shared" si="0"/>
        <v>0.13194444444444442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0.18055555555555555</v>
      </c>
      <c r="F22" s="10">
        <v>0.21180555555555555</v>
      </c>
      <c r="G22" s="10">
        <v>0.3298611111111111</v>
      </c>
      <c r="H22" s="16"/>
      <c r="I22" s="16"/>
      <c r="J22" s="16"/>
      <c r="K22" s="5"/>
      <c r="L22" s="5"/>
      <c r="M22" s="5"/>
      <c r="N22" s="10">
        <f t="shared" si="0"/>
        <v>0.11805555555555555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0.23958333333333334</v>
      </c>
      <c r="G23" s="10">
        <v>0.57638888888888884</v>
      </c>
      <c r="H23" s="16"/>
      <c r="I23" s="16"/>
      <c r="J23" s="16"/>
      <c r="K23" s="5"/>
      <c r="L23" s="5"/>
      <c r="M23" s="5"/>
      <c r="N23" s="10">
        <f t="shared" si="0"/>
        <v>0.33680555555555547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0.2013888888888889</v>
      </c>
      <c r="F24" s="10">
        <v>0.21875</v>
      </c>
      <c r="G24" s="10">
        <v>0.42708333333333331</v>
      </c>
      <c r="H24" s="16"/>
      <c r="I24" s="16"/>
      <c r="J24" s="16"/>
      <c r="K24" s="5"/>
      <c r="L24" s="5"/>
      <c r="M24" s="5"/>
      <c r="N24" s="10">
        <f t="shared" si="0"/>
        <v>0.20833333333333331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3.8194444444444448E-2</v>
      </c>
      <c r="F25" s="10">
        <v>0.1736111111111111</v>
      </c>
      <c r="G25" s="10">
        <v>0.29166666666666669</v>
      </c>
      <c r="H25" s="16"/>
      <c r="I25" s="16"/>
      <c r="J25" s="16"/>
      <c r="K25" s="5"/>
      <c r="L25" s="5"/>
      <c r="M25" s="5"/>
      <c r="N25" s="10">
        <f t="shared" si="0"/>
        <v>0.11805555555555558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0.23958333333333334</v>
      </c>
      <c r="F26" s="10">
        <v>0.29166666666666669</v>
      </c>
      <c r="G26" s="10">
        <v>0.57986111111111116</v>
      </c>
      <c r="H26" s="16"/>
      <c r="I26" s="16"/>
      <c r="J26" s="16"/>
      <c r="K26" s="5"/>
      <c r="L26" s="5"/>
      <c r="M26" s="5"/>
      <c r="N26" s="10">
        <f t="shared" si="0"/>
        <v>0.28819444444444448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0.21180555555555555</v>
      </c>
      <c r="F27" s="10">
        <v>0.23958333333333334</v>
      </c>
      <c r="G27" s="10">
        <v>0.30902777777777779</v>
      </c>
      <c r="H27" s="16"/>
      <c r="I27" s="16"/>
      <c r="J27" s="16"/>
      <c r="K27" s="5"/>
      <c r="L27" s="5"/>
      <c r="M27" s="5"/>
      <c r="N27" s="10">
        <f t="shared" si="0"/>
        <v>6.9444444444444448E-2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106</v>
      </c>
      <c r="C28" s="17">
        <v>184328</v>
      </c>
      <c r="D28" s="17" t="s">
        <v>107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176</v>
      </c>
      <c r="C29" s="17">
        <v>353</v>
      </c>
      <c r="D29" s="17" t="s">
        <v>295</v>
      </c>
      <c r="E29" s="10">
        <v>0.25347222222222221</v>
      </c>
      <c r="F29" s="10">
        <v>0.27777777777777779</v>
      </c>
      <c r="G29" s="10">
        <v>0.54166666666666663</v>
      </c>
      <c r="H29" s="16"/>
      <c r="I29" s="16"/>
      <c r="J29" s="16"/>
      <c r="K29" s="5"/>
      <c r="L29" s="5"/>
      <c r="M29" s="5"/>
      <c r="N29" s="10">
        <f t="shared" si="0"/>
        <v>0.26388888888888884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130</v>
      </c>
      <c r="C30" s="17">
        <v>353</v>
      </c>
      <c r="D30" s="17" t="s">
        <v>298</v>
      </c>
      <c r="E30" s="10">
        <v>0.2013888888888889</v>
      </c>
      <c r="F30" s="10">
        <v>0.21875</v>
      </c>
      <c r="G30" s="10">
        <v>0.51041666666666663</v>
      </c>
      <c r="H30" s="16"/>
      <c r="I30" s="16"/>
      <c r="J30" s="16"/>
      <c r="K30" s="5"/>
      <c r="L30" s="5"/>
      <c r="M30" s="5"/>
      <c r="N30" s="10">
        <f t="shared" si="0"/>
        <v>0.29166666666666663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0.1736111111111111</v>
      </c>
      <c r="F31" s="10">
        <v>0.19791666666666666</v>
      </c>
      <c r="G31" s="10">
        <v>0.41666666666666669</v>
      </c>
      <c r="H31" s="16"/>
      <c r="I31" s="16"/>
      <c r="J31" s="16"/>
      <c r="K31" s="5"/>
      <c r="L31" s="5"/>
      <c r="M31" s="5"/>
      <c r="N31" s="10">
        <f t="shared" si="0"/>
        <v>0.21875000000000003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0.19097222222222221</v>
      </c>
      <c r="F33" s="10">
        <v>0.21180555555555555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5.9027777777777762E-2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104</v>
      </c>
      <c r="C34" s="17">
        <v>811</v>
      </c>
      <c r="D34" s="17" t="s">
        <v>105</v>
      </c>
      <c r="E34" s="10">
        <v>0.22222222222222221</v>
      </c>
      <c r="F34" s="10">
        <v>0.24652777777777779</v>
      </c>
      <c r="G34" s="10">
        <v>0.52777777777777779</v>
      </c>
      <c r="H34" s="16"/>
      <c r="I34" s="16"/>
      <c r="J34" s="16"/>
      <c r="K34" s="5"/>
      <c r="L34" s="5"/>
      <c r="M34" s="5"/>
      <c r="N34" s="10">
        <f t="shared" si="0"/>
        <v>0.28125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4.1666666666666664E-2</v>
      </c>
      <c r="F35" s="10">
        <v>0.21875</v>
      </c>
      <c r="G35" s="10">
        <v>0.34375</v>
      </c>
      <c r="H35" s="16"/>
      <c r="I35" s="16"/>
      <c r="J35" s="16"/>
      <c r="K35" s="5"/>
      <c r="L35" s="5"/>
      <c r="M35" s="5"/>
      <c r="N35" s="10">
        <f t="shared" si="0"/>
        <v>0.125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0.22916666666666666</v>
      </c>
      <c r="F36" s="10">
        <v>0.25694444444444442</v>
      </c>
      <c r="G36" s="10">
        <v>0.46875</v>
      </c>
      <c r="H36" s="16"/>
      <c r="I36" s="16"/>
      <c r="J36" s="16"/>
      <c r="K36" s="5"/>
      <c r="L36" s="5"/>
      <c r="M36" s="5"/>
      <c r="N36" s="10">
        <f t="shared" si="0"/>
        <v>0.21180555555555558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296</v>
      </c>
      <c r="C37" s="17">
        <v>294</v>
      </c>
      <c r="D37" s="17" t="s">
        <v>297</v>
      </c>
      <c r="E37" s="10">
        <v>0.22916666666666666</v>
      </c>
      <c r="F37" s="10">
        <v>0.25</v>
      </c>
      <c r="G37" s="10">
        <v>0.49652777777777779</v>
      </c>
      <c r="H37" s="16"/>
      <c r="I37" s="16"/>
      <c r="J37" s="16"/>
      <c r="K37" s="5"/>
      <c r="L37" s="5"/>
      <c r="M37" s="6"/>
      <c r="N37" s="10">
        <f t="shared" si="0"/>
        <v>0.24652777777777779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0.21180555555555555</v>
      </c>
      <c r="F38" s="10">
        <v>0.24652777777777779</v>
      </c>
      <c r="G38" s="10">
        <v>0.5625</v>
      </c>
      <c r="H38" s="16"/>
      <c r="I38" s="16"/>
      <c r="J38" s="16"/>
      <c r="K38" s="5"/>
      <c r="L38" s="5"/>
      <c r="M38" s="5"/>
      <c r="N38" s="10">
        <f t="shared" si="0"/>
        <v>0.31597222222222221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215</v>
      </c>
      <c r="C39" s="17">
        <v>184846</v>
      </c>
      <c r="D39" s="17" t="s">
        <v>216</v>
      </c>
      <c r="E39" s="10">
        <v>0.35069444444444442</v>
      </c>
      <c r="F39" s="10">
        <v>0.40972222222222221</v>
      </c>
      <c r="G39" s="10">
        <v>0.60763888888888884</v>
      </c>
      <c r="H39" s="16"/>
      <c r="I39" s="16"/>
      <c r="J39" s="16"/>
      <c r="K39" s="5"/>
      <c r="L39" s="5"/>
      <c r="M39" s="5"/>
      <c r="N39" s="10">
        <f t="shared" si="0"/>
        <v>0.19791666666666663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110</v>
      </c>
      <c r="C41" s="17">
        <v>294</v>
      </c>
      <c r="D41" s="17" t="s">
        <v>141</v>
      </c>
      <c r="E41" s="10">
        <v>0.19444444444444445</v>
      </c>
      <c r="F41" s="10">
        <v>0.24652777777777779</v>
      </c>
      <c r="G41" s="10">
        <v>0.54861111111111116</v>
      </c>
      <c r="H41" s="16"/>
      <c r="I41" s="16"/>
      <c r="J41" s="16"/>
      <c r="K41" s="5"/>
      <c r="L41" s="5"/>
      <c r="M41" s="5"/>
      <c r="N41" s="10">
        <f t="shared" si="0"/>
        <v>0.30208333333333337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0.2326388888888889</v>
      </c>
      <c r="F42" s="10">
        <v>0.24305555555555555</v>
      </c>
      <c r="G42" s="10">
        <v>0.58333333333333337</v>
      </c>
      <c r="H42" s="16"/>
      <c r="I42" s="16"/>
      <c r="J42" s="16"/>
      <c r="K42" s="5"/>
      <c r="L42" s="5"/>
      <c r="M42" s="5"/>
      <c r="N42" s="10">
        <f t="shared" si="0"/>
        <v>0.34027777777777779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264</v>
      </c>
      <c r="C43" s="17">
        <v>816</v>
      </c>
      <c r="D43" s="17" t="s">
        <v>265</v>
      </c>
      <c r="E43" s="10">
        <v>0.23958333333333334</v>
      </c>
      <c r="F43" s="10">
        <v>0.2673611111111111</v>
      </c>
      <c r="G43" s="10">
        <v>0.30902777777777779</v>
      </c>
      <c r="H43" s="16"/>
      <c r="I43" s="16"/>
      <c r="J43" s="16"/>
      <c r="K43" s="5"/>
      <c r="L43" s="5"/>
      <c r="M43" s="5"/>
      <c r="N43" s="10">
        <f t="shared" si="0"/>
        <v>4.1666666666666685E-2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0.1875</v>
      </c>
      <c r="F44" s="10">
        <v>0.21180555555555555</v>
      </c>
      <c r="G44" s="10">
        <v>0.54513888888888884</v>
      </c>
      <c r="H44" s="16"/>
      <c r="I44" s="16"/>
      <c r="J44" s="16"/>
      <c r="K44" s="5"/>
      <c r="L44" s="5"/>
      <c r="M44" s="5"/>
      <c r="N44" s="10">
        <f t="shared" si="0"/>
        <v>0.33333333333333326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01B3-88BB-4149-BD56-3E547DAA451A}">
  <dimension ref="A1:O49"/>
  <sheetViews>
    <sheetView showGridLines="0" topLeftCell="E1" zoomScale="55" zoomScaleNormal="55" workbookViewId="0">
      <pane ySplit="3" topLeftCell="A4" activePane="bottomLeft" state="frozen"/>
      <selection pane="bottomLeft" activeCell="L25" sqref="L25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/>
      <c r="C5" s="16"/>
      <c r="D5" s="16"/>
      <c r="E5" s="10"/>
      <c r="F5" s="10"/>
      <c r="G5" s="10"/>
      <c r="H5" s="16"/>
      <c r="I5" s="16"/>
      <c r="J5" s="16"/>
      <c r="K5" s="8"/>
      <c r="L5" s="8"/>
      <c r="M5" s="9"/>
      <c r="N5" s="10">
        <f>MOD(G5-F5, 1)</f>
        <v>0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/>
      <c r="C6" s="17"/>
      <c r="D6" s="17"/>
      <c r="E6" s="10"/>
      <c r="F6" s="10"/>
      <c r="G6" s="10"/>
      <c r="H6" s="16"/>
      <c r="I6" s="16"/>
      <c r="J6" s="16"/>
      <c r="K6" s="5"/>
      <c r="L6" s="5"/>
      <c r="M6" s="5"/>
      <c r="N6" s="10">
        <f t="shared" ref="N6:N45" si="0">MOD(G6-F6, 1)</f>
        <v>0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/>
      <c r="C7" s="17"/>
      <c r="D7" s="17"/>
      <c r="E7" s="10"/>
      <c r="F7" s="10"/>
      <c r="G7" s="10"/>
      <c r="H7" s="16"/>
      <c r="I7" s="16"/>
      <c r="J7" s="16"/>
      <c r="K7" s="5"/>
      <c r="L7" s="5"/>
      <c r="M7" s="5"/>
      <c r="N7" s="10">
        <f t="shared" si="0"/>
        <v>0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/>
      <c r="C8" s="17"/>
      <c r="D8" s="17"/>
      <c r="E8" s="10"/>
      <c r="F8" s="10"/>
      <c r="G8" s="10"/>
      <c r="H8" s="16"/>
      <c r="I8" s="16"/>
      <c r="J8" s="16"/>
      <c r="K8" s="5"/>
      <c r="L8" s="5"/>
      <c r="M8" s="5"/>
      <c r="N8" s="10">
        <f t="shared" si="0"/>
        <v>0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/>
      <c r="C10" s="17"/>
      <c r="D10" s="17"/>
      <c r="E10" s="10"/>
      <c r="F10" s="10"/>
      <c r="G10" s="10"/>
      <c r="H10" s="16"/>
      <c r="I10" s="16"/>
      <c r="J10" s="16"/>
      <c r="K10" s="5"/>
      <c r="L10" s="5"/>
      <c r="M10" s="5"/>
      <c r="N10" s="10">
        <f t="shared" si="0"/>
        <v>0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/>
      <c r="C11" s="17"/>
      <c r="D11" s="17"/>
      <c r="E11" s="10"/>
      <c r="F11" s="10"/>
      <c r="G11" s="10"/>
      <c r="H11" s="16"/>
      <c r="I11" s="16"/>
      <c r="J11" s="16"/>
      <c r="K11" s="5"/>
      <c r="L11" s="5"/>
      <c r="M11" s="5"/>
      <c r="N11" s="10">
        <f t="shared" si="0"/>
        <v>0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/>
      <c r="C12" s="17"/>
      <c r="D12" s="17"/>
      <c r="E12" s="10"/>
      <c r="F12" s="10"/>
      <c r="G12" s="10"/>
      <c r="H12" s="16"/>
      <c r="I12" s="16"/>
      <c r="J12" s="16"/>
      <c r="K12" s="5"/>
      <c r="L12" s="5"/>
      <c r="M12" s="5"/>
      <c r="N12" s="10">
        <f t="shared" si="0"/>
        <v>0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/>
      <c r="C13" s="17"/>
      <c r="D13" s="17"/>
      <c r="E13" s="10"/>
      <c r="F13" s="10"/>
      <c r="G13" s="10"/>
      <c r="H13" s="16"/>
      <c r="I13" s="16"/>
      <c r="J13" s="16"/>
      <c r="K13" s="5"/>
      <c r="L13" s="5"/>
      <c r="M13" s="5"/>
      <c r="N13" s="10">
        <f t="shared" si="0"/>
        <v>0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/>
      <c r="C14" s="17"/>
      <c r="D14" s="17"/>
      <c r="E14" s="10"/>
      <c r="F14" s="10"/>
      <c r="G14" s="10"/>
      <c r="H14" s="16"/>
      <c r="I14" s="16"/>
      <c r="J14" s="16"/>
      <c r="K14" s="5"/>
      <c r="L14" s="5"/>
      <c r="M14" s="5"/>
      <c r="N14" s="10">
        <f t="shared" si="0"/>
        <v>0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/>
      <c r="C15" s="17"/>
      <c r="D15" s="17"/>
      <c r="E15" s="10"/>
      <c r="F15" s="10"/>
      <c r="G15" s="10"/>
      <c r="H15" s="16"/>
      <c r="I15" s="16"/>
      <c r="J15" s="16"/>
      <c r="K15" s="5"/>
      <c r="L15" s="5"/>
      <c r="M15" s="5"/>
      <c r="N15" s="10">
        <f t="shared" si="0"/>
        <v>0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/>
      <c r="C16" s="17"/>
      <c r="D16" s="17"/>
      <c r="E16" s="10"/>
      <c r="F16" s="10"/>
      <c r="G16" s="10"/>
      <c r="H16" s="16"/>
      <c r="I16" s="16"/>
      <c r="J16" s="16"/>
      <c r="K16" s="5"/>
      <c r="L16" s="5"/>
      <c r="M16" s="5"/>
      <c r="N16" s="10">
        <f t="shared" si="0"/>
        <v>0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/>
      <c r="C17" s="17"/>
      <c r="D17" s="17"/>
      <c r="E17" s="10"/>
      <c r="F17" s="10"/>
      <c r="G17" s="10"/>
      <c r="H17" s="16"/>
      <c r="I17" s="16"/>
      <c r="J17" s="16"/>
      <c r="K17" s="5"/>
      <c r="L17" s="5"/>
      <c r="M17" s="5"/>
      <c r="N17" s="10">
        <f t="shared" si="0"/>
        <v>0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/>
      <c r="C19" s="17"/>
      <c r="D19" s="17"/>
      <c r="E19" s="10"/>
      <c r="F19" s="10"/>
      <c r="G19" s="10"/>
      <c r="H19" s="16"/>
      <c r="I19" s="16"/>
      <c r="J19" s="16"/>
      <c r="K19" s="5"/>
      <c r="L19" s="5"/>
      <c r="M19" s="5"/>
      <c r="N19" s="10">
        <f t="shared" si="0"/>
        <v>0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/>
      <c r="C20" s="17"/>
      <c r="D20" s="17"/>
      <c r="E20" s="10"/>
      <c r="F20" s="10"/>
      <c r="G20" s="10"/>
      <c r="H20" s="16"/>
      <c r="I20" s="16"/>
      <c r="J20" s="16"/>
      <c r="K20" s="5"/>
      <c r="L20" s="5"/>
      <c r="M20" s="5"/>
      <c r="N20" s="10">
        <f t="shared" si="0"/>
        <v>0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/>
      <c r="C22" s="17"/>
      <c r="D22" s="17"/>
      <c r="E22" s="10"/>
      <c r="F22" s="10"/>
      <c r="G22" s="10"/>
      <c r="H22" s="16"/>
      <c r="I22" s="16"/>
      <c r="J22" s="16"/>
      <c r="K22" s="5"/>
      <c r="L22" s="5"/>
      <c r="M22" s="5"/>
      <c r="N22" s="10">
        <f t="shared" si="0"/>
        <v>0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/>
      <c r="C23" s="17"/>
      <c r="D23" s="17"/>
      <c r="E23" s="10"/>
      <c r="F23" s="10"/>
      <c r="G23" s="10"/>
      <c r="H23" s="16"/>
      <c r="I23" s="16"/>
      <c r="J23" s="16"/>
      <c r="K23" s="5"/>
      <c r="L23" s="5"/>
      <c r="M23" s="5"/>
      <c r="N23" s="10">
        <f t="shared" si="0"/>
        <v>0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/>
      <c r="C24" s="17"/>
      <c r="D24" s="17"/>
      <c r="E24" s="10"/>
      <c r="F24" s="10"/>
      <c r="G24" s="10"/>
      <c r="H24" s="16"/>
      <c r="I24" s="16"/>
      <c r="J24" s="16"/>
      <c r="K24" s="5"/>
      <c r="L24" s="5"/>
      <c r="M24" s="5"/>
      <c r="N24" s="10">
        <f t="shared" si="0"/>
        <v>0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/>
      <c r="C25" s="17"/>
      <c r="D25" s="17"/>
      <c r="E25" s="10"/>
      <c r="F25" s="10"/>
      <c r="G25" s="10"/>
      <c r="H25" s="16"/>
      <c r="I25" s="16"/>
      <c r="J25" s="16"/>
      <c r="K25" s="5"/>
      <c r="L25" s="5"/>
      <c r="M25" s="5"/>
      <c r="N25" s="10">
        <f t="shared" si="0"/>
        <v>0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/>
      <c r="C26" s="17"/>
      <c r="D26" s="17"/>
      <c r="E26" s="10"/>
      <c r="F26" s="10"/>
      <c r="G26" s="10"/>
      <c r="H26" s="16"/>
      <c r="I26" s="16"/>
      <c r="J26" s="16"/>
      <c r="K26" s="5"/>
      <c r="L26" s="5"/>
      <c r="M26" s="5"/>
      <c r="N26" s="10">
        <f t="shared" si="0"/>
        <v>0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/>
      <c r="C27" s="17"/>
      <c r="D27" s="17"/>
      <c r="E27" s="10"/>
      <c r="F27" s="10"/>
      <c r="G27" s="10"/>
      <c r="H27" s="16"/>
      <c r="I27" s="16"/>
      <c r="J27" s="16"/>
      <c r="K27" s="5"/>
      <c r="L27" s="5"/>
      <c r="M27" s="5"/>
      <c r="N27" s="10">
        <f t="shared" si="0"/>
        <v>0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/>
      <c r="C28" s="17"/>
      <c r="D28" s="17"/>
      <c r="E28" s="10"/>
      <c r="F28" s="10"/>
      <c r="G28" s="10"/>
      <c r="H28" s="16"/>
      <c r="I28" s="16"/>
      <c r="J28" s="16"/>
      <c r="K28" s="5"/>
      <c r="L28" s="5"/>
      <c r="M28" s="5"/>
      <c r="N28" s="10">
        <f t="shared" si="0"/>
        <v>0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/>
      <c r="C29" s="17"/>
      <c r="D29" s="17"/>
      <c r="E29" s="10"/>
      <c r="F29" s="10"/>
      <c r="G29" s="10"/>
      <c r="H29" s="16"/>
      <c r="I29" s="16"/>
      <c r="J29" s="16"/>
      <c r="K29" s="5"/>
      <c r="L29" s="5"/>
      <c r="M29" s="5"/>
      <c r="N29" s="10">
        <f t="shared" si="0"/>
        <v>0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/>
      <c r="C30" s="17"/>
      <c r="D30" s="17"/>
      <c r="E30" s="10"/>
      <c r="F30" s="10"/>
      <c r="G30" s="10"/>
      <c r="H30" s="16"/>
      <c r="I30" s="16"/>
      <c r="J30" s="16"/>
      <c r="K30" s="5"/>
      <c r="L30" s="5"/>
      <c r="M30" s="5"/>
      <c r="N30" s="10">
        <f t="shared" si="0"/>
        <v>0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/>
      <c r="C31" s="17"/>
      <c r="D31" s="17"/>
      <c r="E31" s="10"/>
      <c r="F31" s="10"/>
      <c r="G31" s="10"/>
      <c r="H31" s="16"/>
      <c r="I31" s="16"/>
      <c r="J31" s="16"/>
      <c r="K31" s="5"/>
      <c r="L31" s="5"/>
      <c r="M31" s="5"/>
      <c r="N31" s="10">
        <f t="shared" si="0"/>
        <v>0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/>
      <c r="C32" s="17"/>
      <c r="D32" s="17"/>
      <c r="E32" s="10"/>
      <c r="F32" s="10"/>
      <c r="G32" s="10"/>
      <c r="H32" s="16"/>
      <c r="I32" s="16"/>
      <c r="J32" s="16"/>
      <c r="K32" s="5"/>
      <c r="L32" s="5"/>
      <c r="M32" s="5"/>
      <c r="N32" s="10">
        <f t="shared" si="0"/>
        <v>0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/>
      <c r="C33" s="17"/>
      <c r="D33" s="17"/>
      <c r="E33" s="10"/>
      <c r="F33" s="10"/>
      <c r="G33" s="10"/>
      <c r="H33" s="16"/>
      <c r="I33" s="16"/>
      <c r="J33" s="16"/>
      <c r="K33" s="5"/>
      <c r="L33" s="5"/>
      <c r="M33" s="5"/>
      <c r="N33" s="10">
        <f t="shared" si="0"/>
        <v>0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/>
      <c r="C34" s="17"/>
      <c r="D34" s="17"/>
      <c r="E34" s="10"/>
      <c r="F34" s="10"/>
      <c r="G34" s="10"/>
      <c r="H34" s="16"/>
      <c r="I34" s="16"/>
      <c r="J34" s="16"/>
      <c r="K34" s="5"/>
      <c r="L34" s="5"/>
      <c r="M34" s="5"/>
      <c r="N34" s="10">
        <f t="shared" si="0"/>
        <v>0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/>
      <c r="C35" s="17"/>
      <c r="D35" s="17"/>
      <c r="E35" s="10"/>
      <c r="F35" s="10"/>
      <c r="G35" s="10"/>
      <c r="H35" s="16"/>
      <c r="I35" s="16"/>
      <c r="J35" s="16"/>
      <c r="K35" s="5"/>
      <c r="L35" s="5"/>
      <c r="M35" s="5"/>
      <c r="N35" s="10">
        <f t="shared" si="0"/>
        <v>0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/>
      <c r="C36" s="17"/>
      <c r="D36" s="17"/>
      <c r="E36" s="10"/>
      <c r="F36" s="10"/>
      <c r="G36" s="10"/>
      <c r="H36" s="16"/>
      <c r="I36" s="16"/>
      <c r="J36" s="16"/>
      <c r="K36" s="5"/>
      <c r="L36" s="5"/>
      <c r="M36" s="5"/>
      <c r="N36" s="10">
        <f t="shared" si="0"/>
        <v>0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/>
      <c r="C37" s="17"/>
      <c r="D37" s="17"/>
      <c r="E37" s="10"/>
      <c r="F37" s="10"/>
      <c r="G37" s="10"/>
      <c r="H37" s="16"/>
      <c r="I37" s="16"/>
      <c r="J37" s="16"/>
      <c r="K37" s="5"/>
      <c r="L37" s="5"/>
      <c r="M37" s="6"/>
      <c r="N37" s="10">
        <f t="shared" si="0"/>
        <v>0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/>
      <c r="C38" s="17"/>
      <c r="D38" s="17"/>
      <c r="E38" s="10"/>
      <c r="F38" s="10"/>
      <c r="G38" s="10"/>
      <c r="H38" s="16"/>
      <c r="I38" s="16"/>
      <c r="J38" s="16"/>
      <c r="K38" s="5"/>
      <c r="L38" s="5"/>
      <c r="M38" s="5"/>
      <c r="N38" s="10">
        <f t="shared" si="0"/>
        <v>0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/>
      <c r="C40" s="17"/>
      <c r="D40" s="17"/>
      <c r="E40" s="10"/>
      <c r="F40" s="10"/>
      <c r="G40" s="10"/>
      <c r="H40" s="16"/>
      <c r="I40" s="16"/>
      <c r="J40" s="16"/>
      <c r="K40" s="5"/>
      <c r="L40" s="5"/>
      <c r="M40" s="5"/>
      <c r="N40" s="10">
        <f t="shared" si="0"/>
        <v>0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/>
      <c r="C41" s="17"/>
      <c r="D41" s="17"/>
      <c r="E41" s="10"/>
      <c r="F41" s="10"/>
      <c r="G41" s="10"/>
      <c r="H41" s="16"/>
      <c r="I41" s="16"/>
      <c r="J41" s="16"/>
      <c r="K41" s="5"/>
      <c r="L41" s="5"/>
      <c r="M41" s="5"/>
      <c r="N41" s="10">
        <f t="shared" si="0"/>
        <v>0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/>
      <c r="C42" s="17"/>
      <c r="D42" s="17"/>
      <c r="E42" s="10"/>
      <c r="F42" s="10"/>
      <c r="G42" s="10"/>
      <c r="H42" s="16"/>
      <c r="I42" s="16"/>
      <c r="J42" s="16"/>
      <c r="K42" s="5"/>
      <c r="L42" s="5"/>
      <c r="M42" s="5"/>
      <c r="N42" s="10">
        <f t="shared" si="0"/>
        <v>0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/>
      <c r="C43" s="17"/>
      <c r="D43" s="17"/>
      <c r="E43" s="10"/>
      <c r="F43" s="10"/>
      <c r="G43" s="10"/>
      <c r="H43" s="16"/>
      <c r="I43" s="16"/>
      <c r="J43" s="16"/>
      <c r="K43" s="5"/>
      <c r="L43" s="5"/>
      <c r="M43" s="5"/>
      <c r="N43" s="10">
        <f t="shared" si="0"/>
        <v>0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/>
      <c r="C44" s="17"/>
      <c r="D44" s="17"/>
      <c r="E44" s="10"/>
      <c r="F44" s="10"/>
      <c r="G44" s="10"/>
      <c r="H44" s="16"/>
      <c r="I44" s="16"/>
      <c r="J44" s="16"/>
      <c r="K44" s="5"/>
      <c r="L44" s="5"/>
      <c r="M44" s="5"/>
      <c r="N44" s="10">
        <f t="shared" si="0"/>
        <v>0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/>
      <c r="C45" s="17"/>
      <c r="D45" s="17"/>
      <c r="E45" s="10"/>
      <c r="F45" s="10"/>
      <c r="G45" s="10"/>
      <c r="H45" s="16"/>
      <c r="I45" s="16"/>
      <c r="J45" s="16"/>
      <c r="K45" s="5"/>
      <c r="L45" s="5"/>
      <c r="M45" s="5"/>
      <c r="N45" s="10">
        <f t="shared" si="0"/>
        <v>0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H2:M2"/>
    <mergeCell ref="B2:G2"/>
  </mergeCells>
  <conditionalFormatting sqref="N5:O45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D656E-D1AB-4131-B98F-8FF53536BD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 Souza Cortes dso Santos</dc:creator>
  <cp:lastModifiedBy>WIliam  Souza Cortes dso Santos</cp:lastModifiedBy>
  <dcterms:created xsi:type="dcterms:W3CDTF">2026-02-21T02:16:18Z</dcterms:created>
  <dcterms:modified xsi:type="dcterms:W3CDTF">2026-05-21T18:10:41Z</dcterms:modified>
</cp:coreProperties>
</file>