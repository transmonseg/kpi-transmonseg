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F945C6EA-6339-46C1-9A0D-3B32EEC8C4B6}" xr6:coauthVersionLast="47" xr6:coauthVersionMax="47" xr10:uidLastSave="{00000000-0000-0000-0000-000000000000}"/>
  <bookViews>
    <workbookView xWindow="14295" yWindow="0" windowWidth="14610" windowHeight="15585" firstSheet="8" activeTab="16" xr2:uid="{F63E6018-D765-4769-AA45-1518F94AC87F}"/>
  </bookViews>
  <sheets>
    <sheet name="02" sheetId="16" r:id="rId1"/>
    <sheet name="04" sheetId="17" r:id="rId2"/>
    <sheet name="05" sheetId="18" r:id="rId3"/>
    <sheet name="06" sheetId="19" r:id="rId4"/>
    <sheet name="07" sheetId="20" r:id="rId5"/>
    <sheet name="08" sheetId="21" r:id="rId6"/>
    <sheet name="09" sheetId="22" r:id="rId7"/>
    <sheet name="11" sheetId="23" r:id="rId8"/>
    <sheet name="12" sheetId="24" r:id="rId9"/>
    <sheet name="13" sheetId="25" r:id="rId10"/>
    <sheet name="14" sheetId="26" r:id="rId11"/>
    <sheet name="15" sheetId="27" r:id="rId12"/>
    <sheet name="16" sheetId="28" r:id="rId13"/>
    <sheet name="18" sheetId="29" r:id="rId14"/>
    <sheet name="19" sheetId="30" r:id="rId15"/>
    <sheet name="20" sheetId="31" r:id="rId16"/>
    <sheet name="21" sheetId="32" r:id="rId17"/>
    <sheet name="matriz" sheetId="15" r:id="rId18"/>
  </sheets>
  <definedNames>
    <definedName name="_xlnm._FilterDatabase" localSheetId="0" hidden="1">'02'!$A$3:$M$12</definedName>
    <definedName name="_xlnm._FilterDatabase" localSheetId="1" hidden="1">'04'!$A$3:$M$12</definedName>
    <definedName name="_xlnm._FilterDatabase" localSheetId="2" hidden="1">'05'!$A$3:$M$12</definedName>
    <definedName name="_xlnm._FilterDatabase" localSheetId="3" hidden="1">'06'!$A$3:$M$12</definedName>
    <definedName name="_xlnm._FilterDatabase" localSheetId="4" hidden="1">'07'!$A$3:$M$12</definedName>
    <definedName name="_xlnm._FilterDatabase" localSheetId="5" hidden="1">'08'!$A$3:$M$12</definedName>
    <definedName name="_xlnm._FilterDatabase" localSheetId="6" hidden="1">'09'!$A$3:$M$12</definedName>
    <definedName name="_xlnm._FilterDatabase" localSheetId="7" hidden="1">'11'!$A$3:$M$12</definedName>
    <definedName name="_xlnm._FilterDatabase" localSheetId="8" hidden="1">'12'!$A$3:$M$12</definedName>
    <definedName name="_xlnm._FilterDatabase" localSheetId="9" hidden="1">'13'!$A$3:$M$12</definedName>
    <definedName name="_xlnm._FilterDatabase" localSheetId="10" hidden="1">'14'!$A$3:$M$12</definedName>
    <definedName name="_xlnm._FilterDatabase" localSheetId="11" hidden="1">'15'!$A$3:$M$12</definedName>
    <definedName name="_xlnm._FilterDatabase" localSheetId="12" hidden="1">'16'!$A$3:$M$12</definedName>
    <definedName name="_xlnm._FilterDatabase" localSheetId="13" hidden="1">'18'!$A$3:$M$12</definedName>
    <definedName name="_xlnm._FilterDatabase" localSheetId="14" hidden="1">'19'!$A$3:$M$12</definedName>
    <definedName name="_xlnm._FilterDatabase" localSheetId="15" hidden="1">'20'!$A$3:$M$12</definedName>
    <definedName name="_xlnm._FilterDatabase" localSheetId="16" hidden="1">'21'!$A$3:$M$12</definedName>
    <definedName name="_xlnm._FilterDatabase" localSheetId="17" hidden="1">matriz!$A$3:$M$12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32" l="1"/>
  <c r="N6" i="32"/>
  <c r="O5" i="32"/>
  <c r="N5" i="32"/>
  <c r="O6" i="31" l="1"/>
  <c r="N6" i="31"/>
  <c r="O5" i="31"/>
  <c r="N5" i="31"/>
  <c r="O6" i="30" l="1"/>
  <c r="N6" i="30"/>
  <c r="O5" i="30"/>
  <c r="N5" i="30"/>
  <c r="O6" i="29" l="1"/>
  <c r="N6" i="29"/>
  <c r="O5" i="29"/>
  <c r="N5" i="29"/>
  <c r="O6" i="28" l="1"/>
  <c r="N6" i="28"/>
  <c r="O5" i="28"/>
  <c r="N5" i="28"/>
  <c r="O6" i="27" l="1"/>
  <c r="N6" i="27"/>
  <c r="O5" i="27"/>
  <c r="N5" i="27"/>
  <c r="O6" i="26" l="1"/>
  <c r="N6" i="26"/>
  <c r="O5" i="26"/>
  <c r="N5" i="26"/>
  <c r="O6" i="25" l="1"/>
  <c r="N6" i="25"/>
  <c r="O5" i="25"/>
  <c r="N5" i="25"/>
  <c r="O6" i="24" l="1"/>
  <c r="N6" i="24"/>
  <c r="O5" i="24"/>
  <c r="N5" i="24"/>
  <c r="O6" i="23" l="1"/>
  <c r="N6" i="23"/>
  <c r="O5" i="23"/>
  <c r="N5" i="23"/>
  <c r="O6" i="22" l="1"/>
  <c r="N6" i="22"/>
  <c r="O5" i="22"/>
  <c r="N5" i="22"/>
  <c r="O6" i="21" l="1"/>
  <c r="N6" i="21"/>
  <c r="O5" i="21"/>
  <c r="N5" i="21"/>
  <c r="O6" i="20" l="1"/>
  <c r="N6" i="20"/>
  <c r="O5" i="20"/>
  <c r="N5" i="20"/>
  <c r="O6" i="19"/>
  <c r="N6" i="19"/>
  <c r="O5" i="19"/>
  <c r="N5" i="19"/>
  <c r="O6" i="18" l="1"/>
  <c r="N6" i="18"/>
  <c r="O5" i="18"/>
  <c r="N5" i="18"/>
  <c r="O6" i="17" l="1"/>
  <c r="N6" i="17"/>
  <c r="O5" i="17"/>
  <c r="N5" i="17"/>
  <c r="O6" i="16" l="1"/>
  <c r="N6" i="16"/>
  <c r="O5" i="16"/>
  <c r="N5" i="16"/>
  <c r="O6" i="15"/>
  <c r="N6" i="15"/>
  <c r="O5" i="15"/>
  <c r="N5" i="15"/>
</calcChain>
</file>

<file path=xl/sharedStrings.xml><?xml version="1.0" encoding="utf-8"?>
<sst xmlns="http://schemas.openxmlformats.org/spreadsheetml/2006/main" count="437" uniqueCount="56">
  <si>
    <t>CARREFOUR 2º CARRO</t>
  </si>
  <si>
    <t>REDES / FILIAIS</t>
  </si>
  <si>
    <t>MOTORISTA</t>
  </si>
  <si>
    <t>PLACA</t>
  </si>
  <si>
    <t>SAIDA CD</t>
  </si>
  <si>
    <t>SAIDA LOJA</t>
  </si>
  <si>
    <t>CARREFOUR 1º CARRO</t>
  </si>
  <si>
    <t>Atacadão - Manilha</t>
  </si>
  <si>
    <r>
      <t xml:space="preserve">RELATÓRIO KPI - Atacadão
</t>
    </r>
    <r>
      <rPr>
        <b/>
        <sz val="20"/>
        <color theme="0"/>
        <rFont val="Arial"/>
        <family val="2"/>
      </rPr>
      <t>BENASSI</t>
    </r>
  </si>
  <si>
    <t>COD</t>
  </si>
  <si>
    <t xml:space="preserve">Atacadão - Belford Roxo </t>
  </si>
  <si>
    <t>TEMPO EM LOJA 1</t>
  </si>
  <si>
    <t>TEMPO EM LOJA 2</t>
  </si>
  <si>
    <t>CHD LOJA</t>
  </si>
  <si>
    <t xml:space="preserve">CHD LOJA </t>
  </si>
  <si>
    <t xml:space="preserve">DANIEL CAVALCANTE </t>
  </si>
  <si>
    <t>QSZ-9A20</t>
  </si>
  <si>
    <t>Atacadão - Belford Roxo ●</t>
  </si>
  <si>
    <t xml:space="preserve">JOSE ROBERTO </t>
  </si>
  <si>
    <t>TML-3B11</t>
  </si>
  <si>
    <t>WALLACE FERNANDES</t>
  </si>
  <si>
    <t>GBG-5C11</t>
  </si>
  <si>
    <t>CELSO</t>
  </si>
  <si>
    <t>TML-5I70</t>
  </si>
  <si>
    <t>CLAUDIO</t>
  </si>
  <si>
    <t>FKY8H51</t>
  </si>
  <si>
    <t>BRUNO</t>
  </si>
  <si>
    <t>UBF-5G33</t>
  </si>
  <si>
    <t xml:space="preserve">EDMARIO </t>
  </si>
  <si>
    <t>CUC-6J83</t>
  </si>
  <si>
    <t>JOSE M</t>
  </si>
  <si>
    <t>UBF-5G32</t>
  </si>
  <si>
    <t>LUCIANO MATIAS</t>
  </si>
  <si>
    <t>QSS-1E48</t>
  </si>
  <si>
    <t xml:space="preserve">WALTER REGIS </t>
  </si>
  <si>
    <t>UBO-0B68</t>
  </si>
  <si>
    <t xml:space="preserve">VICTOR LUIZ </t>
  </si>
  <si>
    <t>TJQ6J26</t>
  </si>
  <si>
    <t>RODRIGO</t>
  </si>
  <si>
    <t>QSO-8D04</t>
  </si>
  <si>
    <t>GABRIEL</t>
  </si>
  <si>
    <t>KPR-9E13</t>
  </si>
  <si>
    <t>NÃO</t>
  </si>
  <si>
    <t>FOI  AO</t>
  </si>
  <si>
    <t>CLIENTE</t>
  </si>
  <si>
    <t>CARLINHOS</t>
  </si>
  <si>
    <t>KMZ7057</t>
  </si>
  <si>
    <t>MAGACIEL</t>
  </si>
  <si>
    <t>KWV-7E89</t>
  </si>
  <si>
    <t>UBF-5G34</t>
  </si>
  <si>
    <t>SEM</t>
  </si>
  <si>
    <t>RASTREADOR</t>
  </si>
  <si>
    <t xml:space="preserve">ALLAN </t>
  </si>
  <si>
    <t>PVA1H61</t>
  </si>
  <si>
    <t xml:space="preserve">FELIPE DIEGO </t>
  </si>
  <si>
    <t>UGA-1D55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</si>
</sst>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theme="0"/>
      <name val="Arial"/>
      <family val="2"/>
    </font>
    <font>
      <u/>
      <sz val="18"/>
      <color theme="0"/>
      <name val="Arial"/>
      <family val="2"/>
    </font>
    <font>
      <sz val="18"/>
      <color theme="0"/>
      <name val="Arial"/>
      <family val="2"/>
    </font>
    <font>
      <b/>
      <sz val="18"/>
      <color theme="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1"/>
      <color theme="1"/>
      <name val="Calibri"/>
      <family val="2"/>
      <scheme val="minor"/>
    </font>
    <font>
      <b/>
      <sz val="16"/>
      <color theme="0"/>
      <name val="Arial Narrow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4" fillId="2" borderId="3" applyNumberFormat="0" applyFont="0" applyAlignment="0" applyProtection="0"/>
  </cellStyleXfs>
  <cellXfs count="31">
    <xf numFmtId="0" fontId="0" fillId="0" borderId="0" xfId="0"/>
    <xf numFmtId="0" fontId="5" fillId="0" borderId="0" xfId="1" applyFont="1" applyAlignment="1">
      <alignment horizontal="center"/>
    </xf>
    <xf numFmtId="0" fontId="11" fillId="0" borderId="0" xfId="0" applyFont="1"/>
    <xf numFmtId="164" fontId="0" fillId="0" borderId="0" xfId="0" applyNumberFormat="1"/>
    <xf numFmtId="0" fontId="4" fillId="0" borderId="0" xfId="1" applyFont="1" applyAlignment="1" applyProtection="1">
      <alignment horizontal="left"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3" fillId="0" borderId="0" xfId="1" applyFont="1" applyAlignment="1" applyProtection="1">
      <alignment horizontal="left" vertical="center"/>
      <protection locked="0"/>
    </xf>
    <xf numFmtId="164" fontId="5" fillId="0" borderId="0" xfId="1" applyNumberFormat="1" applyFont="1" applyAlignment="1">
      <alignment vertical="center"/>
    </xf>
    <xf numFmtId="0" fontId="12" fillId="4" borderId="0" xfId="1" applyFont="1" applyFill="1" applyAlignment="1">
      <alignment horizontal="centerContinuous" vertical="center" wrapText="1"/>
    </xf>
    <xf numFmtId="0" fontId="2" fillId="4" borderId="1" xfId="1" applyFont="1" applyFill="1" applyBorder="1" applyAlignment="1" applyProtection="1">
      <alignment horizontal="centerContinuous" vertical="center"/>
      <protection locked="0"/>
    </xf>
    <xf numFmtId="0" fontId="3" fillId="4" borderId="1" xfId="1" applyFont="1" applyFill="1" applyBorder="1" applyAlignment="1" applyProtection="1">
      <alignment horizontal="centerContinuous" vertical="center"/>
      <protection locked="0"/>
    </xf>
    <xf numFmtId="0" fontId="4" fillId="4" borderId="1" xfId="1" applyFont="1" applyFill="1" applyBorder="1" applyAlignment="1" applyProtection="1">
      <alignment horizontal="centerContinuous" vertical="center"/>
      <protection locked="0"/>
    </xf>
    <xf numFmtId="0" fontId="5" fillId="4" borderId="1" xfId="1" applyFont="1" applyFill="1" applyBorder="1" applyAlignment="1">
      <alignment horizontal="centerContinuous" vertical="center"/>
    </xf>
    <xf numFmtId="0" fontId="5" fillId="4" borderId="2" xfId="1" applyFont="1" applyFill="1" applyBorder="1" applyAlignment="1">
      <alignment horizontal="centerContinuous" vertical="center"/>
    </xf>
    <xf numFmtId="0" fontId="6" fillId="4" borderId="1" xfId="1" applyFont="1" applyFill="1" applyBorder="1" applyAlignment="1">
      <alignment horizontal="centerContinuous" vertical="center"/>
    </xf>
    <xf numFmtId="0" fontId="7" fillId="4" borderId="1" xfId="1" applyFont="1" applyFill="1" applyBorder="1" applyAlignment="1">
      <alignment horizontal="centerContinuous" vertical="center"/>
    </xf>
    <xf numFmtId="0" fontId="8" fillId="4" borderId="1" xfId="1" applyFont="1" applyFill="1" applyBorder="1" applyAlignment="1">
      <alignment horizontal="centerContinuous" vertical="center"/>
    </xf>
    <xf numFmtId="0" fontId="9" fillId="4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164" fontId="9" fillId="4" borderId="1" xfId="1" applyNumberFormat="1" applyFont="1" applyFill="1" applyBorder="1" applyAlignment="1">
      <alignment horizontal="center" vertical="center"/>
    </xf>
    <xf numFmtId="164" fontId="10" fillId="4" borderId="1" xfId="1" applyNumberFormat="1" applyFont="1" applyFill="1" applyBorder="1" applyAlignment="1">
      <alignment horizontal="center" vertical="center"/>
    </xf>
    <xf numFmtId="164" fontId="15" fillId="3" borderId="4" xfId="1" applyNumberFormat="1" applyFont="1" applyFill="1" applyBorder="1" applyAlignment="1">
      <alignment horizontal="center" vertical="center"/>
    </xf>
    <xf numFmtId="165" fontId="16" fillId="2" borderId="5" xfId="2" applyNumberFormat="1" applyFont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/>
    <xf numFmtId="0" fontId="16" fillId="2" borderId="3" xfId="2" applyFont="1" applyAlignment="1">
      <alignment horizontal="left" vertical="center"/>
    </xf>
    <xf numFmtId="164" fontId="5" fillId="4" borderId="1" xfId="1" applyNumberFormat="1" applyFont="1" applyFill="1" applyBorder="1" applyAlignment="1">
      <alignment horizontal="centerContinuous" vertical="center"/>
    </xf>
    <xf numFmtId="49" fontId="16" fillId="2" borderId="5" xfId="2" applyNumberFormat="1" applyFont="1" applyBorder="1" applyAlignment="1">
      <alignment horizontal="center" vertical="center"/>
    </xf>
  </cellXfs>
  <cellStyles count="3">
    <cellStyle name="Normal" xfId="0" builtinId="0"/>
    <cellStyle name="Normal 2 2 3 2" xfId="1" xr:uid="{07C4071E-19DE-4E87-9939-DEDAD7E9CD0B}"/>
    <cellStyle name="Nota" xfId="2" builtinId="10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60C863-CF44-4F70-B704-74B19E1EA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2D049C-2EC0-4356-856E-B8CE253D3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A1E508-1964-40EF-8291-546BB7840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39FDF9F-DED0-4535-A1F0-58B8667E0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210270-F48C-499B-9B17-D833D4EA9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C0290D-D8F5-4985-B71B-E08D55B5D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9FEC9E-D726-4755-8D1C-E91D70764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42A49C6-355F-4697-8114-D0D114F21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233C03-38CB-45B6-A932-427A2391A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5259725-386D-4A5A-9BF3-D7C9DC83D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6E0426-F179-44E9-9C36-336EC9028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7A5DE9-C72F-4130-A199-5C61DF014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E2CCF0-552D-4B5D-BD5D-85F4B3C04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898937-A815-4027-983F-B2CEB955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9F7D83-7161-4CCE-BFFE-F33A62BA1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6FFC53-FA6B-4865-8951-D50E9E207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A83B9B-0BFF-494D-BA69-DBD1F6022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FF3A733-F9FF-4D3E-97B9-9782CA736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9C2398-C963-4D38-AA57-819472461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493746-B822-4A43-8F88-D018A103F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25C4E5-2AAE-4D31-96F5-3E60BBF78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BCCE94-DD16-4E98-960A-028AC65C9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F5BF10-56C4-4295-8F52-BB6D80FD2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283ED09-A344-4A6D-B0C2-299910197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9BD1E6-1325-4228-9C96-6B103601B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CC62C8D-6D94-4254-897E-D410A9B5B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8FA56D-9B1C-4FD6-8EF4-BD3506EE4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CA6B78-9CB2-463D-AC06-021B6DA0B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967B66-64E9-4908-9C75-BC21F80C7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70607B7-6C9C-4520-9F43-188819E5D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063714-5A3D-46B9-B845-AF9A5F44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F7A74A-1267-4DF0-8B88-6CFED0F82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A71B2B-6621-4A1A-9325-320953414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ACAE2B-8D2D-4146-90C0-E66CA37F0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90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0</xdr:col>
      <xdr:colOff>1665674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3C1B1E4-2822-4F52-99B7-17E7E1BD5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3202</xdr:colOff>
      <xdr:row>0</xdr:row>
      <xdr:rowOff>0</xdr:rowOff>
    </xdr:from>
    <xdr:to>
      <xdr:col>14</xdr:col>
      <xdr:colOff>1426349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D287C34-DFED-4965-958B-1EB39FD0D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33166" y="0"/>
          <a:ext cx="1423147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277F-F646-4C71-A3A9-B4849CD29BBD}">
  <dimension ref="A1:O23"/>
  <sheetViews>
    <sheetView showGridLines="0" zoomScale="70" zoomScaleNormal="70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0.18055555555555555</v>
      </c>
      <c r="F5" s="25">
        <v>0.2048611111111111</v>
      </c>
      <c r="G5" s="25">
        <v>0.28472222222222221</v>
      </c>
      <c r="H5" s="30"/>
      <c r="I5" s="30"/>
      <c r="J5" s="30"/>
      <c r="K5" s="25"/>
      <c r="L5" s="25"/>
      <c r="M5" s="25"/>
      <c r="N5" s="25">
        <f>MOD(G5-F5, 1)</f>
        <v>7.9861111111111105E-2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18</v>
      </c>
      <c r="C6" s="30">
        <v>353</v>
      </c>
      <c r="D6" s="30" t="s">
        <v>19</v>
      </c>
      <c r="E6" s="25">
        <v>0.23958333333333334</v>
      </c>
      <c r="F6" s="25">
        <v>0.25347222222222221</v>
      </c>
      <c r="G6" s="25">
        <v>0.28819444444444442</v>
      </c>
      <c r="H6" s="30"/>
      <c r="I6" s="30"/>
      <c r="J6" s="30"/>
      <c r="K6" s="25"/>
      <c r="L6" s="25"/>
      <c r="M6" s="25"/>
      <c r="N6" s="25">
        <f t="shared" ref="N6" si="0">MOD(G6-F6, 1)</f>
        <v>3.472222222222221E-2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5465-2D71-4482-8E86-9D387BB3F7C5}">
  <dimension ref="A1:O23"/>
  <sheetViews>
    <sheetView showGridLines="0" zoomScale="55" zoomScaleNormal="55" workbookViewId="0">
      <pane ySplit="3" topLeftCell="A4" activePane="bottomLeft" state="frozen"/>
      <selection pane="bottomLeft" activeCell="D18" sqref="D18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0.18055555555555555</v>
      </c>
      <c r="F5" s="25">
        <v>0.2638888888888889</v>
      </c>
      <c r="G5" s="25">
        <v>0.41666666666666669</v>
      </c>
      <c r="H5" s="30"/>
      <c r="I5" s="30"/>
      <c r="J5" s="30"/>
      <c r="K5" s="25"/>
      <c r="L5" s="25"/>
      <c r="M5" s="25"/>
      <c r="N5" s="25">
        <f>MOD(G5-F5, 1)</f>
        <v>0.15277777777777779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20</v>
      </c>
      <c r="C6" s="30">
        <v>294</v>
      </c>
      <c r="D6" s="30" t="s">
        <v>21</v>
      </c>
      <c r="E6" s="25">
        <v>0.23958333333333334</v>
      </c>
      <c r="F6" s="25">
        <v>0.25347222222222221</v>
      </c>
      <c r="G6" s="25">
        <v>0.2986111111111111</v>
      </c>
      <c r="H6" s="30"/>
      <c r="I6" s="30"/>
      <c r="J6" s="30"/>
      <c r="K6" s="25"/>
      <c r="L6" s="25"/>
      <c r="M6" s="25"/>
      <c r="N6" s="25">
        <f t="shared" ref="N6" si="0">MOD(G6-F6, 1)</f>
        <v>4.5138888888888895E-2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5:O6">
    <cfRule type="cellIs" dxfId="1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3631-DCE4-4E61-A8B6-A4515CCB209B}">
  <dimension ref="A1:O23"/>
  <sheetViews>
    <sheetView showGridLines="0" zoomScale="55" zoomScaleNormal="55" workbookViewId="0">
      <pane ySplit="3" topLeftCell="A4" activePane="bottomLeft" state="frozen"/>
      <selection pane="bottomLeft" activeCell="D14" sqref="D14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0.18402777777777779</v>
      </c>
      <c r="F5" s="25">
        <v>0.2638888888888889</v>
      </c>
      <c r="G5" s="25">
        <v>0.41666666666666669</v>
      </c>
      <c r="H5" s="30"/>
      <c r="I5" s="30"/>
      <c r="J5" s="30"/>
      <c r="K5" s="25"/>
      <c r="L5" s="25"/>
      <c r="M5" s="25"/>
      <c r="N5" s="25">
        <f>MOD(G5-F5, 1)</f>
        <v>0.15277777777777779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22</v>
      </c>
      <c r="C6" s="30">
        <v>353</v>
      </c>
      <c r="D6" s="30" t="s">
        <v>23</v>
      </c>
      <c r="E6" s="25">
        <v>0.2326388888888889</v>
      </c>
      <c r="F6" s="25">
        <v>0.24652777777777779</v>
      </c>
      <c r="G6" s="25">
        <v>0.27083333333333331</v>
      </c>
      <c r="H6" s="30"/>
      <c r="I6" s="30"/>
      <c r="J6" s="30"/>
      <c r="K6" s="25"/>
      <c r="L6" s="25"/>
      <c r="M6" s="25"/>
      <c r="N6" s="25">
        <f t="shared" ref="N6" si="0">MOD(G6-F6, 1)</f>
        <v>2.4305555555555525E-2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5933-3C8E-4025-A612-4EB9E617B060}">
  <dimension ref="A1:O23"/>
  <sheetViews>
    <sheetView showGridLines="0" topLeftCell="B1" zoomScale="55" zoomScaleNormal="55" workbookViewId="0">
      <pane ySplit="3" topLeftCell="A4" activePane="bottomLeft" state="frozen"/>
      <selection pane="bottomLeft" activeCell="D13" sqref="D13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0.1736111111111111</v>
      </c>
      <c r="F5" s="25">
        <v>0.2673611111111111</v>
      </c>
      <c r="G5" s="25">
        <v>0.41319444444444442</v>
      </c>
      <c r="H5" s="30"/>
      <c r="I5" s="30"/>
      <c r="J5" s="30"/>
      <c r="K5" s="25"/>
      <c r="L5" s="25"/>
      <c r="M5" s="25"/>
      <c r="N5" s="25">
        <f>MOD(G5-F5, 1)</f>
        <v>0.14583333333333331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24</v>
      </c>
      <c r="C6" s="30">
        <v>353</v>
      </c>
      <c r="D6" s="30" t="s">
        <v>25</v>
      </c>
      <c r="E6" s="25">
        <v>0.20833333333333334</v>
      </c>
      <c r="F6" s="25">
        <v>0.21875</v>
      </c>
      <c r="G6" s="25">
        <v>0.25694444444444442</v>
      </c>
      <c r="H6" s="30"/>
      <c r="I6" s="30"/>
      <c r="J6" s="30"/>
      <c r="K6" s="25"/>
      <c r="L6" s="25"/>
      <c r="M6" s="25"/>
      <c r="N6" s="25">
        <f t="shared" ref="N6" si="0">MOD(G6-F6, 1)</f>
        <v>3.819444444444442E-2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107D-CF77-4C8A-A3B8-8772BC4A7A96}">
  <dimension ref="A1:O23"/>
  <sheetViews>
    <sheetView showGridLines="0" zoomScale="70" zoomScaleNormal="70" workbookViewId="0">
      <pane ySplit="3" topLeftCell="A4" activePane="bottomLeft" state="frozen"/>
      <selection pane="bottomLeft" activeCell="E13" sqref="E13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0.18402777777777779</v>
      </c>
      <c r="F5" s="25">
        <v>0.27083333333333331</v>
      </c>
      <c r="G5" s="25">
        <v>0.41666666666666669</v>
      </c>
      <c r="H5" s="30"/>
      <c r="I5" s="30"/>
      <c r="J5" s="30"/>
      <c r="K5" s="25"/>
      <c r="L5" s="25"/>
      <c r="M5" s="25"/>
      <c r="N5" s="25">
        <f>MOD(G5-F5, 1)</f>
        <v>0.14583333333333337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20</v>
      </c>
      <c r="C6" s="30">
        <v>294</v>
      </c>
      <c r="D6" s="30" t="s">
        <v>21</v>
      </c>
      <c r="E6" s="25">
        <v>0.24652777777777779</v>
      </c>
      <c r="F6" s="25">
        <v>0.2638888888888889</v>
      </c>
      <c r="G6" s="25">
        <v>0.29166666666666669</v>
      </c>
      <c r="H6" s="30"/>
      <c r="I6" s="30"/>
      <c r="J6" s="30"/>
      <c r="K6" s="25"/>
      <c r="L6" s="25"/>
      <c r="M6" s="25"/>
      <c r="N6" s="25">
        <f t="shared" ref="N6" si="0">MOD(G6-F6, 1)</f>
        <v>2.777777777777779E-2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4AA9-3BCD-444B-8A08-B90E57DE2ACA}">
  <dimension ref="A1:O23"/>
  <sheetViews>
    <sheetView showGridLines="0" zoomScale="55" zoomScaleNormal="55" workbookViewId="0">
      <pane ySplit="3" topLeftCell="A4" activePane="bottomLeft" state="frozen"/>
      <selection pane="bottomLeft" activeCell="N25" sqref="N25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0.17708333333333334</v>
      </c>
      <c r="F5" s="25">
        <v>0.2638888888888889</v>
      </c>
      <c r="G5" s="25">
        <v>0.4201388888888889</v>
      </c>
      <c r="H5" s="30"/>
      <c r="I5" s="30"/>
      <c r="J5" s="30"/>
      <c r="K5" s="25"/>
      <c r="L5" s="25"/>
      <c r="M5" s="25"/>
      <c r="N5" s="25">
        <f>MOD(G5-F5, 1)</f>
        <v>0.15625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26</v>
      </c>
      <c r="C6" s="30">
        <v>353</v>
      </c>
      <c r="D6" s="30" t="s">
        <v>27</v>
      </c>
      <c r="E6" s="25">
        <v>0.2361111111111111</v>
      </c>
      <c r="F6" s="25">
        <v>0.25</v>
      </c>
      <c r="G6" s="25">
        <v>0.29166666666666669</v>
      </c>
      <c r="H6" s="30"/>
      <c r="I6" s="30"/>
      <c r="J6" s="30"/>
      <c r="K6" s="25"/>
      <c r="L6" s="25"/>
      <c r="M6" s="25"/>
      <c r="N6" s="25">
        <f t="shared" ref="N6" si="0">MOD(G6-F6, 1)</f>
        <v>4.1666666666666685E-2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7D76-D52D-4BC2-9501-7D1BCC8B78AC}">
  <dimension ref="A1:O23"/>
  <sheetViews>
    <sheetView showGridLines="0" topLeftCell="F1" zoomScale="70" zoomScaleNormal="70" workbookViewId="0">
      <pane ySplit="3" topLeftCell="A4" activePane="bottomLeft" state="frozen"/>
      <selection pane="bottomLeft" activeCell="M6" sqref="M6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customWidth="1"/>
    <col min="8" max="8" width="26.42578125" bestFit="1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22.5703125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0.1736111111111111</v>
      </c>
      <c r="F5" s="25">
        <v>0.2013888888888889</v>
      </c>
      <c r="G5" s="25">
        <v>0.2673611111111111</v>
      </c>
      <c r="H5" s="25" t="s">
        <v>26</v>
      </c>
      <c r="I5" s="30">
        <v>353</v>
      </c>
      <c r="J5" s="25" t="s">
        <v>27</v>
      </c>
      <c r="K5" s="25">
        <v>0.2013888888888889</v>
      </c>
      <c r="L5" s="25">
        <v>0.2638888888888889</v>
      </c>
      <c r="M5" s="25">
        <v>0.28125</v>
      </c>
      <c r="N5" s="25">
        <f>MOD(G5-F5, 1)</f>
        <v>6.597222222222221E-2</v>
      </c>
      <c r="O5" s="25">
        <f>MOD(M5-L5, 1)</f>
        <v>1.7361111111111105E-2</v>
      </c>
    </row>
    <row r="6" spans="1:15" s="2" customFormat="1" ht="23.25" customHeight="1" x14ac:dyDescent="0.25">
      <c r="A6" s="28" t="s">
        <v>17</v>
      </c>
      <c r="B6" s="30" t="s">
        <v>28</v>
      </c>
      <c r="C6" s="30">
        <v>353</v>
      </c>
      <c r="D6" s="30" t="s">
        <v>29</v>
      </c>
      <c r="E6" s="25">
        <v>0.22569444444444445</v>
      </c>
      <c r="F6" s="25">
        <v>0.25347222222222221</v>
      </c>
      <c r="G6" s="25">
        <v>0.28125</v>
      </c>
      <c r="H6" s="30"/>
      <c r="I6" s="30"/>
      <c r="J6" s="30"/>
      <c r="K6" s="25"/>
      <c r="L6" s="25"/>
      <c r="M6" s="25"/>
      <c r="N6" s="25">
        <f t="shared" ref="N6" si="0">MOD(G6-F6, 1)</f>
        <v>2.777777777777779E-2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C57E-B112-434E-AF22-1FC0DAFE005B}">
  <dimension ref="A1:O23"/>
  <sheetViews>
    <sheetView showGridLines="0" zoomScale="70" zoomScaleNormal="70" workbookViewId="0">
      <pane ySplit="3" topLeftCell="A4" activePane="bottomLeft" state="frozen"/>
      <selection pane="bottomLeft" activeCell="F9" sqref="F9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15</v>
      </c>
      <c r="C5" s="30">
        <v>353</v>
      </c>
      <c r="D5" s="30" t="s">
        <v>16</v>
      </c>
      <c r="E5" s="25">
        <v>0.20833333333333334</v>
      </c>
      <c r="F5" s="25">
        <v>0.24305555555555555</v>
      </c>
      <c r="G5" s="25">
        <v>0.41666666666666669</v>
      </c>
      <c r="H5" s="30"/>
      <c r="I5" s="30"/>
      <c r="J5" s="30"/>
      <c r="K5" s="25"/>
      <c r="L5" s="25"/>
      <c r="M5" s="25"/>
      <c r="N5" s="25">
        <f>MOD(G5-F5, 1)</f>
        <v>0.17361111111111113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30</v>
      </c>
      <c r="C6" s="30">
        <v>353</v>
      </c>
      <c r="D6" s="30" t="s">
        <v>31</v>
      </c>
      <c r="E6" s="25">
        <v>0.2013888888888889</v>
      </c>
      <c r="F6" s="25">
        <v>0.21527777777777779</v>
      </c>
      <c r="G6" s="25">
        <v>0.28125</v>
      </c>
      <c r="H6" s="30"/>
      <c r="I6" s="30"/>
      <c r="J6" s="30"/>
      <c r="K6" s="25"/>
      <c r="L6" s="25"/>
      <c r="M6" s="25"/>
      <c r="N6" s="25">
        <f t="shared" ref="N6" si="0">MOD(G6-F6, 1)</f>
        <v>6.597222222222221E-2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3E8E-5240-40AC-A3D2-8E883BFE82A2}">
  <dimension ref="A1:O23"/>
  <sheetViews>
    <sheetView showGridLines="0" zoomScale="70" zoomScaleNormal="70" workbookViewId="0">
      <pane ySplit="3" topLeftCell="A4" activePane="bottomLeft" state="frozen"/>
      <selection pane="bottomLeft" activeCell="D19" activeCellId="1" sqref="G7 D19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0.1701388888888889</v>
      </c>
      <c r="F5" s="25">
        <v>0.2013888888888889</v>
      </c>
      <c r="G5" s="25">
        <v>0.42708333333333331</v>
      </c>
      <c r="H5" s="30"/>
      <c r="I5" s="30"/>
      <c r="J5" s="30"/>
      <c r="K5" s="25"/>
      <c r="L5" s="25"/>
      <c r="M5" s="25"/>
      <c r="N5" s="25">
        <f>MOD(G5-F5, 1)</f>
        <v>0.22569444444444442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34</v>
      </c>
      <c r="C6" s="30">
        <v>353</v>
      </c>
      <c r="D6" s="30" t="s">
        <v>35</v>
      </c>
      <c r="E6" s="25">
        <v>0.25694444444444442</v>
      </c>
      <c r="F6" s="25">
        <v>0.27083333333333331</v>
      </c>
      <c r="G6" s="25">
        <v>0.28472222222222221</v>
      </c>
      <c r="H6" s="30"/>
      <c r="I6" s="30"/>
      <c r="J6" s="30"/>
      <c r="K6" s="25"/>
      <c r="L6" s="25"/>
      <c r="M6" s="25"/>
      <c r="N6" s="25">
        <f t="shared" ref="N6" si="0">MOD(G6-F6, 1)</f>
        <v>1.3888888888888895E-2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84C9-0376-4D68-9F6B-E2D685FDBCFC}">
  <dimension ref="A1:O23"/>
  <sheetViews>
    <sheetView showGridLines="0" zoomScale="55" zoomScaleNormal="55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0.1701388888888889</v>
      </c>
      <c r="F5" s="25">
        <v>0.2013888888888889</v>
      </c>
      <c r="G5" s="25">
        <v>0.2638888888888889</v>
      </c>
      <c r="H5" s="30"/>
      <c r="I5" s="30"/>
      <c r="J5" s="30"/>
      <c r="K5" s="25"/>
      <c r="L5" s="25"/>
      <c r="M5" s="25"/>
      <c r="N5" s="25">
        <f>MOD(G5-F5, 1)</f>
        <v>6.25E-2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20</v>
      </c>
      <c r="C6" s="30">
        <v>294</v>
      </c>
      <c r="D6" s="30" t="s">
        <v>21</v>
      </c>
      <c r="E6" s="25">
        <v>0.24305555555555555</v>
      </c>
      <c r="F6" s="25">
        <v>0.25694444444444442</v>
      </c>
      <c r="G6" s="25">
        <v>0.28819444444444442</v>
      </c>
      <c r="H6" s="30"/>
      <c r="I6" s="30"/>
      <c r="J6" s="30"/>
      <c r="K6" s="25"/>
      <c r="L6" s="25"/>
      <c r="M6" s="25"/>
      <c r="N6" s="25">
        <f t="shared" ref="N6" si="0">MOD(G6-F6, 1)</f>
        <v>3.125E-2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7FC8-2E18-4674-AC2F-80F7A1BE814C}">
  <dimension ref="A1:O23"/>
  <sheetViews>
    <sheetView showGridLines="0" zoomScale="70" zoomScaleNormal="70" workbookViewId="0">
      <pane ySplit="3" topLeftCell="A4" activePane="bottomLeft" state="frozen"/>
      <selection pane="bottomLeft" activeCell="F6" sqref="F6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0.17708333333333334</v>
      </c>
      <c r="F5" s="25">
        <v>0.23958333333333334</v>
      </c>
      <c r="G5" s="25">
        <v>0.4236111111111111</v>
      </c>
      <c r="H5" s="30"/>
      <c r="I5" s="30"/>
      <c r="J5" s="30"/>
      <c r="K5" s="25"/>
      <c r="L5" s="25"/>
      <c r="M5" s="25"/>
      <c r="N5" s="25">
        <f>MOD(G5-F5, 1)</f>
        <v>0.18402777777777776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36</v>
      </c>
      <c r="C6" s="30">
        <v>353</v>
      </c>
      <c r="D6" s="30" t="s">
        <v>37</v>
      </c>
      <c r="E6" s="25">
        <v>0.19791666666666666</v>
      </c>
      <c r="F6" s="25">
        <v>0.20833333333333334</v>
      </c>
      <c r="G6" s="25">
        <v>0.27430555555555558</v>
      </c>
      <c r="H6" s="30"/>
      <c r="I6" s="30"/>
      <c r="J6" s="30"/>
      <c r="K6" s="25"/>
      <c r="L6" s="25"/>
      <c r="M6" s="25"/>
      <c r="N6" s="25">
        <f t="shared" ref="N6" si="0">MOD(G6-F6, 1)</f>
        <v>6.5972222222222238E-2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B7E8-380F-4EEA-9460-10277D442637}">
  <dimension ref="A1:O23"/>
  <sheetViews>
    <sheetView showGridLines="0" zoomScale="55" zoomScaleNormal="55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0.1875</v>
      </c>
      <c r="F5" s="25">
        <v>0.25694444444444442</v>
      </c>
      <c r="G5" s="25">
        <v>0.43055555555555558</v>
      </c>
      <c r="H5" s="30"/>
      <c r="I5" s="30"/>
      <c r="J5" s="30"/>
      <c r="K5" s="25"/>
      <c r="L5" s="25"/>
      <c r="M5" s="25"/>
      <c r="N5" s="25">
        <f>MOD(G5-F5, 1)</f>
        <v>0.17361111111111116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38</v>
      </c>
      <c r="C6" s="30">
        <v>353</v>
      </c>
      <c r="D6" s="30" t="s">
        <v>39</v>
      </c>
      <c r="E6" s="25">
        <v>0.19791666666666666</v>
      </c>
      <c r="F6" s="25">
        <v>0.20833333333333334</v>
      </c>
      <c r="G6" s="25">
        <v>0.3298611111111111</v>
      </c>
      <c r="H6" s="30"/>
      <c r="I6" s="30"/>
      <c r="J6" s="30"/>
      <c r="K6" s="25"/>
      <c r="L6" s="25"/>
      <c r="M6" s="25"/>
      <c r="N6" s="25">
        <f t="shared" ref="N6" si="0">MOD(G6-F6, 1)</f>
        <v>0.12152777777777776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03E3-64A9-48B6-98B8-9575001A93DA}">
  <dimension ref="A1:O23"/>
  <sheetViews>
    <sheetView showGridLines="0" topLeftCell="G1" zoomScale="70" zoomScaleNormal="70" workbookViewId="0">
      <pane ySplit="3" topLeftCell="A4" activePane="bottomLeft" state="frozen"/>
      <selection pane="bottomLeft" activeCell="K7" sqref="K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0.1701388888888889</v>
      </c>
      <c r="F5" s="25">
        <v>0.19791666666666666</v>
      </c>
      <c r="G5" s="25">
        <v>0.25347222222222221</v>
      </c>
      <c r="H5" s="30"/>
      <c r="I5" s="30"/>
      <c r="J5" s="30"/>
      <c r="K5" s="25"/>
      <c r="L5" s="25"/>
      <c r="M5" s="25"/>
      <c r="N5" s="25">
        <f>MOD(G5-F5, 1)</f>
        <v>5.5555555555555552E-2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26</v>
      </c>
      <c r="C6" s="30">
        <v>353</v>
      </c>
      <c r="D6" s="30" t="s">
        <v>27</v>
      </c>
      <c r="E6" s="25">
        <v>0.21527777777777779</v>
      </c>
      <c r="F6" s="25">
        <v>0.22916666666666666</v>
      </c>
      <c r="G6" s="25">
        <v>0.27430555555555558</v>
      </c>
      <c r="H6" s="25" t="s">
        <v>40</v>
      </c>
      <c r="I6" s="25">
        <v>832</v>
      </c>
      <c r="J6" s="25" t="s">
        <v>41</v>
      </c>
      <c r="K6" s="25" t="s">
        <v>42</v>
      </c>
      <c r="L6" s="25" t="s">
        <v>43</v>
      </c>
      <c r="M6" s="25" t="s">
        <v>44</v>
      </c>
      <c r="N6" s="25">
        <f t="shared" ref="N6" si="0">MOD(G6-F6, 1)</f>
        <v>4.5138888888888923E-2</v>
      </c>
      <c r="O6" s="25" t="e">
        <f t="shared" ref="O6" si="1">MOD(M6-L6, 1)</f>
        <v>#VALUE!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696E-1EBF-4358-99E6-F65409BFB89F}">
  <dimension ref="A1:O23"/>
  <sheetViews>
    <sheetView showGridLines="0" zoomScale="70" zoomScaleNormal="70" workbookViewId="0">
      <pane ySplit="3" topLeftCell="A4" activePane="bottomLeft" state="frozen"/>
      <selection pane="bottomLeft" activeCell="G11" activeCellId="1" sqref="G7 G11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45</v>
      </c>
      <c r="C5" s="30">
        <v>15</v>
      </c>
      <c r="D5" s="30" t="s">
        <v>46</v>
      </c>
      <c r="E5" s="25">
        <v>0.18055555555555555</v>
      </c>
      <c r="F5" s="25">
        <v>0.27083333333333331</v>
      </c>
      <c r="G5" s="25">
        <v>0.4201388888888889</v>
      </c>
      <c r="H5" s="30"/>
      <c r="I5" s="30"/>
      <c r="J5" s="30"/>
      <c r="K5" s="25"/>
      <c r="L5" s="25"/>
      <c r="M5" s="25"/>
      <c r="N5" s="25">
        <f>MOD(G5-F5, 1)</f>
        <v>0.14930555555555558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47</v>
      </c>
      <c r="C6" s="30">
        <v>530</v>
      </c>
      <c r="D6" s="30" t="s">
        <v>48</v>
      </c>
      <c r="E6" s="25">
        <v>0.22222222222222221</v>
      </c>
      <c r="F6" s="25">
        <v>0.2638888888888889</v>
      </c>
      <c r="G6" s="25">
        <v>0.27777777777777779</v>
      </c>
      <c r="H6" s="30"/>
      <c r="I6" s="30"/>
      <c r="J6" s="30"/>
      <c r="K6" s="25"/>
      <c r="L6" s="25"/>
      <c r="M6" s="25"/>
      <c r="N6" s="25">
        <f t="shared" ref="N6" si="0">MOD(G6-F6, 1)</f>
        <v>1.3888888888888895E-2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D2D6-8A82-40B1-B196-042AC380A9A0}">
  <dimension ref="A1:O23"/>
  <sheetViews>
    <sheetView showGridLines="0" zoomScale="55" zoomScaleNormal="55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0.2013888888888889</v>
      </c>
      <c r="F5" s="25">
        <v>0.24652777777777779</v>
      </c>
      <c r="G5" s="25">
        <v>0.43055555555555558</v>
      </c>
      <c r="H5" s="30"/>
      <c r="I5" s="30"/>
      <c r="J5" s="30"/>
      <c r="K5" s="25"/>
      <c r="L5" s="25"/>
      <c r="M5" s="25"/>
      <c r="N5" s="25">
        <f>MOD(G5-F5, 1)</f>
        <v>0.18402777777777779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38</v>
      </c>
      <c r="C6" s="30">
        <v>353</v>
      </c>
      <c r="D6" s="30" t="s">
        <v>49</v>
      </c>
      <c r="E6" s="25" t="s">
        <v>50</v>
      </c>
      <c r="F6" s="25" t="s">
        <v>51</v>
      </c>
      <c r="G6" s="25"/>
      <c r="H6" s="30"/>
      <c r="I6" s="30"/>
      <c r="J6" s="30"/>
      <c r="K6" s="25"/>
      <c r="L6" s="25"/>
      <c r="M6" s="25"/>
      <c r="N6" s="25" t="e">
        <f t="shared" ref="N6" si="0">MOD(G6-F6, 1)</f>
        <v>#VALUE!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1B4A-A7E6-4BDF-A11A-A0511E3C691E}">
  <dimension ref="A1:O23"/>
  <sheetViews>
    <sheetView showGridLines="0" zoomScale="55" zoomScaleNormal="55" workbookViewId="0">
      <pane ySplit="3" topLeftCell="A4" activePane="bottomLeft" state="frozen"/>
      <selection pane="bottomLeft" activeCell="E23" sqref="E23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hidden="1" customWidth="1"/>
    <col min="9" max="9" width="14.85546875" hidden="1" customWidth="1"/>
    <col min="10" max="10" width="17.42578125" hidden="1" customWidth="1"/>
    <col min="11" max="11" width="22.140625" hidden="1" customWidth="1"/>
    <col min="12" max="12" width="31" hidden="1" customWidth="1"/>
    <col min="13" max="13" width="25.42578125" hidden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0.18055555555555555</v>
      </c>
      <c r="F5" s="25">
        <v>0.2673611111111111</v>
      </c>
      <c r="G5" s="25">
        <v>0.4236111111111111</v>
      </c>
      <c r="H5" s="30"/>
      <c r="I5" s="30"/>
      <c r="J5" s="30"/>
      <c r="K5" s="25"/>
      <c r="L5" s="25"/>
      <c r="M5" s="25"/>
      <c r="N5" s="25">
        <f>MOD(G5-F5, 1)</f>
        <v>0.15625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52</v>
      </c>
      <c r="C6" s="30">
        <v>294</v>
      </c>
      <c r="D6" s="30" t="s">
        <v>53</v>
      </c>
      <c r="E6" s="25">
        <v>0.19097222222222221</v>
      </c>
      <c r="F6" s="25">
        <v>0.2013888888888889</v>
      </c>
      <c r="G6" s="25">
        <v>0.28819444444444442</v>
      </c>
      <c r="H6" s="30"/>
      <c r="I6" s="30"/>
      <c r="J6" s="30"/>
      <c r="K6" s="25"/>
      <c r="L6" s="25"/>
      <c r="M6" s="25"/>
      <c r="N6" s="25">
        <f t="shared" ref="N6" si="0">MOD(G6-F6, 1)</f>
        <v>8.6805555555555525E-2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D842-94F6-49FA-B9A3-A21145EE02FF}">
  <dimension ref="A1:O23"/>
  <sheetViews>
    <sheetView showGridLines="0" tabSelected="1" zoomScale="70" zoomScaleNormal="70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 t="s">
        <v>32</v>
      </c>
      <c r="C5" s="30">
        <v>353</v>
      </c>
      <c r="D5" s="30" t="s">
        <v>33</v>
      </c>
      <c r="E5" s="25">
        <v>0.19097222222222221</v>
      </c>
      <c r="F5" s="25">
        <v>0.25347222222222221</v>
      </c>
      <c r="G5" s="25">
        <v>0.41319444444444442</v>
      </c>
      <c r="H5" s="30"/>
      <c r="I5" s="30"/>
      <c r="J5" s="30"/>
      <c r="K5" s="25"/>
      <c r="L5" s="25"/>
      <c r="M5" s="25"/>
      <c r="N5" s="25">
        <f>MOD(G5-F5, 1)</f>
        <v>0.15972222222222221</v>
      </c>
      <c r="O5" s="25">
        <f>MOD(M5-L5, 1)</f>
        <v>0</v>
      </c>
    </row>
    <row r="6" spans="1:15" s="2" customFormat="1" ht="23.25" customHeight="1" x14ac:dyDescent="0.25">
      <c r="A6" s="28" t="s">
        <v>17</v>
      </c>
      <c r="B6" s="30" t="s">
        <v>54</v>
      </c>
      <c r="C6" s="30">
        <v>353</v>
      </c>
      <c r="D6" s="30" t="s">
        <v>55</v>
      </c>
      <c r="E6" s="25">
        <v>0.17708333333333334</v>
      </c>
      <c r="F6" s="25">
        <v>0.1875</v>
      </c>
      <c r="G6" s="25">
        <v>0.2673611111111111</v>
      </c>
      <c r="H6" s="30"/>
      <c r="I6" s="30"/>
      <c r="J6" s="30"/>
      <c r="K6" s="25"/>
      <c r="L6" s="25"/>
      <c r="M6" s="25"/>
      <c r="N6" s="25">
        <f t="shared" ref="N6" si="0">MOD(G6-F6, 1)</f>
        <v>7.9861111111111105E-2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7E5C-8D24-487E-BC17-3EFF92168BB3}">
  <dimension ref="A1:O23"/>
  <sheetViews>
    <sheetView showGridLines="0" topLeftCell="D1" zoomScale="70" zoomScaleNormal="70" workbookViewId="0">
      <pane ySplit="3" topLeftCell="A4" activePane="bottomLeft" state="frozen"/>
      <selection pane="bottomLeft" activeCell="N4" sqref="N4:O7"/>
    </sheetView>
  </sheetViews>
  <sheetFormatPr defaultRowHeight="15" x14ac:dyDescent="0.25"/>
  <cols>
    <col min="1" max="1" width="37.5703125" bestFit="1" customWidth="1"/>
    <col min="2" max="2" width="26.42578125" bestFit="1" customWidth="1"/>
    <col min="3" max="3" width="14.85546875" bestFit="1" customWidth="1"/>
    <col min="4" max="4" width="17.42578125" bestFit="1" customWidth="1"/>
    <col min="5" max="5" width="22.140625" style="3" bestFit="1" customWidth="1"/>
    <col min="6" max="6" width="23.5703125" bestFit="1" customWidth="1"/>
    <col min="7" max="7" width="25.42578125" bestFit="1" customWidth="1"/>
    <col min="8" max="8" width="26.42578125" customWidth="1"/>
    <col min="9" max="9" width="14.85546875" bestFit="1" customWidth="1"/>
    <col min="10" max="10" width="17.42578125" bestFit="1" customWidth="1"/>
    <col min="11" max="11" width="22.140625" bestFit="1" customWidth="1"/>
    <col min="12" max="12" width="31" bestFit="1" customWidth="1"/>
    <col min="13" max="13" width="25.42578125" bestFit="1" customWidth="1"/>
    <col min="14" max="15" width="25" bestFit="1" customWidth="1"/>
  </cols>
  <sheetData>
    <row r="1" spans="1:15" ht="86.25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6"/>
      <c r="O1" s="26"/>
    </row>
    <row r="2" spans="1:15" ht="23.25" x14ac:dyDescent="0.25">
      <c r="A2" s="12" t="s">
        <v>6</v>
      </c>
      <c r="B2" s="13"/>
      <c r="C2" s="13"/>
      <c r="D2" s="14"/>
      <c r="E2" s="29"/>
      <c r="F2" s="15"/>
      <c r="G2" s="16"/>
      <c r="H2" s="12" t="s">
        <v>0</v>
      </c>
      <c r="I2" s="12"/>
      <c r="J2" s="17"/>
      <c r="K2" s="18"/>
      <c r="L2" s="19"/>
      <c r="M2" s="19"/>
      <c r="N2" s="27"/>
      <c r="O2" s="27"/>
    </row>
    <row r="3" spans="1:15" s="1" customFormat="1" ht="23.25" x14ac:dyDescent="0.35">
      <c r="A3" s="20" t="s">
        <v>1</v>
      </c>
      <c r="B3" s="20" t="s">
        <v>2</v>
      </c>
      <c r="C3" s="20" t="s">
        <v>9</v>
      </c>
      <c r="D3" s="21" t="s">
        <v>3</v>
      </c>
      <c r="E3" s="22" t="s">
        <v>4</v>
      </c>
      <c r="F3" s="20" t="s">
        <v>14</v>
      </c>
      <c r="G3" s="20" t="s">
        <v>5</v>
      </c>
      <c r="H3" s="20" t="s">
        <v>2</v>
      </c>
      <c r="I3" s="20" t="s">
        <v>9</v>
      </c>
      <c r="J3" s="20" t="s">
        <v>3</v>
      </c>
      <c r="K3" s="23" t="s">
        <v>4</v>
      </c>
      <c r="L3" s="20" t="s">
        <v>13</v>
      </c>
      <c r="M3" s="20" t="s">
        <v>5</v>
      </c>
      <c r="N3" s="24" t="s">
        <v>11</v>
      </c>
      <c r="O3" s="24" t="s">
        <v>12</v>
      </c>
    </row>
    <row r="4" spans="1:15" s="1" customFormat="1" ht="23.25" customHeight="1" x14ac:dyDescent="0.35">
      <c r="A4" s="28"/>
      <c r="B4" s="30"/>
      <c r="C4" s="30"/>
      <c r="D4" s="30"/>
      <c r="E4" s="25"/>
      <c r="F4" s="25"/>
      <c r="G4" s="25"/>
      <c r="H4" s="30"/>
      <c r="I4" s="30"/>
      <c r="J4" s="30"/>
      <c r="K4" s="25"/>
      <c r="L4" s="25"/>
      <c r="M4" s="25"/>
      <c r="N4" s="25"/>
      <c r="O4" s="25"/>
    </row>
    <row r="5" spans="1:15" s="2" customFormat="1" ht="23.25" customHeight="1" x14ac:dyDescent="0.25">
      <c r="A5" s="28" t="s">
        <v>7</v>
      </c>
      <c r="B5" s="30"/>
      <c r="C5" s="30"/>
      <c r="D5" s="30"/>
      <c r="E5" s="25"/>
      <c r="F5" s="25"/>
      <c r="G5" s="25"/>
      <c r="H5" s="30"/>
      <c r="I5" s="30"/>
      <c r="J5" s="30"/>
      <c r="K5" s="25"/>
      <c r="L5" s="25"/>
      <c r="M5" s="25"/>
      <c r="N5" s="25">
        <f>MOD(G5-F5, 1)</f>
        <v>0</v>
      </c>
      <c r="O5" s="25">
        <f>MOD(M5-L5, 1)</f>
        <v>0</v>
      </c>
    </row>
    <row r="6" spans="1:15" s="2" customFormat="1" ht="23.25" customHeight="1" x14ac:dyDescent="0.25">
      <c r="A6" s="28" t="s">
        <v>10</v>
      </c>
      <c r="B6" s="30"/>
      <c r="C6" s="30"/>
      <c r="D6" s="30"/>
      <c r="E6" s="25"/>
      <c r="F6" s="25"/>
      <c r="G6" s="25"/>
      <c r="H6" s="30"/>
      <c r="I6" s="30"/>
      <c r="J6" s="30"/>
      <c r="K6" s="25"/>
      <c r="L6" s="25"/>
      <c r="M6" s="25"/>
      <c r="N6" s="25">
        <f t="shared" ref="N6" si="0">MOD(G6-F6, 1)</f>
        <v>0</v>
      </c>
      <c r="O6" s="25">
        <f t="shared" ref="O6" si="1">MOD(M6-L6, 1)</f>
        <v>0</v>
      </c>
    </row>
    <row r="7" spans="1:15" s="2" customFormat="1" ht="23.25" customHeight="1" x14ac:dyDescent="0.25">
      <c r="A7" s="28"/>
      <c r="B7" s="30"/>
      <c r="C7" s="30"/>
      <c r="D7" s="30"/>
      <c r="E7" s="25"/>
      <c r="F7" s="25"/>
      <c r="G7" s="25"/>
      <c r="H7" s="30"/>
      <c r="I7" s="30"/>
      <c r="J7" s="30"/>
      <c r="K7" s="25"/>
      <c r="L7" s="25"/>
      <c r="M7" s="25"/>
      <c r="N7" s="25"/>
      <c r="O7" s="25"/>
    </row>
    <row r="8" spans="1:15" s="2" customFormat="1" ht="23.25" x14ac:dyDescent="0.25">
      <c r="A8" s="4"/>
      <c r="B8" s="5"/>
      <c r="C8" s="6"/>
      <c r="D8" s="7"/>
      <c r="E8" s="8"/>
      <c r="F8" s="8"/>
      <c r="G8" s="8"/>
      <c r="H8" s="9"/>
      <c r="I8" s="6"/>
      <c r="J8" s="8"/>
      <c r="K8" s="8"/>
      <c r="L8" s="8"/>
      <c r="M8" s="8"/>
    </row>
    <row r="9" spans="1:15" s="2" customFormat="1" ht="23.25" x14ac:dyDescent="0.25">
      <c r="A9" s="4"/>
      <c r="B9" s="5"/>
      <c r="C9" s="6"/>
      <c r="D9" s="7"/>
      <c r="E9" s="8"/>
      <c r="F9" s="8"/>
      <c r="G9" s="8"/>
      <c r="H9" s="9"/>
      <c r="I9" s="6"/>
      <c r="J9" s="8"/>
      <c r="K9" s="8"/>
      <c r="L9" s="8"/>
      <c r="M9" s="8"/>
    </row>
    <row r="10" spans="1:15" s="2" customFormat="1" ht="23.25" x14ac:dyDescent="0.25">
      <c r="A10" s="4"/>
      <c r="B10" s="5"/>
      <c r="C10" s="6"/>
      <c r="D10" s="7"/>
      <c r="E10" s="8"/>
      <c r="F10" s="8"/>
      <c r="G10" s="8"/>
      <c r="H10" s="9"/>
      <c r="I10" s="6"/>
      <c r="J10" s="8"/>
      <c r="K10" s="8"/>
      <c r="L10" s="8"/>
      <c r="M10" s="8"/>
    </row>
    <row r="11" spans="1:15" s="2" customFormat="1" ht="23.25" x14ac:dyDescent="0.25">
      <c r="A11" s="4"/>
      <c r="B11" s="5"/>
      <c r="C11" s="6"/>
      <c r="D11" s="7"/>
      <c r="E11" s="8"/>
      <c r="F11" s="8"/>
      <c r="G11" s="8"/>
      <c r="H11" s="9"/>
      <c r="I11" s="6"/>
      <c r="J11" s="8"/>
      <c r="K11" s="8"/>
      <c r="L11" s="8"/>
      <c r="M11" s="8"/>
    </row>
    <row r="12" spans="1:15" s="2" customFormat="1" ht="23.25" x14ac:dyDescent="0.25">
      <c r="A12" s="4"/>
      <c r="B12" s="5"/>
      <c r="C12" s="6"/>
      <c r="D12" s="7"/>
      <c r="E12" s="10"/>
      <c r="F12" s="8"/>
      <c r="G12" s="8"/>
      <c r="H12" s="9"/>
      <c r="I12" s="6"/>
      <c r="J12" s="8"/>
      <c r="K12" s="8"/>
      <c r="L12" s="8"/>
      <c r="M12" s="8"/>
    </row>
    <row r="13" spans="1:15" ht="23.25" x14ac:dyDescent="0.25">
      <c r="A13" s="4"/>
      <c r="B13" s="5"/>
      <c r="C13" s="6"/>
      <c r="D13" s="7"/>
      <c r="E13" s="10"/>
      <c r="F13" s="8"/>
      <c r="G13" s="8"/>
      <c r="H13" s="9"/>
      <c r="I13" s="6"/>
      <c r="J13" s="8"/>
      <c r="K13" s="8"/>
      <c r="L13" s="8"/>
      <c r="M13" s="8"/>
    </row>
    <row r="14" spans="1:15" ht="23.25" x14ac:dyDescent="0.25">
      <c r="A14" s="4"/>
      <c r="B14" s="5"/>
      <c r="C14" s="6"/>
      <c r="D14" s="7"/>
      <c r="E14" s="10"/>
      <c r="F14" s="8"/>
      <c r="G14" s="8"/>
      <c r="H14" s="9"/>
      <c r="I14" s="6"/>
      <c r="J14" s="8"/>
      <c r="K14" s="8"/>
      <c r="L14" s="8"/>
      <c r="M14" s="8"/>
    </row>
    <row r="15" spans="1:15" ht="23.25" x14ac:dyDescent="0.25">
      <c r="A15" s="4"/>
      <c r="B15" s="5"/>
      <c r="C15" s="6"/>
      <c r="D15" s="7"/>
      <c r="E15" s="10"/>
      <c r="F15" s="8"/>
      <c r="G15" s="8"/>
      <c r="H15" s="9"/>
      <c r="I15" s="6"/>
      <c r="J15" s="8"/>
      <c r="K15" s="8"/>
      <c r="L15" s="8"/>
      <c r="M15" s="8"/>
    </row>
    <row r="19" spans="1:5" x14ac:dyDescent="0.25">
      <c r="A19" s="3"/>
      <c r="E19"/>
    </row>
    <row r="20" spans="1:5" x14ac:dyDescent="0.25">
      <c r="A20" s="3"/>
      <c r="E20"/>
    </row>
    <row r="21" spans="1:5" x14ac:dyDescent="0.25">
      <c r="A21" s="3"/>
      <c r="E21"/>
    </row>
    <row r="22" spans="1:5" x14ac:dyDescent="0.25">
      <c r="A22" s="3"/>
      <c r="E22"/>
    </row>
    <row r="23" spans="1:5" x14ac:dyDescent="0.25">
      <c r="A23" s="3"/>
      <c r="E23"/>
    </row>
  </sheetData>
  <autoFilter ref="A3:M12" xr:uid="{EC758A19-D570-4102-BA0F-75B7608AB055}"/>
  <conditionalFormatting sqref="N4:O7">
    <cfRule type="cellIs" dxfId="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D6C70C-020E-43AF-B251-121EE7CE44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heckmann</dc:creator>
  <cp:lastModifiedBy>WIliam  Souza Cortes dso Santos</cp:lastModifiedBy>
  <dcterms:created xsi:type="dcterms:W3CDTF">2026-02-16T17:15:25Z</dcterms:created>
  <dcterms:modified xsi:type="dcterms:W3CDTF">2026-05-21T15:14:18Z</dcterms:modified>
</cp:coreProperties>
</file>