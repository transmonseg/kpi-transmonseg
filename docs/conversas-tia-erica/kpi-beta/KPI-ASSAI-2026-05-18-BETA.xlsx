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<sst xmlns="http://schemas.openxmlformats.org/spreadsheetml/2006/main" count="474" uniqueCount="155">
  <si>
    <t xml:space="preserve">RELATÓRIO KPI - ASSAÍ
Segunda-feira, 18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</si>
  <si>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</si>
  <si>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</si>
  <si>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</si>
  <si>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</si>
  <si>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</si>
  <si>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</si>
  <si>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</si>
  <si>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</si>
  <si>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</si>
  <si>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</si>
  <si>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</si>
  <si>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</si>
  <si>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JOSE MARTINS</t>
  </si>
  <si>
    <t>353</t>
  </si>
  <si>
    <t>UBF-5G32</t>
  </si>
  <si>
    <t/>
  </si>
  <si>
    <t>Assaí - Alcântara II - Loja 293</t>
  </si>
  <si>
    <t>LUIZ CARLOS</t>
  </si>
  <si>
    <t>294</t>
  </si>
  <si>
    <t>FQN-6J72</t>
  </si>
  <si>
    <t>SEM RASTREADOR</t>
  </si>
  <si>
    <t>Assaí - Araruama - Loja 221</t>
  </si>
  <si>
    <t>ADILSON</t>
  </si>
  <si>
    <t>91</t>
  </si>
  <si>
    <t>KZU-4C37</t>
  </si>
  <si>
    <t>Assaí - Bangu I - Loja 55</t>
  </si>
  <si>
    <t>DIEGO</t>
  </si>
  <si>
    <t>674</t>
  </si>
  <si>
    <t>KQB-3F31</t>
  </si>
  <si>
    <t>Assaí - Bangu II - Loja 332</t>
  </si>
  <si>
    <t>LUCIANO MATIAS</t>
  </si>
  <si>
    <t>QSS-1E48</t>
  </si>
  <si>
    <t>Assaí - Barra I (Senna) - Loja 133</t>
  </si>
  <si>
    <t>FLAVIANO</t>
  </si>
  <si>
    <t>SFG-2F73</t>
  </si>
  <si>
    <t>Assaí - Barra II  - Loja 245</t>
  </si>
  <si>
    <t>CELSO</t>
  </si>
  <si>
    <t>SFG-2F72</t>
  </si>
  <si>
    <t>Assaí - Boulevard (Vila Isabel) - Loja 294</t>
  </si>
  <si>
    <t>CLEBER SODRE</t>
  </si>
  <si>
    <t>TML-7D21</t>
  </si>
  <si>
    <t>ZOZIMO</t>
  </si>
  <si>
    <t>816</t>
  </si>
  <si>
    <t>KNS-8D16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</si>
  <si>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</si>
  <si>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</si>
  <si>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</si>
  <si>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</si>
  <si>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</si>
  <si>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</si>
  <si>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</si>
  <si>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</si>
  <si>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</si>
  <si>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</si>
  <si>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</si>
  <si>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</si>
  <si>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</si>
  <si>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</si>
  <si>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</si>
  <si>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</si>
  <si>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ALLAN</t>
  </si>
  <si>
    <t>EZU-9J51</t>
  </si>
  <si>
    <t>Assaí - Caxias II (Parque Fluminense) - Loja 219</t>
  </si>
  <si>
    <t>ERALDO</t>
  </si>
  <si>
    <t>TML-7D61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</si>
  <si>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</si>
  <si>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</si>
  <si>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</si>
  <si>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</si>
  <si>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</si>
  <si>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</si>
  <si>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</si>
  <si>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</si>
  <si>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Assaí - Freguesia - Loja 28</t>
  </si>
  <si>
    <t>NILTON</t>
  </si>
  <si>
    <t>AKZ-2594</t>
  </si>
  <si>
    <t>Assaí - Galeão - Loja 302</t>
  </si>
  <si>
    <t>ANTONIO RODRIGUES</t>
  </si>
  <si>
    <t>184016</t>
  </si>
  <si>
    <t>MQV-9D14</t>
  </si>
  <si>
    <t>Assaí - Ilha do Governador - Loja 29</t>
  </si>
  <si>
    <t>VICTOR LUIZ</t>
  </si>
  <si>
    <t>TJQ-6J26</t>
  </si>
  <si>
    <t>Assaí - Macaé - Loja 232</t>
  </si>
  <si>
    <t>HÉLIO</t>
  </si>
  <si>
    <t>LQA-4I25</t>
  </si>
  <si>
    <t>Assaí - Maracanã - Loja 286</t>
  </si>
  <si>
    <t>CRISTIANO</t>
  </si>
  <si>
    <t>GAR-0802</t>
  </si>
  <si>
    <t>Assaí - Mendanha (Campo Grande) - Loja 65</t>
  </si>
  <si>
    <t>EDMARIO</t>
  </si>
  <si>
    <t>CUC-6J83</t>
  </si>
  <si>
    <t>Assaí - Mesquita (Dutra) - Loja 142</t>
  </si>
  <si>
    <t>ADRIANO</t>
  </si>
  <si>
    <t>138</t>
  </si>
  <si>
    <t>CEJ-3426</t>
  </si>
  <si>
    <t>Assaí - Méier - Loja 160</t>
  </si>
  <si>
    <t>LUIZ JR.</t>
  </si>
  <si>
    <t>AKZ-2745</t>
  </si>
  <si>
    <t>Assaí - Nilópolis - Loja 36</t>
  </si>
  <si>
    <t>JOAO CARLOS</t>
  </si>
  <si>
    <t>811</t>
  </si>
  <si>
    <t>LOT-2962</t>
  </si>
  <si>
    <t>Assaí - Niterói - Loja 41</t>
  </si>
  <si>
    <t>JOSÉLIO</t>
  </si>
  <si>
    <t>479</t>
  </si>
  <si>
    <t>KRK-3D12</t>
  </si>
  <si>
    <t>Assaí - Niterói Ponte - Loja 292</t>
  </si>
  <si>
    <t>JEFERSON BATALHA</t>
  </si>
  <si>
    <t>UBO-5E01</t>
  </si>
  <si>
    <t>Assaí - Nova Iguaçu - Loja 30</t>
  </si>
  <si>
    <t>RENAN</t>
  </si>
  <si>
    <t>184357</t>
  </si>
  <si>
    <t>KRW-8E86</t>
  </si>
  <si>
    <t>Assaí - Nova Iguaçu 2 - Loja 291</t>
  </si>
  <si>
    <t>SÉRGIO FIDÉLIS</t>
  </si>
  <si>
    <t>65</t>
  </si>
  <si>
    <t>LOU-9928</t>
  </si>
  <si>
    <t>Assaí - Petrópolis- Loja 181</t>
  </si>
  <si>
    <t>JULIO</t>
  </si>
  <si>
    <t>184212</t>
  </si>
  <si>
    <t>KNC-5J75</t>
  </si>
  <si>
    <t>Assaí - Pilares - Loja 128</t>
  </si>
  <si>
    <t>EDVALDO</t>
  </si>
  <si>
    <t>104</t>
  </si>
  <si>
    <t>KSJ-1479</t>
  </si>
  <si>
    <t>Assaí - Sabão Rio (Benfica) - Loja 136</t>
  </si>
  <si>
    <t>JOSIAS</t>
  </si>
  <si>
    <t>792</t>
  </si>
  <si>
    <t>MQI-6C04</t>
  </si>
  <si>
    <t>Assaí - Santa Cruz - Loja 201</t>
  </si>
  <si>
    <t>FERNANDO</t>
  </si>
  <si>
    <t>184041</t>
  </si>
  <si>
    <t>KGO-5E65</t>
  </si>
  <si>
    <t>Assaí - Santa Cruz 2 - Loja 338</t>
  </si>
  <si>
    <t>Assaí - São Gonçalo Camil - Loja 211</t>
  </si>
  <si>
    <t>LUIS FERREIRA</t>
  </si>
  <si>
    <t>789</t>
  </si>
  <si>
    <t>LAU-1I64</t>
  </si>
  <si>
    <t>Assaí - São Gonçalo Centro - Loja 266</t>
  </si>
  <si>
    <t>VALDEMIRIO</t>
  </si>
  <si>
    <t>QSU-6I54</t>
  </si>
  <si>
    <t>Assaí - São João do Meriti  - Loja 217</t>
  </si>
  <si>
    <t>JOSÉ LUZIMAR</t>
  </si>
  <si>
    <t>MQV-9D15</t>
  </si>
  <si>
    <t>Assaí - Taquara   - Loja 340</t>
  </si>
  <si>
    <t>WALTER REGIS</t>
  </si>
  <si>
    <t>UBO-0B68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</si>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</sst>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0.19447916666666668</v>
      </c>
      <c r="F5" s="8">
        <v>0.24362268518518518</v>
      </c>
      <c r="G5" s="8">
        <v>0.33390046296296294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0.09027777777777778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0.15569444444444444</v>
      </c>
      <c r="F7" s="8">
        <v>0.25689814814814815</v>
      </c>
      <c r="G7" s="8">
        <v>0.5089236111111111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0.2520833333333333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0.2698611111111111</v>
      </c>
      <c r="F8" s="11">
        <v>0.3299537037037037</v>
      </c>
      <c r="G8" s="11">
        <v>0.3487384259259259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0.01875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14</v>
      </c>
      <c r="D9" s="7" t="s">
        <v>32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14</v>
      </c>
      <c r="D10" s="10" t="s">
        <v>35</v>
      </c>
      <c r="E10" s="11">
        <v>0.1941087962962963</v>
      </c>
      <c r="F10" s="11">
        <v>0.2233564814814815</v>
      </c>
      <c r="G10" s="11">
        <v>0.4394560185185185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0.21597222222222223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14</v>
      </c>
      <c r="D11" s="7" t="s">
        <v>38</v>
      </c>
      <c r="E11" s="8">
        <v>0.1982523148148148</v>
      </c>
      <c r="F11" s="8">
        <v>0.23645833333333333</v>
      </c>
      <c r="G11" s="8">
        <v>0.4445949074074074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0.20833333333333334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40</v>
      </c>
      <c r="C12" s="10" t="s">
        <v>14</v>
      </c>
      <c r="D12" s="10" t="s">
        <v>41</v>
      </c>
      <c r="E12" s="11">
        <v>0.28828703703703706</v>
      </c>
      <c r="F12" s="11">
        <v>0.34381944444444446</v>
      </c>
      <c r="G12" s="11">
        <v>0.5900578703703704</v>
      </c>
      <c r="H12" s="10" t="s">
        <v>42</v>
      </c>
      <c r="I12" s="10" t="s">
        <v>43</v>
      </c>
      <c r="J12" s="10" t="s">
        <v>44</v>
      </c>
      <c r="K12" s="10" t="s">
        <v>21</v>
      </c>
      <c r="L12" s="10" t="s">
        <v>21</v>
      </c>
      <c r="M12" s="10" t="s">
        <v>21</v>
      </c>
      <c r="N12" s="11">
        <f>MOD(G12-F12,1)</f>
        <v>0.2465277777777778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0.08392361111111112</v>
      </c>
      <c r="F13" s="8">
        <v>0.22013888888888888</v>
      </c>
      <c r="G13" s="8">
        <v>0.46935185185185185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0.24930555555555556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1">
        <v>0.1857175925925926</v>
      </c>
      <c r="F14" s="11">
        <v>0.20732638888888888</v>
      </c>
      <c r="G14" s="11">
        <v>0.37863425925925925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0.17152777777777778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54</v>
      </c>
      <c r="C15" s="7" t="s">
        <v>55</v>
      </c>
      <c r="D15" s="7" t="s">
        <v>56</v>
      </c>
      <c r="E15" s="8">
        <v>0.003263888888888889</v>
      </c>
      <c r="F15" s="8">
        <v>0.17539351851851853</v>
      </c>
      <c r="G15" s="8">
        <v>0.6770949074074074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0.5013888888888889</v>
      </c>
      <c r="O15" s="8">
        <f>MOD(M15-L15,1)</f>
        <v>0</v>
      </c>
    </row>
    <row r="16" ht="23.25" customHeight="1" spans="1:15" x14ac:dyDescent="0.25">
      <c r="A16" s="9" t="s">
        <v>57</v>
      </c>
      <c r="B16" s="10" t="s">
        <v>58</v>
      </c>
      <c r="C16" s="10" t="s">
        <v>14</v>
      </c>
      <c r="D16" s="10" t="s">
        <v>59</v>
      </c>
      <c r="E16" s="11">
        <v>0.23425925925925925</v>
      </c>
      <c r="F16" s="11">
        <v>0.2449074074074074</v>
      </c>
      <c r="G16" s="11">
        <v>0.3967939814814815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0.15208333333333332</v>
      </c>
      <c r="O16" s="11">
        <f>MOD(M16-L16,1)</f>
        <v>0</v>
      </c>
    </row>
    <row r="17" ht="23.25" customHeight="1" spans="1:15" x14ac:dyDescent="0.25">
      <c r="A17" s="6" t="s">
        <v>60</v>
      </c>
      <c r="B17" s="7" t="s">
        <v>61</v>
      </c>
      <c r="C17" s="7" t="s">
        <v>19</v>
      </c>
      <c r="D17" s="7" t="s">
        <v>62</v>
      </c>
      <c r="E17" s="7" t="s">
        <v>21</v>
      </c>
      <c r="F17" s="7" t="s">
        <v>21</v>
      </c>
      <c r="G17" s="7" t="s">
        <v>21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63</v>
      </c>
      <c r="B18" s="10" t="s">
        <v>64</v>
      </c>
      <c r="C18" s="10" t="s">
        <v>14</v>
      </c>
      <c r="D18" s="10" t="s">
        <v>65</v>
      </c>
      <c r="E18" s="11">
        <v>0.4418402777777778</v>
      </c>
      <c r="F18" s="11">
        <v>0.47335648148148146</v>
      </c>
      <c r="G18" s="11">
        <v>0.6464699074074074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0.17291666666666666</v>
      </c>
      <c r="O18" s="11">
        <f>MOD(M18-L18,1)</f>
        <v>0</v>
      </c>
    </row>
    <row r="19" ht="23.25" customHeight="1" spans="1:15" x14ac:dyDescent="0.25">
      <c r="A19" s="6" t="s">
        <v>66</v>
      </c>
      <c r="B19" s="7" t="s">
        <v>67</v>
      </c>
      <c r="C19" s="7" t="s">
        <v>19</v>
      </c>
      <c r="D19" s="7" t="s">
        <v>68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70</v>
      </c>
      <c r="C20" s="10" t="s">
        <v>71</v>
      </c>
      <c r="D20" s="10" t="s">
        <v>72</v>
      </c>
      <c r="E20" s="11">
        <v>0.18063657407407407</v>
      </c>
      <c r="F20" s="11">
        <v>0.21313657407407408</v>
      </c>
      <c r="G20" s="11">
        <v>0.5725231481481482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0.3597222222222222</v>
      </c>
      <c r="O20" s="11">
        <f>MOD(M20-L20,1)</f>
        <v>0</v>
      </c>
    </row>
    <row r="21" ht="23.25" customHeight="1" spans="1:15" x14ac:dyDescent="0.25">
      <c r="A21" s="6" t="s">
        <v>73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24</v>
      </c>
      <c r="D22" s="10" t="s">
        <v>76</v>
      </c>
      <c r="E22" s="11">
        <v>0.17831018518518518</v>
      </c>
      <c r="F22" s="11">
        <v>0.19734953703703703</v>
      </c>
      <c r="G22" s="11">
        <v>0.36498842592592595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0.1673611111111111</v>
      </c>
      <c r="O22" s="11">
        <f>MOD(M22-L22,1)</f>
        <v>0</v>
      </c>
    </row>
    <row r="23" ht="23.25" customHeight="1" spans="1:15" x14ac:dyDescent="0.25">
      <c r="A23" s="6" t="s">
        <v>77</v>
      </c>
      <c r="B23" s="7" t="s">
        <v>78</v>
      </c>
      <c r="C23" s="7" t="s">
        <v>79</v>
      </c>
      <c r="D23" s="7" t="s">
        <v>80</v>
      </c>
      <c r="E23" s="7" t="s">
        <v>21</v>
      </c>
      <c r="F23" s="7" t="s">
        <v>21</v>
      </c>
      <c r="G23" s="7" t="s">
        <v>21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</v>
      </c>
      <c r="O23" s="8">
        <f>MOD(M23-L23,1)</f>
        <v>0</v>
      </c>
    </row>
    <row r="24" ht="23.25" customHeight="1" spans="1:15" x14ac:dyDescent="0.25">
      <c r="A24" s="9" t="s">
        <v>81</v>
      </c>
      <c r="B24" s="10" t="s">
        <v>82</v>
      </c>
      <c r="C24" s="10" t="s">
        <v>14</v>
      </c>
      <c r="D24" s="10" t="s">
        <v>83</v>
      </c>
      <c r="E24" s="10" t="s">
        <v>21</v>
      </c>
      <c r="F24" s="10" t="s">
        <v>21</v>
      </c>
      <c r="G24" s="10" t="s">
        <v>21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</v>
      </c>
      <c r="O24" s="11">
        <f>MOD(M24-L24,1)</f>
        <v>0</v>
      </c>
    </row>
    <row r="25" ht="23.25" customHeight="1" spans="1:15" x14ac:dyDescent="0.25">
      <c r="A25" s="6" t="s">
        <v>84</v>
      </c>
      <c r="B25" s="7" t="s">
        <v>85</v>
      </c>
      <c r="C25" s="7" t="s">
        <v>55</v>
      </c>
      <c r="D25" s="7" t="s">
        <v>86</v>
      </c>
      <c r="E25" s="8">
        <v>0.0032291666666666666</v>
      </c>
      <c r="F25" s="8">
        <v>0.13439814814814816</v>
      </c>
      <c r="G25" s="8">
        <v>0.4646064814814815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0.33055555555555555</v>
      </c>
      <c r="O25" s="8">
        <f>MOD(M25-L25,1)</f>
        <v>0</v>
      </c>
    </row>
    <row r="26" ht="23.25" customHeight="1" spans="1:15" x14ac:dyDescent="0.25">
      <c r="A26" s="9" t="s">
        <v>87</v>
      </c>
      <c r="B26" s="10" t="s">
        <v>88</v>
      </c>
      <c r="C26" s="10" t="s">
        <v>19</v>
      </c>
      <c r="D26" s="10" t="s">
        <v>89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90</v>
      </c>
      <c r="B27" s="7" t="s">
        <v>91</v>
      </c>
      <c r="C27" s="7" t="s">
        <v>14</v>
      </c>
      <c r="D27" s="7" t="s">
        <v>92</v>
      </c>
      <c r="E27" s="8">
        <v>0.21162037037037038</v>
      </c>
      <c r="F27" s="8">
        <v>0.3236921296296296</v>
      </c>
      <c r="G27" s="8">
        <v>0.37547453703703704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0.052083333333333336</v>
      </c>
      <c r="O27" s="8">
        <f>MOD(M27-L27,1)</f>
        <v>0</v>
      </c>
    </row>
    <row r="28" ht="23.25" customHeight="1" spans="1:15" x14ac:dyDescent="0.25">
      <c r="A28" s="9" t="s">
        <v>93</v>
      </c>
      <c r="B28" s="10" t="s">
        <v>94</v>
      </c>
      <c r="C28" s="10" t="s">
        <v>95</v>
      </c>
      <c r="D28" s="10" t="s">
        <v>96</v>
      </c>
      <c r="E28" s="10" t="s">
        <v>16</v>
      </c>
      <c r="F28" s="11">
        <v>0.23827546296296295</v>
      </c>
      <c r="G28" s="11">
        <v>0.5515625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0.31319444444444444</v>
      </c>
      <c r="O28" s="11">
        <f>MOD(M28-L28,1)</f>
        <v>0</v>
      </c>
    </row>
    <row r="29" ht="23.25" customHeight="1" spans="1:15" x14ac:dyDescent="0.25">
      <c r="A29" s="6" t="s">
        <v>97</v>
      </c>
      <c r="B29" s="7" t="s">
        <v>98</v>
      </c>
      <c r="C29" s="7" t="s">
        <v>24</v>
      </c>
      <c r="D29" s="7" t="s">
        <v>99</v>
      </c>
      <c r="E29" s="8">
        <v>0.22774305555555555</v>
      </c>
      <c r="F29" s="8">
        <v>0.2512037037037037</v>
      </c>
      <c r="G29" s="8">
        <v>0.27965277777777775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0.02847222222222222</v>
      </c>
      <c r="O29" s="8">
        <f>MOD(M29-L29,1)</f>
        <v>0</v>
      </c>
    </row>
    <row r="30" ht="23.25" customHeight="1" spans="1:15" x14ac:dyDescent="0.25">
      <c r="A30" s="9" t="s">
        <v>100</v>
      </c>
      <c r="B30" s="10" t="s">
        <v>101</v>
      </c>
      <c r="C30" s="10" t="s">
        <v>102</v>
      </c>
      <c r="D30" s="10" t="s">
        <v>103</v>
      </c>
      <c r="E30" s="11">
        <v>0.2422337962962963</v>
      </c>
      <c r="F30" s="11">
        <v>0.2606134259259259</v>
      </c>
      <c r="G30" s="11">
        <v>0.5193171296296296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0.2590277777777778</v>
      </c>
      <c r="O30" s="11">
        <f>MOD(M30-L30,1)</f>
        <v>0</v>
      </c>
    </row>
    <row r="31" ht="23.25" customHeight="1" spans="1:15" x14ac:dyDescent="0.25">
      <c r="A31" s="6" t="s">
        <v>104</v>
      </c>
      <c r="B31" s="7" t="s">
        <v>105</v>
      </c>
      <c r="C31" s="7" t="s">
        <v>106</v>
      </c>
      <c r="D31" s="7" t="s">
        <v>107</v>
      </c>
      <c r="E31" s="8">
        <v>0.22118055555555555</v>
      </c>
      <c r="F31" s="8">
        <v>0.2690046296296296</v>
      </c>
      <c r="G31" s="8">
        <v>0.43542824074074077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0.16666666666666666</v>
      </c>
      <c r="O31" s="8">
        <f>MOD(M31-L31,1)</f>
        <v>0</v>
      </c>
    </row>
    <row r="32" ht="23.25" customHeight="1" spans="1:15" x14ac:dyDescent="0.25">
      <c r="A32" s="9" t="s">
        <v>108</v>
      </c>
      <c r="B32" s="10" t="s">
        <v>109</v>
      </c>
      <c r="C32" s="10" t="s">
        <v>14</v>
      </c>
      <c r="D32" s="10" t="s">
        <v>110</v>
      </c>
      <c r="E32" s="11">
        <v>0.16969907407407409</v>
      </c>
      <c r="F32" s="11">
        <v>0.1949884259259259</v>
      </c>
      <c r="G32" s="11">
        <v>0.4172337962962963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0.2222222222222222</v>
      </c>
      <c r="O32" s="11">
        <f>MOD(M32-L32,1)</f>
        <v>0</v>
      </c>
    </row>
    <row r="33" ht="23.25" customHeight="1" spans="1:15" x14ac:dyDescent="0.25">
      <c r="A33" s="6" t="s">
        <v>111</v>
      </c>
      <c r="B33" s="7" t="s">
        <v>112</v>
      </c>
      <c r="C33" s="7" t="s">
        <v>113</v>
      </c>
      <c r="D33" s="7" t="s">
        <v>114</v>
      </c>
      <c r="E33" s="8">
        <v>0.2153935185185185</v>
      </c>
      <c r="F33" s="8">
        <v>0.24873842592592593</v>
      </c>
      <c r="G33" s="8">
        <v>0.2723611111111111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0.02361111111111111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116</v>
      </c>
      <c r="C34" s="10" t="s">
        <v>117</v>
      </c>
      <c r="D34" s="10" t="s">
        <v>118</v>
      </c>
      <c r="E34" s="11">
        <v>0.21122685185185186</v>
      </c>
      <c r="F34" s="11">
        <v>0.2687037037037037</v>
      </c>
      <c r="G34" s="11">
        <v>0.47528935185185184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0.20625</v>
      </c>
      <c r="O34" s="11">
        <f>MOD(M34-L34,1)</f>
        <v>0</v>
      </c>
    </row>
    <row r="35" ht="23.25" customHeight="1" spans="1:15" x14ac:dyDescent="0.25">
      <c r="A35" s="6" t="s">
        <v>119</v>
      </c>
      <c r="B35" s="7" t="s">
        <v>120</v>
      </c>
      <c r="C35" s="7" t="s">
        <v>121</v>
      </c>
      <c r="D35" s="7" t="s">
        <v>122</v>
      </c>
      <c r="E35" s="8">
        <v>0.15070601851851853</v>
      </c>
      <c r="F35" s="8">
        <v>0.21711805555555555</v>
      </c>
      <c r="G35" s="8">
        <v>0.2257986111111111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0.009027777777777777</v>
      </c>
      <c r="O35" s="8">
        <f>MOD(M35-L35,1)</f>
        <v>0</v>
      </c>
    </row>
    <row r="36" ht="23.25" customHeight="1" spans="1:15" x14ac:dyDescent="0.25">
      <c r="A36" s="9" t="s">
        <v>123</v>
      </c>
      <c r="B36" s="10" t="s">
        <v>124</v>
      </c>
      <c r="C36" s="10" t="s">
        <v>125</v>
      </c>
      <c r="D36" s="10" t="s">
        <v>126</v>
      </c>
      <c r="E36" s="11">
        <v>0.2441087962962963</v>
      </c>
      <c r="F36" s="11">
        <v>0.269375</v>
      </c>
      <c r="G36" s="11">
        <v>0.4532291666666667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0.1840277777777778</v>
      </c>
      <c r="O36" s="11">
        <f>MOD(M36-L36,1)</f>
        <v>0</v>
      </c>
    </row>
    <row r="37" ht="23.25" customHeight="1" spans="1:15" x14ac:dyDescent="0.25">
      <c r="A37" s="6" t="s">
        <v>127</v>
      </c>
      <c r="B37" s="7" t="s">
        <v>128</v>
      </c>
      <c r="C37" s="7" t="s">
        <v>129</v>
      </c>
      <c r="D37" s="7" t="s">
        <v>130</v>
      </c>
      <c r="E37" s="7" t="s">
        <v>21</v>
      </c>
      <c r="F37" s="7" t="s">
        <v>21</v>
      </c>
      <c r="G37" s="7" t="s">
        <v>21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131</v>
      </c>
      <c r="B38" s="10" t="s">
        <v>132</v>
      </c>
      <c r="C38" s="10" t="s">
        <v>133</v>
      </c>
      <c r="D38" s="10" t="s">
        <v>134</v>
      </c>
      <c r="E38" s="10" t="s">
        <v>21</v>
      </c>
      <c r="F38" s="10" t="s">
        <v>21</v>
      </c>
      <c r="G38" s="10" t="s">
        <v>21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135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136</v>
      </c>
      <c r="B40" s="10" t="s">
        <v>137</v>
      </c>
      <c r="C40" s="10" t="s">
        <v>138</v>
      </c>
      <c r="D40" s="10" t="s">
        <v>139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140</v>
      </c>
      <c r="B41" s="7" t="s">
        <v>141</v>
      </c>
      <c r="C41" s="7" t="s">
        <v>14</v>
      </c>
      <c r="D41" s="7" t="s">
        <v>142</v>
      </c>
      <c r="E41" s="8">
        <v>0.20189814814814816</v>
      </c>
      <c r="F41" s="8">
        <v>0.24533564814814815</v>
      </c>
      <c r="G41" s="8">
        <v>0.5397685185185185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0.29444444444444445</v>
      </c>
      <c r="O41" s="8">
        <f>MOD(M41-L41,1)</f>
        <v>0</v>
      </c>
    </row>
    <row r="42" ht="23.25" customHeight="1" spans="1:15" x14ac:dyDescent="0.25">
      <c r="A42" s="9" t="s">
        <v>143</v>
      </c>
      <c r="B42" s="10" t="s">
        <v>144</v>
      </c>
      <c r="C42" s="10" t="s">
        <v>79</v>
      </c>
      <c r="D42" s="10" t="s">
        <v>145</v>
      </c>
      <c r="E42" s="10" t="s">
        <v>21</v>
      </c>
      <c r="F42" s="10" t="s">
        <v>21</v>
      </c>
      <c r="G42" s="10" t="s">
        <v>21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</v>
      </c>
      <c r="O42" s="11">
        <f>MOD(M42-L42,1)</f>
        <v>0</v>
      </c>
    </row>
    <row r="43" ht="23.25" customHeight="1" spans="1:15" x14ac:dyDescent="0.25">
      <c r="A43" s="6" t="s">
        <v>146</v>
      </c>
      <c r="B43" s="7" t="s">
        <v>147</v>
      </c>
      <c r="C43" s="7" t="s">
        <v>14</v>
      </c>
      <c r="D43" s="7" t="s">
        <v>148</v>
      </c>
      <c r="E43" s="8">
        <v>0.25827546296296294</v>
      </c>
      <c r="F43" s="8">
        <v>0.2895023148148148</v>
      </c>
      <c r="G43" s="8">
        <v>0.5459375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0.25625</v>
      </c>
      <c r="O43" s="8">
        <f>MOD(M43-L43,1)</f>
        <v>0</v>
      </c>
    </row>
    <row r="44" ht="23.25" customHeight="1" spans="1:15" x14ac:dyDescent="0.25">
      <c r="A44" s="9" t="s">
        <v>149</v>
      </c>
      <c r="B44" s="10" t="s">
        <v>150</v>
      </c>
      <c r="C44" s="10" t="s">
        <v>95</v>
      </c>
      <c r="D44" s="10" t="s">
        <v>151</v>
      </c>
      <c r="E44" s="10" t="s">
        <v>21</v>
      </c>
      <c r="F44" s="10" t="s">
        <v>21</v>
      </c>
      <c r="G44" s="10" t="s">
        <v>21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152</v>
      </c>
      <c r="B45" s="7" t="s">
        <v>153</v>
      </c>
      <c r="C45" s="7" t="s">
        <v>138</v>
      </c>
      <c r="D45" s="7" t="s">
        <v>154</v>
      </c>
      <c r="E45" s="7" t="s">
        <v>21</v>
      </c>
      <c r="F45" s="7" t="s">
        <v>21</v>
      </c>
      <c r="G45" s="7" t="s">
        <v>21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