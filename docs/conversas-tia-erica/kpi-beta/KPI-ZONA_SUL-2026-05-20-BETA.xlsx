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<sst xmlns="http://schemas.openxmlformats.org/spreadsheetml/2006/main" count="594" uniqueCount="159">
  <si>
    <t xml:space="preserve">RELATÓRIO KPI - ZONA SUL
Quarta-feira, 20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</si>
  <si>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</si>
  <si>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</si>
  <si>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</si>
  <si>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</si>
  <si>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</si>
  <si>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</si>
  <si>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</si>
  <si>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</si>
  <si>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</si>
  <si>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</si>
  <si>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</si>
  <si>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</si>
  <si>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ALEX</t>
  </si>
  <si>
    <t>663</t>
  </si>
  <si>
    <t>LKW-2B80</t>
  </si>
  <si>
    <t>JHONATA FREIRE DA SILVA</t>
  </si>
  <si>
    <t>184708</t>
  </si>
  <si>
    <t>KYM-2I62</t>
  </si>
  <si>
    <t>SEM RASTREADOR</t>
  </si>
  <si>
    <t>MEGA BOX 02 - Olaria</t>
  </si>
  <si>
    <t>PAULO CESAR</t>
  </si>
  <si>
    <t>642</t>
  </si>
  <si>
    <t>LNU-7733</t>
  </si>
  <si>
    <t>Zona Sul - Entrega Extra</t>
  </si>
  <si>
    <t/>
  </si>
  <si>
    <t>Zona Sul Loja 01 - Ipanema</t>
  </si>
  <si>
    <t>LUIZ ALVES</t>
  </si>
  <si>
    <t>612</t>
  </si>
  <si>
    <t>LCO-0978</t>
  </si>
  <si>
    <t>Zona Sul Loja 03 - Copacabana I</t>
  </si>
  <si>
    <t>WILIAN FERES</t>
  </si>
  <si>
    <t>655</t>
  </si>
  <si>
    <t>EFU-5704</t>
  </si>
  <si>
    <t>Zona Sul Loja 04 - Copacabana II</t>
  </si>
  <si>
    <t>MARCIO</t>
  </si>
  <si>
    <t>576</t>
  </si>
  <si>
    <t>KVH-9J42</t>
  </si>
  <si>
    <t>Zona Sul Loja 05 - Copacabana III</t>
  </si>
  <si>
    <t>AGNALDO</t>
  </si>
  <si>
    <t>674</t>
  </si>
  <si>
    <t>LKR-5990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</si>
  <si>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</si>
  <si>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</si>
  <si>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</si>
  <si>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</si>
  <si>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</si>
  <si>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</si>
  <si>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</si>
  <si>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</si>
  <si>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RODRIGO</t>
  </si>
  <si>
    <t>606</t>
  </si>
  <si>
    <t>KWK-4593</t>
  </si>
  <si>
    <t>Zona Sul Loja 08 - Ipanema</t>
  </si>
  <si>
    <t>INACIO ARAUJO</t>
  </si>
  <si>
    <t>48</t>
  </si>
  <si>
    <t>LQU-5546</t>
  </si>
  <si>
    <t>Zona Sul Loja 09 - Ipanema</t>
  </si>
  <si>
    <t>VLADIMIR</t>
  </si>
  <si>
    <t>KQY-9E24</t>
  </si>
  <si>
    <t>Zona Sul Loja 10 - Recreio</t>
  </si>
  <si>
    <t>ANDERSON</t>
  </si>
  <si>
    <t>633</t>
  </si>
  <si>
    <t>LVE-0688</t>
  </si>
  <si>
    <t>Zona Sul Loja 11 - Leblon</t>
  </si>
  <si>
    <t>ERIVELTON</t>
  </si>
  <si>
    <t>456</t>
  </si>
  <si>
    <t>KRH-5H67</t>
  </si>
  <si>
    <t>WILLIAM</t>
  </si>
  <si>
    <t>496</t>
  </si>
  <si>
    <t>INW-8A51</t>
  </si>
  <si>
    <t>Zona Sul Loja 1129 - Olaria</t>
  </si>
  <si>
    <t>Zona Sul Loja 12 - Leme</t>
  </si>
  <si>
    <t>MILTON</t>
  </si>
  <si>
    <t>809</t>
  </si>
  <si>
    <t>KOP-4978</t>
  </si>
  <si>
    <t>Zona Sul Loja 13 - Angra</t>
  </si>
  <si>
    <t>JULIO</t>
  </si>
  <si>
    <t>808</t>
  </si>
  <si>
    <t>CZB-9J19</t>
  </si>
  <si>
    <t>Zona Sul Loja 14 - Leblon</t>
  </si>
  <si>
    <t>Zona Sul Loja 15 - Leblon</t>
  </si>
  <si>
    <t>Zona Sul Loja 17 - Barra</t>
  </si>
  <si>
    <t>RENATO</t>
  </si>
  <si>
    <t>184090</t>
  </si>
  <si>
    <t>JAJ-6B36</t>
  </si>
  <si>
    <t>Zona Sul Loja 18 - Copacabana</t>
  </si>
  <si>
    <t>Zona Sul Loja 19 - Copacabana</t>
  </si>
  <si>
    <t>EDUARDO</t>
  </si>
  <si>
    <t>LQA-5883</t>
  </si>
  <si>
    <t>Zona Sul Loja 20 - Botafogo</t>
  </si>
  <si>
    <t>Zona Sul Loja 21 - Flamengo</t>
  </si>
  <si>
    <t>EDMILSON JOSÉ DE MELO</t>
  </si>
  <si>
    <t>605</t>
  </si>
  <si>
    <t>LTQ-0783</t>
  </si>
  <si>
    <t>Zona Sul Loja 22 - S. Conrado</t>
  </si>
  <si>
    <t>JOSENILDO ANISIO</t>
  </si>
  <si>
    <t>479</t>
  </si>
  <si>
    <t>KRK-3D12</t>
  </si>
  <si>
    <t>Zona Sul Loja 23 - Barra</t>
  </si>
  <si>
    <t>PAULO ROBERTO</t>
  </si>
  <si>
    <t>664</t>
  </si>
  <si>
    <t>MDV-3746</t>
  </si>
  <si>
    <t>Zona Sul Loja 25 - Jd. Botânico</t>
  </si>
  <si>
    <t>Zona Sul Loja 26 - Copacabana</t>
  </si>
  <si>
    <t>Zona Sul Loja 27 - Ipanema</t>
  </si>
  <si>
    <t>Zona Sul Loja 28 - Urca</t>
  </si>
  <si>
    <t>PAULO HENRIQUE</t>
  </si>
  <si>
    <t>807</t>
  </si>
  <si>
    <t>DBB-8D19</t>
  </si>
  <si>
    <t>Zona Sul Loja 29 - Flamengo</t>
  </si>
  <si>
    <t>Zona Sul Loja 30 - Laranjeiras</t>
  </si>
  <si>
    <t>SIDNEI ANTONIO MENDES</t>
  </si>
  <si>
    <t>LQE-5401</t>
  </si>
  <si>
    <t>Zona Sul Loja 31 - Jd. Botânico</t>
  </si>
  <si>
    <t>LTH-4J15</t>
  </si>
  <si>
    <t>Zona Sul Loja 32 - Laranjeiras</t>
  </si>
  <si>
    <t>QAH-2H50</t>
  </si>
  <si>
    <t>Zona Sul Loja 33 - Humaitá</t>
  </si>
  <si>
    <t>Zona Sul Loja 34 - Barra</t>
  </si>
  <si>
    <t>SÉRGIO JOSE DA SILVA</t>
  </si>
  <si>
    <t>598</t>
  </si>
  <si>
    <t>LJS-2172</t>
  </si>
  <si>
    <t>Zona Sul Loja 35 - Barra</t>
  </si>
  <si>
    <t>CARLOS GONÇALVES</t>
  </si>
  <si>
    <t>590</t>
  </si>
  <si>
    <t>LNU-9595</t>
  </si>
  <si>
    <t>Zona Sul Loja 36 - Botafogo</t>
  </si>
  <si>
    <t>Zona Sul Loja 38 - Copacabana</t>
  </si>
  <si>
    <t>EDMILSON JOSÉ</t>
  </si>
  <si>
    <t>Zona Sul Loja 40 - Ipanema</t>
  </si>
  <si>
    <t>Zona Sul Loja 42 - Botafogo</t>
  </si>
  <si>
    <t>Zona Sul Loja 43 - Barra (Península)</t>
  </si>
  <si>
    <t>Zona Sul Loja 44 - Barra</t>
  </si>
  <si>
    <t>Zona Sul Loja 45 - Flamengo</t>
  </si>
  <si>
    <t>MOBRICI</t>
  </si>
  <si>
    <t>740</t>
  </si>
  <si>
    <t>AOP-3C73</t>
  </si>
  <si>
    <t>Zona Sul Loja 46 - Botafogo</t>
  </si>
  <si>
    <t>Zona Sul Loja 47</t>
  </si>
  <si>
    <t>JOSUE DOS SANTOS</t>
  </si>
  <si>
    <t>714</t>
  </si>
  <si>
    <t>BBH-1C94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</si>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</sst>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0.5333217592592593</v>
      </c>
      <c r="F5" s="8">
        <v>0.5496412037037037</v>
      </c>
      <c r="G5" s="8">
        <v>0.5616550925925926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0.011805555555555555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0.5333217592592593</v>
      </c>
      <c r="F6" s="11">
        <v>0.5933680555555556</v>
      </c>
      <c r="G6" s="11">
        <v>0.6100578703703704</v>
      </c>
      <c r="H6" s="10" t="s">
        <v>21</v>
      </c>
      <c r="I6" s="10" t="s">
        <v>22</v>
      </c>
      <c r="J6" s="10" t="s">
        <v>23</v>
      </c>
      <c r="K6" s="10" t="s">
        <v>19</v>
      </c>
      <c r="L6" s="10" t="s">
        <v>19</v>
      </c>
      <c r="M6" s="10" t="s">
        <v>19</v>
      </c>
      <c r="N6" s="11">
        <f>MOD(G6-F6,1)</f>
        <v>0.016666666666666666</v>
      </c>
      <c r="O6" s="11">
        <f>MOD(M6-L6,1)</f>
        <v>0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7" t="s">
        <v>19</v>
      </c>
      <c r="F7" s="7" t="s">
        <v>19</v>
      </c>
      <c r="G7" s="7" t="s">
        <v>19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19</v>
      </c>
      <c r="F8" s="10" t="s">
        <v>19</v>
      </c>
      <c r="G8" s="10" t="s">
        <v>19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19</v>
      </c>
      <c r="F9" s="7" t="s">
        <v>19</v>
      </c>
      <c r="G9" s="7" t="s">
        <v>19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0.18893518518518518</v>
      </c>
      <c r="F10" s="11">
        <v>0.22777777777777777</v>
      </c>
      <c r="G10" s="11">
        <v>0.35028935185185184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0.12222222222222222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0.25408564814814816</v>
      </c>
      <c r="F11" s="8">
        <v>0.27466435185185184</v>
      </c>
      <c r="G11" s="8">
        <v>0.3254050925925926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0.050694444444444445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19</v>
      </c>
      <c r="F12" s="10" t="s">
        <v>19</v>
      </c>
      <c r="G12" s="10" t="s">
        <v>19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0.512175925925926</v>
      </c>
      <c r="F13" s="8">
        <v>0.551875</v>
      </c>
      <c r="G13" s="8">
        <v>0.562337962962963</v>
      </c>
      <c r="H13" s="7" t="s">
        <v>50</v>
      </c>
      <c r="I13" s="7" t="s">
        <v>51</v>
      </c>
      <c r="J13" s="7" t="s">
        <v>52</v>
      </c>
      <c r="K13" s="8">
        <v>0.1995949074074074</v>
      </c>
      <c r="L13" s="8">
        <v>0.23702546296296295</v>
      </c>
      <c r="M13" s="8">
        <v>0.4504166666666667</v>
      </c>
      <c r="N13" s="8">
        <f>MOD(G13-F13,1)</f>
        <v>0.010416666666666666</v>
      </c>
      <c r="O13" s="8">
        <f>MOD(M13-L13,1)</f>
        <v>0.21319444444444444</v>
      </c>
    </row>
    <row r="14" ht="23.25" customHeight="1" spans="1:15" x14ac:dyDescent="0.25">
      <c r="A14" s="9" t="s">
        <v>53</v>
      </c>
      <c r="B14" s="10" t="s">
        <v>50</v>
      </c>
      <c r="C14" s="10" t="s">
        <v>51</v>
      </c>
      <c r="D14" s="10" t="s">
        <v>52</v>
      </c>
      <c r="E14" s="11">
        <v>0.6033101851851852</v>
      </c>
      <c r="F14" s="11">
        <v>0.6479513888888889</v>
      </c>
      <c r="G14" s="11">
        <v>0.6810879629629629</v>
      </c>
      <c r="H14" s="10" t="s">
        <v>54</v>
      </c>
      <c r="I14" s="10" t="s">
        <v>55</v>
      </c>
      <c r="J14" s="10" t="s">
        <v>56</v>
      </c>
      <c r="K14" s="10" t="s">
        <v>19</v>
      </c>
      <c r="L14" s="10" t="s">
        <v>19</v>
      </c>
      <c r="M14" s="10" t="s">
        <v>19</v>
      </c>
      <c r="N14" s="11">
        <f>MOD(G14-F14,1)</f>
        <v>0.03333333333333333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51</v>
      </c>
      <c r="D15" s="7" t="s">
        <v>59</v>
      </c>
      <c r="E15" s="8">
        <v>0.6167708333333334</v>
      </c>
      <c r="F15" s="8">
        <v>0.666261574074074</v>
      </c>
      <c r="G15" s="8">
        <v>0.7028356481481481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0.03680555555555556</v>
      </c>
      <c r="O15" s="8">
        <f>MOD(M15-L15,1)</f>
        <v>0</v>
      </c>
    </row>
    <row r="16" ht="23.25" customHeight="1" spans="1:15" x14ac:dyDescent="0.25">
      <c r="A16" s="9" t="s">
        <v>60</v>
      </c>
      <c r="B16" s="10" t="s">
        <v>61</v>
      </c>
      <c r="C16" s="10" t="s">
        <v>62</v>
      </c>
      <c r="D16" s="10" t="s">
        <v>63</v>
      </c>
      <c r="E16" s="11">
        <v>0.7405439814814815</v>
      </c>
      <c r="F16" s="11">
        <v>0.7807291666666667</v>
      </c>
      <c r="G16" s="11">
        <v>0.8083796296296296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0.027777777777777776</v>
      </c>
      <c r="O16" s="11">
        <f>MOD(M16-L16,1)</f>
        <v>0</v>
      </c>
    </row>
    <row r="17" ht="23.25" customHeight="1" spans="1:15" x14ac:dyDescent="0.25">
      <c r="A17" s="6" t="s">
        <v>64</v>
      </c>
      <c r="B17" s="7" t="s">
        <v>65</v>
      </c>
      <c r="C17" s="7" t="s">
        <v>66</v>
      </c>
      <c r="D17" s="7" t="s">
        <v>67</v>
      </c>
      <c r="E17" s="8">
        <v>0.5234953703703704</v>
      </c>
      <c r="F17" s="8">
        <v>0.5656365740740741</v>
      </c>
      <c r="G17" s="8">
        <v>0.643599537037037</v>
      </c>
      <c r="H17" s="7" t="s">
        <v>68</v>
      </c>
      <c r="I17" s="7" t="s">
        <v>69</v>
      </c>
      <c r="J17" s="7" t="s">
        <v>70</v>
      </c>
      <c r="K17" s="8">
        <v>0.6369791666666667</v>
      </c>
      <c r="L17" s="8">
        <v>0.6690046296296296</v>
      </c>
      <c r="M17" s="8">
        <v>0.7038425925925926</v>
      </c>
      <c r="N17" s="8">
        <f>MOD(G17-F17,1)</f>
        <v>0.07777777777777778</v>
      </c>
      <c r="O17" s="8">
        <f>MOD(M17-L17,1)</f>
        <v>0.034722222222222224</v>
      </c>
    </row>
    <row r="18" ht="23.25" customHeight="1" spans="1:15" x14ac:dyDescent="0.25">
      <c r="A18" s="9" t="s">
        <v>71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72</v>
      </c>
      <c r="B19" s="7" t="s">
        <v>73</v>
      </c>
      <c r="C19" s="7" t="s">
        <v>74</v>
      </c>
      <c r="D19" s="7" t="s">
        <v>75</v>
      </c>
      <c r="E19" s="8">
        <v>0.5540046296296296</v>
      </c>
      <c r="F19" s="8">
        <v>0.5994212962962963</v>
      </c>
      <c r="G19" s="8">
        <v>0.6140046296296297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0.014583333333333334</v>
      </c>
      <c r="O19" s="8">
        <f>MOD(M19-L19,1)</f>
        <v>0</v>
      </c>
    </row>
    <row r="20" ht="23.25" customHeight="1" spans="1:15" x14ac:dyDescent="0.25">
      <c r="A20" s="9" t="s">
        <v>76</v>
      </c>
      <c r="B20" s="10" t="s">
        <v>77</v>
      </c>
      <c r="C20" s="10" t="s">
        <v>78</v>
      </c>
      <c r="D20" s="10" t="s">
        <v>79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80</v>
      </c>
      <c r="B21" s="7" t="s">
        <v>54</v>
      </c>
      <c r="C21" s="7" t="s">
        <v>55</v>
      </c>
      <c r="D21" s="7" t="s">
        <v>56</v>
      </c>
      <c r="E21" s="8">
        <v>0.5983796296296297</v>
      </c>
      <c r="F21" s="8">
        <v>0.6482175925925926</v>
      </c>
      <c r="G21" s="8">
        <v>0.6742592592592592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0.02638888888888889</v>
      </c>
      <c r="O21" s="8">
        <f>MOD(M21-L21,1)</f>
        <v>0</v>
      </c>
    </row>
    <row r="22" ht="23.25" customHeight="1" spans="1:15" x14ac:dyDescent="0.25">
      <c r="A22" s="9" t="s">
        <v>81</v>
      </c>
      <c r="B22" s="10" t="s">
        <v>54</v>
      </c>
      <c r="C22" s="10" t="s">
        <v>55</v>
      </c>
      <c r="D22" s="10" t="s">
        <v>56</v>
      </c>
      <c r="E22" s="11">
        <v>0.1579861111111111</v>
      </c>
      <c r="F22" s="11">
        <v>0.22880787037037037</v>
      </c>
      <c r="G22" s="11">
        <v>0.2709375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0.04236111111111111</v>
      </c>
      <c r="O22" s="11">
        <f>MOD(M22-L22,1)</f>
        <v>0</v>
      </c>
    </row>
    <row r="23" ht="23.25" customHeight="1" spans="1:15" x14ac:dyDescent="0.25">
      <c r="A23" s="6" t="s">
        <v>82</v>
      </c>
      <c r="B23" s="7" t="s">
        <v>83</v>
      </c>
      <c r="C23" s="7" t="s">
        <v>84</v>
      </c>
      <c r="D23" s="7" t="s">
        <v>85</v>
      </c>
      <c r="E23" s="8">
        <v>0.7642939814814815</v>
      </c>
      <c r="F23" s="8">
        <v>0.7963194444444445</v>
      </c>
      <c r="G23" s="8">
        <v>0.8167824074074074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0.02013888888888889</v>
      </c>
      <c r="O23" s="8">
        <f>MOD(M23-L23,1)</f>
        <v>0</v>
      </c>
    </row>
    <row r="24" ht="23.25" customHeight="1" spans="1:15" x14ac:dyDescent="0.25">
      <c r="A24" s="9" t="s">
        <v>86</v>
      </c>
      <c r="B24" s="10" t="s">
        <v>13</v>
      </c>
      <c r="C24" s="10" t="s">
        <v>14</v>
      </c>
      <c r="D24" s="10" t="s">
        <v>15</v>
      </c>
      <c r="E24" s="11">
        <v>0.1878240740740741</v>
      </c>
      <c r="F24" s="11">
        <v>0.21862268518518518</v>
      </c>
      <c r="G24" s="11">
        <v>0.2850578703703704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0.06666666666666667</v>
      </c>
      <c r="O24" s="11">
        <f>MOD(M24-L24,1)</f>
        <v>0</v>
      </c>
    </row>
    <row r="25" ht="23.25" customHeight="1" spans="1:15" x14ac:dyDescent="0.25">
      <c r="A25" s="6" t="s">
        <v>87</v>
      </c>
      <c r="B25" s="7" t="s">
        <v>88</v>
      </c>
      <c r="C25" s="7" t="s">
        <v>44</v>
      </c>
      <c r="D25" s="7" t="s">
        <v>89</v>
      </c>
      <c r="E25" s="7" t="s">
        <v>19</v>
      </c>
      <c r="F25" s="7" t="s">
        <v>19</v>
      </c>
      <c r="G25" s="7" t="s">
        <v>19</v>
      </c>
      <c r="H25" s="7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39</v>
      </c>
      <c r="C26" s="10" t="s">
        <v>40</v>
      </c>
      <c r="D26" s="10" t="s">
        <v>41</v>
      </c>
      <c r="E26" s="11">
        <v>0.7995023148148148</v>
      </c>
      <c r="F26" s="11">
        <v>0.8268865740740741</v>
      </c>
      <c r="G26" s="11">
        <v>0.8533912037037037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0.02638888888888889</v>
      </c>
      <c r="O26" s="11">
        <f>MOD(M26-L26,1)</f>
        <v>0</v>
      </c>
    </row>
    <row r="27" ht="23.25" customHeight="1" spans="1:15" x14ac:dyDescent="0.25">
      <c r="A27" s="6" t="s">
        <v>91</v>
      </c>
      <c r="B27" s="7" t="s">
        <v>92</v>
      </c>
      <c r="C27" s="7" t="s">
        <v>93</v>
      </c>
      <c r="D27" s="7" t="s">
        <v>94</v>
      </c>
      <c r="E27" s="8">
        <v>0.16354166666666667</v>
      </c>
      <c r="F27" s="8">
        <v>0.19471064814814815</v>
      </c>
      <c r="G27" s="8">
        <v>0.36290509259259257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0.16805555555555557</v>
      </c>
      <c r="O27" s="8">
        <f>MOD(M27-L27,1)</f>
        <v>0</v>
      </c>
    </row>
    <row r="28" ht="23.25" customHeight="1" spans="1:15" x14ac:dyDescent="0.25">
      <c r="A28" s="9" t="s">
        <v>95</v>
      </c>
      <c r="B28" s="10" t="s">
        <v>96</v>
      </c>
      <c r="C28" s="10" t="s">
        <v>97</v>
      </c>
      <c r="D28" s="10" t="s">
        <v>98</v>
      </c>
      <c r="E28" s="11">
        <v>0.2154976851851852</v>
      </c>
      <c r="F28" s="11">
        <v>0.26484953703703706</v>
      </c>
      <c r="G28" s="11">
        <v>0.4732060185185185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0.20833333333333334</v>
      </c>
      <c r="O28" s="11">
        <f>MOD(M28-L28,1)</f>
        <v>0</v>
      </c>
    </row>
    <row r="29" ht="23.25" customHeight="1" spans="1:15" x14ac:dyDescent="0.25">
      <c r="A29" s="6" t="s">
        <v>99</v>
      </c>
      <c r="B29" s="7" t="s">
        <v>100</v>
      </c>
      <c r="C29" s="7" t="s">
        <v>101</v>
      </c>
      <c r="D29" s="7" t="s">
        <v>102</v>
      </c>
      <c r="E29" s="7" t="s">
        <v>19</v>
      </c>
      <c r="F29" s="7" t="s">
        <v>19</v>
      </c>
      <c r="G29" s="7" t="s">
        <v>19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103</v>
      </c>
      <c r="B30" s="10" t="s">
        <v>96</v>
      </c>
      <c r="C30" s="10" t="s">
        <v>97</v>
      </c>
      <c r="D30" s="10" t="s">
        <v>98</v>
      </c>
      <c r="E30" s="11">
        <v>0.7494328703703703</v>
      </c>
      <c r="F30" s="11">
        <v>0.7953240740740741</v>
      </c>
      <c r="G30" s="11">
        <v>0.8254166666666667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0.029861111111111113</v>
      </c>
      <c r="O30" s="11">
        <f>MOD(M30-L30,1)</f>
        <v>0</v>
      </c>
    </row>
    <row r="31" ht="23.25" customHeight="1" spans="1:15" x14ac:dyDescent="0.25">
      <c r="A31" s="6" t="s">
        <v>104</v>
      </c>
      <c r="B31" s="7" t="s">
        <v>31</v>
      </c>
      <c r="C31" s="7" t="s">
        <v>32</v>
      </c>
      <c r="D31" s="7" t="s">
        <v>33</v>
      </c>
      <c r="E31" s="7" t="s">
        <v>19</v>
      </c>
      <c r="F31" s="7" t="s">
        <v>19</v>
      </c>
      <c r="G31" s="7" t="s">
        <v>19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54</v>
      </c>
      <c r="C32" s="10" t="s">
        <v>55</v>
      </c>
      <c r="D32" s="10" t="s">
        <v>56</v>
      </c>
      <c r="E32" s="11">
        <v>0.1579861111111111</v>
      </c>
      <c r="F32" s="11">
        <v>0.18962962962962962</v>
      </c>
      <c r="G32" s="11">
        <v>0.22162037037037038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0.03194444444444444</v>
      </c>
      <c r="O32" s="11">
        <f>MOD(M32-L32,1)</f>
        <v>0</v>
      </c>
    </row>
    <row r="33" ht="23.25" customHeight="1" spans="1:15" x14ac:dyDescent="0.25">
      <c r="A33" s="6" t="s">
        <v>106</v>
      </c>
      <c r="B33" s="7" t="s">
        <v>107</v>
      </c>
      <c r="C33" s="7" t="s">
        <v>108</v>
      </c>
      <c r="D33" s="7" t="s">
        <v>109</v>
      </c>
      <c r="E33" s="8">
        <v>0.5267476851851852</v>
      </c>
      <c r="F33" s="8">
        <v>0.5719212962962963</v>
      </c>
      <c r="G33" s="8">
        <v>0.5900925925925926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0.018055555555555554</v>
      </c>
      <c r="O33" s="8">
        <f>MOD(M33-L33,1)</f>
        <v>0</v>
      </c>
    </row>
    <row r="34" ht="23.25" customHeight="1" spans="1:15" x14ac:dyDescent="0.25">
      <c r="A34" s="9" t="s">
        <v>110</v>
      </c>
      <c r="B34" s="10" t="s">
        <v>107</v>
      </c>
      <c r="C34" s="10" t="s">
        <v>108</v>
      </c>
      <c r="D34" s="10" t="s">
        <v>109</v>
      </c>
      <c r="E34" s="11">
        <v>0.5267476851851852</v>
      </c>
      <c r="F34" s="11">
        <v>0.6001388888888889</v>
      </c>
      <c r="G34" s="11">
        <v>0.6205671296296297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0.02013888888888889</v>
      </c>
      <c r="O34" s="11">
        <f>MOD(M34-L34,1)</f>
        <v>0</v>
      </c>
    </row>
    <row r="35" ht="23.25" customHeight="1" spans="1:15" x14ac:dyDescent="0.25">
      <c r="A35" s="6" t="s">
        <v>111</v>
      </c>
      <c r="B35" s="7" t="s">
        <v>112</v>
      </c>
      <c r="C35" s="7" t="s">
        <v>40</v>
      </c>
      <c r="D35" s="7" t="s">
        <v>113</v>
      </c>
      <c r="E35" s="7" t="s">
        <v>19</v>
      </c>
      <c r="F35" s="7" t="s">
        <v>19</v>
      </c>
      <c r="G35" s="7" t="s">
        <v>19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114</v>
      </c>
      <c r="B36" s="10" t="s">
        <v>35</v>
      </c>
      <c r="C36" s="10" t="s">
        <v>66</v>
      </c>
      <c r="D36" s="10" t="s">
        <v>115</v>
      </c>
      <c r="E36" s="11">
        <v>0.7782291666666666</v>
      </c>
      <c r="F36" s="11">
        <v>0.8228009259259259</v>
      </c>
      <c r="G36" s="11">
        <v>0.8383101851851852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0.015277777777777777</v>
      </c>
      <c r="O36" s="11">
        <f>MOD(M36-L36,1)</f>
        <v>0</v>
      </c>
    </row>
    <row r="37" ht="23.25" customHeight="1" spans="1:15" x14ac:dyDescent="0.25">
      <c r="A37" s="6" t="s">
        <v>116</v>
      </c>
      <c r="B37" s="7" t="s">
        <v>88</v>
      </c>
      <c r="C37" s="7" t="s">
        <v>44</v>
      </c>
      <c r="D37" s="7" t="s">
        <v>117</v>
      </c>
      <c r="E37" s="7" t="s">
        <v>19</v>
      </c>
      <c r="F37" s="7" t="s">
        <v>19</v>
      </c>
      <c r="G37" s="7" t="s">
        <v>19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118</v>
      </c>
      <c r="B38" s="10" t="s">
        <v>27</v>
      </c>
      <c r="C38" s="10" t="s">
        <v>28</v>
      </c>
      <c r="D38" s="10" t="s">
        <v>29</v>
      </c>
      <c r="E38" s="10" t="s">
        <v>19</v>
      </c>
      <c r="F38" s="10" t="s">
        <v>19</v>
      </c>
      <c r="G38" s="10" t="s">
        <v>19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119</v>
      </c>
      <c r="B39" s="7" t="s">
        <v>120</v>
      </c>
      <c r="C39" s="7" t="s">
        <v>121</v>
      </c>
      <c r="D39" s="7" t="s">
        <v>122</v>
      </c>
      <c r="E39" s="7" t="s">
        <v>19</v>
      </c>
      <c r="F39" s="7" t="s">
        <v>19</v>
      </c>
      <c r="G39" s="7" t="s">
        <v>19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123</v>
      </c>
      <c r="B40" s="10" t="s">
        <v>124</v>
      </c>
      <c r="C40" s="10" t="s">
        <v>125</v>
      </c>
      <c r="D40" s="10" t="s">
        <v>126</v>
      </c>
      <c r="E40" s="10" t="s">
        <v>19</v>
      </c>
      <c r="F40" s="10" t="s">
        <v>19</v>
      </c>
      <c r="G40" s="10" t="s">
        <v>19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127</v>
      </c>
      <c r="B41" s="7" t="s">
        <v>27</v>
      </c>
      <c r="C41" s="7" t="s">
        <v>28</v>
      </c>
      <c r="D41" s="7" t="s">
        <v>29</v>
      </c>
      <c r="E41" s="7" t="s">
        <v>19</v>
      </c>
      <c r="F41" s="7" t="s">
        <v>19</v>
      </c>
      <c r="G41" s="7" t="s">
        <v>19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</v>
      </c>
      <c r="O41" s="8">
        <f>MOD(M41-L41,1)</f>
        <v>0</v>
      </c>
    </row>
    <row r="42" ht="23.25" customHeight="1" spans="1:15" x14ac:dyDescent="0.25">
      <c r="A42" s="9" t="s">
        <v>128</v>
      </c>
      <c r="B42" s="10" t="s">
        <v>129</v>
      </c>
      <c r="C42" s="10" t="s">
        <v>93</v>
      </c>
      <c r="D42" s="10" t="s">
        <v>94</v>
      </c>
      <c r="E42" s="11">
        <v>0.6191435185185186</v>
      </c>
      <c r="F42" s="11">
        <v>0.6573263888888888</v>
      </c>
      <c r="G42" s="11">
        <v>0.6791435185185185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0.021527777777777778</v>
      </c>
      <c r="O42" s="11">
        <f>MOD(M42-L42,1)</f>
        <v>0</v>
      </c>
    </row>
    <row r="43" ht="23.25" customHeight="1" spans="1:15" x14ac:dyDescent="0.25">
      <c r="A43" s="6" t="s">
        <v>130</v>
      </c>
      <c r="B43" s="7" t="s">
        <v>27</v>
      </c>
      <c r="C43" s="7" t="s">
        <v>28</v>
      </c>
      <c r="D43" s="7" t="s">
        <v>29</v>
      </c>
      <c r="E43" s="7" t="s">
        <v>19</v>
      </c>
      <c r="F43" s="7" t="s">
        <v>19</v>
      </c>
      <c r="G43" s="7" t="s">
        <v>19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</v>
      </c>
      <c r="O43" s="8">
        <f>MOD(M43-L43,1)</f>
        <v>0</v>
      </c>
    </row>
    <row r="44" ht="23.25" customHeight="1" spans="1:15" x14ac:dyDescent="0.25">
      <c r="A44" s="9" t="s">
        <v>131</v>
      </c>
      <c r="B44" s="10" t="s">
        <v>88</v>
      </c>
      <c r="C44" s="10" t="s">
        <v>44</v>
      </c>
      <c r="D44" s="10" t="s">
        <v>117</v>
      </c>
      <c r="E44" s="10" t="s">
        <v>19</v>
      </c>
      <c r="F44" s="10" t="s">
        <v>19</v>
      </c>
      <c r="G44" s="10" t="s">
        <v>19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132</v>
      </c>
      <c r="B45" s="7" t="s">
        <v>124</v>
      </c>
      <c r="C45" s="7" t="s">
        <v>125</v>
      </c>
      <c r="D45" s="7" t="s">
        <v>126</v>
      </c>
      <c r="E45" s="7" t="s">
        <v>19</v>
      </c>
      <c r="F45" s="7" t="s">
        <v>19</v>
      </c>
      <c r="G45" s="7" t="s">
        <v>19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133</v>
      </c>
      <c r="B46" s="10" t="s">
        <v>100</v>
      </c>
      <c r="C46" s="10" t="s">
        <v>101</v>
      </c>
      <c r="D46" s="10" t="s">
        <v>102</v>
      </c>
      <c r="E46" s="10" t="s">
        <v>19</v>
      </c>
      <c r="F46" s="10" t="s">
        <v>19</v>
      </c>
      <c r="G46" s="10" t="s">
        <v>19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134</v>
      </c>
      <c r="B47" s="7" t="s">
        <v>135</v>
      </c>
      <c r="C47" s="7" t="s">
        <v>136</v>
      </c>
      <c r="D47" s="7" t="s">
        <v>137</v>
      </c>
      <c r="E47" s="8">
        <v>0.6181018518518518</v>
      </c>
      <c r="F47" s="8">
        <v>0.6477893518518518</v>
      </c>
      <c r="G47" s="8">
        <v>0.7147453703703703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0.06666666666666667</v>
      </c>
      <c r="O47" s="8">
        <f>MOD(M47-L47,1)</f>
        <v>0</v>
      </c>
    </row>
    <row r="48" ht="23.25" customHeight="1" spans="1:15" x14ac:dyDescent="0.25">
      <c r="A48" s="9" t="s">
        <v>138</v>
      </c>
      <c r="B48" s="10" t="s">
        <v>35</v>
      </c>
      <c r="C48" s="10" t="s">
        <v>36</v>
      </c>
      <c r="D48" s="10" t="s">
        <v>37</v>
      </c>
      <c r="E48" s="11">
        <v>0.7372916666666667</v>
      </c>
      <c r="F48" s="11">
        <v>0.7692476851851852</v>
      </c>
      <c r="G48" s="11">
        <v>0.7871180555555556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1">
        <f>MOD(G48-F48,1)</f>
        <v>0.018055555555555554</v>
      </c>
      <c r="O48" s="11">
        <f>MOD(M48-L48,1)</f>
        <v>0</v>
      </c>
    </row>
    <row r="49" ht="23.25" customHeight="1" spans="1:15" x14ac:dyDescent="0.25">
      <c r="A49" s="6" t="s">
        <v>139</v>
      </c>
      <c r="B49" s="7" t="s">
        <v>140</v>
      </c>
      <c r="C49" s="7" t="s">
        <v>141</v>
      </c>
      <c r="D49" s="7" t="s">
        <v>142</v>
      </c>
      <c r="E49" s="8">
        <v>0.19559027777777777</v>
      </c>
      <c r="F49" s="8">
        <v>0.29885416666666664</v>
      </c>
      <c r="G49" s="8">
        <v>0.5261458333333333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8">
        <f>MOD(G49-F49,1)</f>
        <v>0.22708333333333333</v>
      </c>
      <c r="O49" s="8">
        <f>MOD(M49-L49,1)</f>
        <v>0</v>
      </c>
    </row>
    <row r="50" ht="23.25" customHeight="1" spans="1:15" x14ac:dyDescent="0.25">
      <c r="A50" s="9" t="s">
        <v>143</v>
      </c>
      <c r="B50" s="10" t="s">
        <v>140</v>
      </c>
      <c r="C50" s="10" t="s">
        <v>141</v>
      </c>
      <c r="D50" s="10" t="s">
        <v>142</v>
      </c>
      <c r="E50" s="11">
        <v>0.19559027777777777</v>
      </c>
      <c r="F50" s="11">
        <v>0.22806712962962963</v>
      </c>
      <c r="G50" s="11">
        <v>0.2881944444444444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1">
        <f>MOD(G50-F50,1)</f>
        <v>0.06041666666666667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144</v>
      </c>
      <c r="D1" s="12" t="s">
        <v>145</v>
      </c>
      <c r="E1" s="12" t="s">
        <v>146</v>
      </c>
      <c r="F1" s="12" t="s">
        <v>147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148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46</v>
      </c>
      <c r="F8" s="13">
        <f>IFERROR(VLOOKUP(E8,C:D,2,FALSE),"")</f>
      </c>
    </row>
    <row r="9" spans="3:6" x14ac:dyDescent="0.25">
      <c r="C9" s="13">
        <v>8</v>
      </c>
      <c r="D9" s="13" t="s">
        <v>53</v>
      </c>
      <c r="F9" s="13">
        <f>IFERROR(VLOOKUP(E9,C:D,2,FALSE),"")</f>
      </c>
    </row>
    <row r="10" spans="3:6" x14ac:dyDescent="0.25">
      <c r="C10" s="13">
        <v>9</v>
      </c>
      <c r="D10" s="13" t="s">
        <v>57</v>
      </c>
      <c r="F10" s="13">
        <f>IFERROR(VLOOKUP(E10,C:D,2,FALSE),"")</f>
      </c>
    </row>
    <row r="11" spans="3:6" x14ac:dyDescent="0.25">
      <c r="C11" s="13">
        <v>10</v>
      </c>
      <c r="D11" s="13" t="s">
        <v>60</v>
      </c>
      <c r="F11" s="13">
        <f>IFERROR(VLOOKUP(E11,C:D,2,FALSE),"")</f>
      </c>
    </row>
    <row r="12" spans="3:6" x14ac:dyDescent="0.25">
      <c r="C12" s="13">
        <v>11</v>
      </c>
      <c r="D12" s="13" t="s">
        <v>64</v>
      </c>
      <c r="F12" s="13">
        <f>IFERROR(VLOOKUP(E12,C:D,2,FALSE),"")</f>
      </c>
    </row>
    <row r="13" spans="3:6" x14ac:dyDescent="0.25">
      <c r="C13" s="13">
        <v>12</v>
      </c>
      <c r="D13" s="13" t="s">
        <v>72</v>
      </c>
      <c r="F13" s="13">
        <f>IFERROR(VLOOKUP(E13,C:D,2,FALSE),"")</f>
      </c>
    </row>
    <row r="14" spans="3:6" x14ac:dyDescent="0.25">
      <c r="C14" s="13">
        <v>13</v>
      </c>
      <c r="D14" s="13" t="s">
        <v>76</v>
      </c>
      <c r="F14" s="13">
        <f>IFERROR(VLOOKUP(E14,C:D,2,FALSE),"")</f>
      </c>
    </row>
    <row r="15" spans="3:6" x14ac:dyDescent="0.25">
      <c r="C15" s="13">
        <v>14</v>
      </c>
      <c r="D15" s="13" t="s">
        <v>80</v>
      </c>
      <c r="F15" s="13">
        <f>IFERROR(VLOOKUP(E15,C:D,2,FALSE),"")</f>
      </c>
    </row>
    <row r="16" spans="3:6" x14ac:dyDescent="0.25">
      <c r="C16" s="13">
        <v>15</v>
      </c>
      <c r="D16" s="13" t="s">
        <v>81</v>
      </c>
      <c r="F16" s="13">
        <f>IFERROR(VLOOKUP(E16,C:D,2,FALSE),"")</f>
      </c>
    </row>
    <row r="17" spans="3:6" x14ac:dyDescent="0.25">
      <c r="C17" s="13">
        <v>16</v>
      </c>
      <c r="D17" s="13" t="s">
        <v>149</v>
      </c>
      <c r="F17" s="13">
        <f>IFERROR(VLOOKUP(E17,C:D,2,FALSE),"")</f>
      </c>
    </row>
    <row r="18" spans="3:6" x14ac:dyDescent="0.25">
      <c r="C18" s="13">
        <v>17</v>
      </c>
      <c r="D18" s="13" t="s">
        <v>82</v>
      </c>
      <c r="F18" s="13">
        <f>IFERROR(VLOOKUP(E18,C:D,2,FALSE),"")</f>
      </c>
    </row>
    <row r="19" spans="3:6" x14ac:dyDescent="0.25">
      <c r="C19" s="13">
        <v>18</v>
      </c>
      <c r="D19" s="13" t="s">
        <v>86</v>
      </c>
      <c r="F19" s="13">
        <f>IFERROR(VLOOKUP(E19,C:D,2,FALSE),"")</f>
      </c>
    </row>
    <row r="20" spans="3:6" x14ac:dyDescent="0.25">
      <c r="C20" s="13">
        <v>19</v>
      </c>
      <c r="D20" s="13" t="s">
        <v>87</v>
      </c>
      <c r="F20" s="13">
        <f>IFERROR(VLOOKUP(E20,C:D,2,FALSE),"")</f>
      </c>
    </row>
    <row r="21" spans="3:6" x14ac:dyDescent="0.25">
      <c r="C21" s="13">
        <v>20</v>
      </c>
      <c r="D21" s="13" t="s">
        <v>90</v>
      </c>
      <c r="F21" s="13">
        <f>IFERROR(VLOOKUP(E21,C:D,2,FALSE),"")</f>
      </c>
    </row>
    <row r="22" spans="3:6" x14ac:dyDescent="0.25">
      <c r="C22" s="13">
        <v>21</v>
      </c>
      <c r="D22" s="13" t="s">
        <v>91</v>
      </c>
      <c r="F22" s="13">
        <f>IFERROR(VLOOKUP(E22,C:D,2,FALSE),"")</f>
      </c>
    </row>
    <row r="23" spans="3:6" x14ac:dyDescent="0.25">
      <c r="C23" s="13">
        <v>22</v>
      </c>
      <c r="D23" s="13" t="s">
        <v>95</v>
      </c>
      <c r="F23" s="13">
        <f>IFERROR(VLOOKUP(E23,C:D,2,FALSE),"")</f>
      </c>
    </row>
    <row r="24" spans="3:6" x14ac:dyDescent="0.25">
      <c r="C24" s="13">
        <v>23</v>
      </c>
      <c r="D24" s="13" t="s">
        <v>99</v>
      </c>
      <c r="F24" s="13">
        <f>IFERROR(VLOOKUP(E24,C:D,2,FALSE),"")</f>
      </c>
    </row>
    <row r="25" spans="3:6" x14ac:dyDescent="0.25">
      <c r="C25" s="13">
        <v>24</v>
      </c>
      <c r="D25" s="13" t="s">
        <v>150</v>
      </c>
      <c r="F25" s="13">
        <f>IFERROR(VLOOKUP(E25,C:D,2,FALSE),"")</f>
      </c>
    </row>
    <row r="26" spans="3:6" x14ac:dyDescent="0.25">
      <c r="C26" s="13">
        <v>25</v>
      </c>
      <c r="D26" s="13" t="s">
        <v>103</v>
      </c>
      <c r="F26" s="13">
        <f>IFERROR(VLOOKUP(E26,C:D,2,FALSE),"")</f>
      </c>
    </row>
    <row r="27" spans="3:6" x14ac:dyDescent="0.25">
      <c r="C27" s="13">
        <v>26</v>
      </c>
      <c r="D27" s="13" t="s">
        <v>104</v>
      </c>
      <c r="F27" s="13">
        <f>IFERROR(VLOOKUP(E27,C:D,2,FALSE),"")</f>
      </c>
    </row>
    <row r="28" spans="3:6" x14ac:dyDescent="0.25">
      <c r="C28" s="13">
        <v>27</v>
      </c>
      <c r="D28" s="13" t="s">
        <v>105</v>
      </c>
      <c r="F28" s="13">
        <f>IFERROR(VLOOKUP(E28,C:D,2,FALSE),"")</f>
      </c>
    </row>
    <row r="29" spans="3:6" x14ac:dyDescent="0.25">
      <c r="C29" s="13">
        <v>28</v>
      </c>
      <c r="D29" s="13" t="s">
        <v>106</v>
      </c>
      <c r="F29" s="13">
        <f>IFERROR(VLOOKUP(E29,C:D,2,FALSE),"")</f>
      </c>
    </row>
    <row r="30" spans="3:6" x14ac:dyDescent="0.25">
      <c r="C30" s="13">
        <v>29</v>
      </c>
      <c r="D30" s="13" t="s">
        <v>110</v>
      </c>
      <c r="F30" s="13">
        <f>IFERROR(VLOOKUP(E30,C:D,2,FALSE),"")</f>
      </c>
    </row>
    <row r="31" spans="3:6" x14ac:dyDescent="0.25">
      <c r="C31" s="13">
        <v>30</v>
      </c>
      <c r="D31" s="13" t="s">
        <v>111</v>
      </c>
      <c r="F31" s="13">
        <f>IFERROR(VLOOKUP(E31,C:D,2,FALSE),"")</f>
      </c>
    </row>
    <row r="32" spans="3:6" x14ac:dyDescent="0.25">
      <c r="C32" s="13">
        <v>31</v>
      </c>
      <c r="D32" s="13" t="s">
        <v>114</v>
      </c>
      <c r="F32" s="13">
        <f>IFERROR(VLOOKUP(E32,C:D,2,FALSE),"")</f>
      </c>
    </row>
    <row r="33" spans="3:6" x14ac:dyDescent="0.25">
      <c r="C33" s="13">
        <v>32</v>
      </c>
      <c r="D33" s="13" t="s">
        <v>116</v>
      </c>
      <c r="F33" s="13">
        <f>IFERROR(VLOOKUP(E33,C:D,2,FALSE),"")</f>
      </c>
    </row>
    <row r="34" spans="3:6" x14ac:dyDescent="0.25">
      <c r="C34" s="13">
        <v>33</v>
      </c>
      <c r="D34" s="13" t="s">
        <v>118</v>
      </c>
      <c r="F34" s="13">
        <f>IFERROR(VLOOKUP(E34,C:D,2,FALSE),"")</f>
      </c>
    </row>
    <row r="35" spans="3:6" x14ac:dyDescent="0.25">
      <c r="C35" s="13">
        <v>34</v>
      </c>
      <c r="D35" s="13" t="s">
        <v>119</v>
      </c>
      <c r="F35" s="13">
        <f>IFERROR(VLOOKUP(E35,C:D,2,FALSE),"")</f>
      </c>
    </row>
    <row r="36" spans="3:6" x14ac:dyDescent="0.25">
      <c r="C36" s="13">
        <v>35</v>
      </c>
      <c r="D36" s="13" t="s">
        <v>123</v>
      </c>
      <c r="F36" s="13">
        <f>IFERROR(VLOOKUP(E36,C:D,2,FALSE),"")</f>
      </c>
    </row>
    <row r="37" spans="3:6" x14ac:dyDescent="0.25">
      <c r="C37" s="13">
        <v>36</v>
      </c>
      <c r="D37" s="13" t="s">
        <v>127</v>
      </c>
      <c r="F37" s="13">
        <f>IFERROR(VLOOKUP(E37,C:D,2,FALSE),"")</f>
      </c>
    </row>
    <row r="38" spans="3:6" x14ac:dyDescent="0.25">
      <c r="C38" s="13">
        <v>37</v>
      </c>
      <c r="D38" s="13" t="s">
        <v>151</v>
      </c>
      <c r="F38" s="13">
        <f>IFERROR(VLOOKUP(E38,C:D,2,FALSE),"")</f>
      </c>
    </row>
    <row r="39" spans="3:6" x14ac:dyDescent="0.25">
      <c r="C39" s="13">
        <v>38</v>
      </c>
      <c r="D39" s="13" t="s">
        <v>128</v>
      </c>
      <c r="F39" s="13">
        <f>IFERROR(VLOOKUP(E39,C:D,2,FALSE),"")</f>
      </c>
    </row>
    <row r="40" spans="3:6" x14ac:dyDescent="0.25">
      <c r="C40" s="13">
        <v>39</v>
      </c>
      <c r="D40" s="13" t="s">
        <v>152</v>
      </c>
      <c r="F40" s="13">
        <f>IFERROR(VLOOKUP(E40,C:D,2,FALSE),"")</f>
      </c>
    </row>
    <row r="41" spans="3:6" x14ac:dyDescent="0.25">
      <c r="C41" s="13">
        <v>40</v>
      </c>
      <c r="D41" s="13" t="s">
        <v>130</v>
      </c>
      <c r="F41" s="13">
        <f>IFERROR(VLOOKUP(E41,C:D,2,FALSE),"")</f>
      </c>
    </row>
    <row r="42" spans="3:6" x14ac:dyDescent="0.25">
      <c r="C42" s="13">
        <v>41</v>
      </c>
      <c r="D42" s="13" t="s">
        <v>153</v>
      </c>
      <c r="F42" s="13">
        <f>IFERROR(VLOOKUP(E42,C:D,2,FALSE),"")</f>
      </c>
    </row>
    <row r="43" spans="3:6" x14ac:dyDescent="0.25">
      <c r="C43" s="13">
        <v>42</v>
      </c>
      <c r="D43" s="13" t="s">
        <v>131</v>
      </c>
      <c r="F43" s="13">
        <f>IFERROR(VLOOKUP(E43,C:D,2,FALSE),"")</f>
      </c>
    </row>
    <row r="44" spans="3:6" x14ac:dyDescent="0.25">
      <c r="C44" s="13">
        <v>43</v>
      </c>
      <c r="D44" s="13" t="s">
        <v>132</v>
      </c>
      <c r="F44" s="13">
        <f>IFERROR(VLOOKUP(E44,C:D,2,FALSE),"")</f>
      </c>
    </row>
    <row r="45" spans="3:6" x14ac:dyDescent="0.25">
      <c r="C45" s="13">
        <v>44</v>
      </c>
      <c r="D45" s="13" t="s">
        <v>133</v>
      </c>
      <c r="F45" s="13">
        <f>IFERROR(VLOOKUP(E45,C:D,2,FALSE),"")</f>
      </c>
    </row>
    <row r="46" spans="3:6" x14ac:dyDescent="0.25">
      <c r="C46" s="13">
        <v>45</v>
      </c>
      <c r="D46" s="13" t="s">
        <v>134</v>
      </c>
      <c r="F46" s="13">
        <f>IFERROR(VLOOKUP(E46,C:D,2,FALSE),"")</f>
      </c>
    </row>
    <row r="47" spans="3:6" x14ac:dyDescent="0.25">
      <c r="C47" s="13">
        <v>46</v>
      </c>
      <c r="D47" s="13" t="s">
        <v>138</v>
      </c>
      <c r="F47" s="13">
        <f>IFERROR(VLOOKUP(E47,C:D,2,FALSE),"")</f>
      </c>
    </row>
    <row r="48" spans="3:6" x14ac:dyDescent="0.25">
      <c r="C48" s="13">
        <v>47</v>
      </c>
      <c r="D48" s="13" t="s">
        <v>139</v>
      </c>
      <c r="F48" s="13">
        <f>IFERROR(VLOOKUP(E48,C:D,2,FALSE),"")</f>
      </c>
    </row>
    <row r="49" spans="3:6" x14ac:dyDescent="0.25">
      <c r="C49" s="13">
        <v>48</v>
      </c>
      <c r="D49" s="13" t="s">
        <v>143</v>
      </c>
      <c r="F49" s="13">
        <f>IFERROR(VLOOKUP(E49,C:D,2,FALSE),"")</f>
      </c>
    </row>
    <row r="50" spans="3:6" x14ac:dyDescent="0.25">
      <c r="C50" s="13">
        <v>1129</v>
      </c>
      <c r="D50" s="13" t="s">
        <v>71</v>
      </c>
      <c r="F50" s="13">
        <f>IFERROR(VLOOKUP(E50,C:D,2,FALSE),"")</f>
      </c>
    </row>
    <row r="51" spans="3:6" x14ac:dyDescent="0.25">
      <c r="C51" s="13" t="s">
        <v>154</v>
      </c>
      <c r="D51" s="13" t="s">
        <v>12</v>
      </c>
      <c r="F51" s="13">
        <f>IFERROR(VLOOKUP(E51,C:D,2,FALSE),"")</f>
      </c>
    </row>
    <row r="52" spans="3:6" x14ac:dyDescent="0.25">
      <c r="C52" s="13" t="s">
        <v>155</v>
      </c>
      <c r="D52" s="13" t="s">
        <v>12</v>
      </c>
      <c r="F52" s="13">
        <f>IFERROR(VLOOKUP(E52,C:D,2,FALSE),"")</f>
      </c>
    </row>
    <row r="53" spans="3:6" x14ac:dyDescent="0.25">
      <c r="C53" s="13" t="s">
        <v>156</v>
      </c>
      <c r="D53" s="13" t="s">
        <v>20</v>
      </c>
      <c r="F53" s="13">
        <f>IFERROR(VLOOKUP(E53,C:D,2,FALSE),"")</f>
      </c>
    </row>
    <row r="54" spans="3:6" x14ac:dyDescent="0.25">
      <c r="C54" s="13" t="s">
        <v>157</v>
      </c>
      <c r="D54" s="13" t="s">
        <v>20</v>
      </c>
      <c r="F54" s="13">
        <f>IFERROR(VLOOKUP(E54,C:D,2,FALSE),"")</f>
      </c>
    </row>
    <row r="55" spans="3:6" x14ac:dyDescent="0.25">
      <c r="C55" s="13" t="s">
        <v>158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2026-05-28T21:47:12Z</dcterms:created>
  <dcterms:modified xsi:type="dcterms:W3CDTF">2026-05-28T21:47:12Z</dcterms:modified>
</cp:coreProperties>
</file>