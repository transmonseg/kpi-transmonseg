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<sst xmlns="http://schemas.openxmlformats.org/spreadsheetml/2006/main" count="622" uniqueCount="177">
  <si>
    <t xml:space="preserve">RELATÓRIO KPI - ZONA SUL
Terça-feira, 19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</si>
  <si>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</si>
  <si>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</si>
  <si>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</si>
  <si>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</si>
  <si>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</si>
  <si>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</si>
  <si>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</si>
  <si>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</si>
  <si>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</si>
  <si>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</si>
  <si>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</si>
  <si>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EXTRA F.31</t>
  </si>
  <si>
    <t>PAULO HENRIQUE</t>
  </si>
  <si>
    <t>807</t>
  </si>
  <si>
    <t>DBB-8D19</t>
  </si>
  <si>
    <t>SEM RASTREADOR</t>
  </si>
  <si>
    <t/>
  </si>
  <si>
    <t>MEGA BOX 01 - Olaria</t>
  </si>
  <si>
    <t>MILTON</t>
  </si>
  <si>
    <t>809</t>
  </si>
  <si>
    <t>KOP-4978</t>
  </si>
  <si>
    <t>PAULO ROBERTO</t>
  </si>
  <si>
    <t>664</t>
  </si>
  <si>
    <t>MDV-3746</t>
  </si>
  <si>
    <t>MEGA BOX 02 - Olaria</t>
  </si>
  <si>
    <t>PAULO CESAR</t>
  </si>
  <si>
    <t>642</t>
  </si>
  <si>
    <t>LNU-7733</t>
  </si>
  <si>
    <t>Zona Sul - Entrega Extra</t>
  </si>
  <si>
    <t>Zona Sul Loja 01 - Ipanema</t>
  </si>
  <si>
    <t>SÉRGIO JOSE DA SILVA</t>
  </si>
  <si>
    <t>598</t>
  </si>
  <si>
    <t>LJS-2172</t>
  </si>
  <si>
    <t>Zona Sul Loja 03 - Copacabana I</t>
  </si>
  <si>
    <t>JOSUE DOS SANTOS</t>
  </si>
  <si>
    <t>714</t>
  </si>
  <si>
    <t>BBH-1C94</t>
  </si>
  <si>
    <t>Zona Sul Loja 04 - Copacabana II</t>
  </si>
  <si>
    <t>ALEX</t>
  </si>
  <si>
    <t>663</t>
  </si>
  <si>
    <t>LKW-2B80</t>
  </si>
  <si>
    <t>MARCIO</t>
  </si>
  <si>
    <t>576</t>
  </si>
  <si>
    <t>KVH-9J42</t>
  </si>
  <si>
    <t>Zona Sul Loja 05 - Copacabana III</t>
  </si>
  <si>
    <t>ANDERSON</t>
  </si>
  <si>
    <t>633</t>
  </si>
  <si>
    <t>LVE-0688</t>
  </si>
  <si>
    <t>Zona Sul Loja 06 - Gávea</t>
  </si>
  <si>
    <t>DIEGO</t>
  </si>
  <si>
    <t>674</t>
  </si>
  <si>
    <t>KQB-3F31</t>
  </si>
  <si>
    <t>FELIPE SILVA</t>
  </si>
  <si>
    <t>KUL-1425</t>
  </si>
  <si>
    <t>Zona Sul Loja 07 - Leblon</t>
  </si>
  <si>
    <t>CLEYTON</t>
  </si>
  <si>
    <t>184763</t>
  </si>
  <si>
    <t>FHO-5F88</t>
  </si>
  <si>
    <t>LUIZ ALVES</t>
  </si>
  <si>
    <t>612</t>
  </si>
  <si>
    <t>LCO-0978</t>
  </si>
  <si>
    <t>Zona Sul Loja 08 - Ipanema</t>
  </si>
  <si>
    <t>Zona Sul Loja 09 - Ipanema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</si>
  <si>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</si>
  <si>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</si>
  <si>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</si>
  <si>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</si>
  <si>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</si>
  <si>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</si>
  <si>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</si>
  <si>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</si>
  <si>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Zona Sul Loja 1129 - Olaria</t>
  </si>
  <si>
    <t>JHONATA FREIRE DA SILVA</t>
  </si>
  <si>
    <t>184708</t>
  </si>
  <si>
    <t>KYM-2I62</t>
  </si>
  <si>
    <t>Zona Sul Loja 12 - Leme</t>
  </si>
  <si>
    <t>EDMILSON JOSÉ</t>
  </si>
  <si>
    <t>605</t>
  </si>
  <si>
    <t>LTQ-0783</t>
  </si>
  <si>
    <t>Zona Sul Loja 13 - Angra</t>
  </si>
  <si>
    <t>JULIO</t>
  </si>
  <si>
    <t>808</t>
  </si>
  <si>
    <t>CZB-9J19</t>
  </si>
  <si>
    <t>Zona Sul Loja 14 - Leblon</t>
  </si>
  <si>
    <t>MARCOS FERNANDO</t>
  </si>
  <si>
    <t>353</t>
  </si>
  <si>
    <t>UBO-5E05</t>
  </si>
  <si>
    <t>Zona Sul Loja 15 - Leblon</t>
  </si>
  <si>
    <t>INACIO ARAUJO</t>
  </si>
  <si>
    <t>48</t>
  </si>
  <si>
    <t>LQU-5546</t>
  </si>
  <si>
    <t>Zona Sul Loja 17 - Barra</t>
  </si>
  <si>
    <t>VLADIMIR</t>
  </si>
  <si>
    <t>606</t>
  </si>
  <si>
    <t>KQY-9E24</t>
  </si>
  <si>
    <t>Zona Sul Loja 18 - Copacabana</t>
  </si>
  <si>
    <t>Zona Sul Loja 19 - Copacabana</t>
  </si>
  <si>
    <t>LUIZ ANTONIO ALVES</t>
  </si>
  <si>
    <t>184446</t>
  </si>
  <si>
    <t>KMY-5561</t>
  </si>
  <si>
    <t>Zona Sul Loja 20 - Botafogo</t>
  </si>
  <si>
    <t>Zona Sul Loja 21 - Flamengo</t>
  </si>
  <si>
    <t>RODRIGO</t>
  </si>
  <si>
    <t>KWK-4593</t>
  </si>
  <si>
    <t>SIDNEI ANTONIO MENDES</t>
  </si>
  <si>
    <t>LQE-5401</t>
  </si>
  <si>
    <t>Zona Sul Loja 22 - S. Conrado</t>
  </si>
  <si>
    <t>JONESON</t>
  </si>
  <si>
    <t>184461</t>
  </si>
  <si>
    <t>EBG-2D13</t>
  </si>
  <si>
    <t>Zona Sul Loja 23 - Barra</t>
  </si>
  <si>
    <t>JOSENILDO ANISIO</t>
  </si>
  <si>
    <t>479</t>
  </si>
  <si>
    <t>KRK-3D12</t>
  </si>
  <si>
    <t>Zona Sul Loja 25 - Jd. Botânico</t>
  </si>
  <si>
    <t>Zona Sul Loja 26 - Copacabana</t>
  </si>
  <si>
    <t>456</t>
  </si>
  <si>
    <t>LTH-4J15</t>
  </si>
  <si>
    <t>Zona Sul Loja 27 - Ipanema</t>
  </si>
  <si>
    <t>Zona Sul Loja 28 - Urca</t>
  </si>
  <si>
    <t>Zona Sul Loja 29 - Flamengo</t>
  </si>
  <si>
    <t>Zona Sul Loja 30 - Laranjeiras</t>
  </si>
  <si>
    <t>Zona Sul Loja 31 - Jd. Botânico</t>
  </si>
  <si>
    <t>DOUGLAS</t>
  </si>
  <si>
    <t>184422</t>
  </si>
  <si>
    <t>LTE-0A64</t>
  </si>
  <si>
    <t>Zona Sul Loja 32 - Laranjeiras</t>
  </si>
  <si>
    <t>EDUARDO</t>
  </si>
  <si>
    <t>QAH-2H50</t>
  </si>
  <si>
    <t>Zona Sul Loja 33 - Humaitá</t>
  </si>
  <si>
    <t>Zona Sul Loja 34 - Barra</t>
  </si>
  <si>
    <t>CARLOS GONÇALVES</t>
  </si>
  <si>
    <t>590</t>
  </si>
  <si>
    <t>LNU-9595</t>
  </si>
  <si>
    <t>Zona Sul Loja 35 - Barra</t>
  </si>
  <si>
    <t>Zona Sul Loja 38 - Copacabana</t>
  </si>
  <si>
    <t>Zona Sul Loja 40 - Ipanema</t>
  </si>
  <si>
    <t>LQA-5883</t>
  </si>
  <si>
    <t>Zona Sul Loja 42 - Botafogo</t>
  </si>
  <si>
    <t>Zona Sul Loja 43 - Barra (Península)</t>
  </si>
  <si>
    <t>WANDERLEY</t>
  </si>
  <si>
    <t>782</t>
  </si>
  <si>
    <t>AFY-7J99</t>
  </si>
  <si>
    <t>Zona Sul Loja 44 - Barra</t>
  </si>
  <si>
    <t>AGNALDO</t>
  </si>
  <si>
    <t>LKR-5990</t>
  </si>
  <si>
    <t>Zona Sul Loja 45 - Flamengo</t>
  </si>
  <si>
    <t>MOBRICI</t>
  </si>
  <si>
    <t>740</t>
  </si>
  <si>
    <t>AOP-3C73</t>
  </si>
  <si>
    <t>Zona Sul Loja 46 - Botafogo</t>
  </si>
  <si>
    <t>RENATO</t>
  </si>
  <si>
    <t>184090</t>
  </si>
  <si>
    <t>JAJ-6B36</t>
  </si>
  <si>
    <t>Zona Sul Loja 47</t>
  </si>
  <si>
    <t>SIDNEI ANTONIO</t>
  </si>
  <si>
    <t>Zona Sul Loja 48 - Recreio</t>
  </si>
  <si>
    <t>FRANCISCO IRAN</t>
  </si>
  <si>
    <t>799</t>
  </si>
  <si>
    <t>RJL-7D33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</si>
  <si>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</si>
  <si>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</si>
  <si>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</si>
  <si>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</si>
  <si>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</si>
  <si>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</si>
  <si>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</si>
  <si>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36 - Botafogo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</si>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</sst>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22</v>
      </c>
      <c r="I6" s="10" t="s">
        <v>23</v>
      </c>
      <c r="J6" s="10" t="s">
        <v>24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25</v>
      </c>
      <c r="B7" s="7" t="s">
        <v>19</v>
      </c>
      <c r="C7" s="7" t="s">
        <v>20</v>
      </c>
      <c r="D7" s="7" t="s">
        <v>21</v>
      </c>
      <c r="E7" s="8">
        <v>0.558136574074074</v>
      </c>
      <c r="F7" s="8">
        <v>0.5694212962962963</v>
      </c>
      <c r="G7" s="8">
        <v>0.6569907407407407</v>
      </c>
      <c r="H7" s="7" t="s">
        <v>26</v>
      </c>
      <c r="I7" s="7" t="s">
        <v>27</v>
      </c>
      <c r="J7" s="7" t="s">
        <v>28</v>
      </c>
      <c r="K7" s="7" t="s">
        <v>16</v>
      </c>
      <c r="L7" s="7" t="s">
        <v>16</v>
      </c>
      <c r="M7" s="7" t="s">
        <v>16</v>
      </c>
      <c r="N7" s="8">
        <f>MOD(G7-F7,1)</f>
        <v>0.0875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7" t="s">
        <v>16</v>
      </c>
      <c r="G11" s="7" t="s">
        <v>16</v>
      </c>
      <c r="H11" s="7" t="s">
        <v>42</v>
      </c>
      <c r="I11" s="7" t="s">
        <v>43</v>
      </c>
      <c r="J11" s="7" t="s">
        <v>44</v>
      </c>
      <c r="K11" s="8">
        <v>0.21292824074074074</v>
      </c>
      <c r="L11" s="8">
        <v>0.24452546296296296</v>
      </c>
      <c r="M11" s="8">
        <v>0.4014351851851852</v>
      </c>
      <c r="N11" s="8">
        <f>MOD(G11-F11,1)</f>
        <v>0</v>
      </c>
      <c r="O11" s="8">
        <f>MOD(M11-L11,1)</f>
        <v>0.15694444444444444</v>
      </c>
    </row>
    <row r="12" ht="23.25" customHeight="1" spans="1:15" x14ac:dyDescent="0.25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16</v>
      </c>
      <c r="F13" s="7" t="s">
        <v>16</v>
      </c>
      <c r="G13" s="7" t="s">
        <v>16</v>
      </c>
      <c r="H13" s="7" t="s">
        <v>53</v>
      </c>
      <c r="I13" s="7" t="s">
        <v>27</v>
      </c>
      <c r="J13" s="7" t="s">
        <v>54</v>
      </c>
      <c r="K13" s="7" t="s">
        <v>17</v>
      </c>
      <c r="L13" s="8">
        <v>0.29908564814814814</v>
      </c>
      <c r="M13" s="8">
        <v>0.4113888888888889</v>
      </c>
      <c r="N13" s="8">
        <f>MOD(G13-F13,1)</f>
        <v>0</v>
      </c>
      <c r="O13" s="8">
        <f>MOD(M13-L13,1)</f>
        <v>0.1125</v>
      </c>
    </row>
    <row r="14" ht="23.25" customHeight="1" spans="1:15" x14ac:dyDescent="0.25">
      <c r="A14" s="9" t="s">
        <v>55</v>
      </c>
      <c r="B14" s="10" t="s">
        <v>56</v>
      </c>
      <c r="C14" s="10" t="s">
        <v>57</v>
      </c>
      <c r="D14" s="10" t="s">
        <v>58</v>
      </c>
      <c r="E14" s="11">
        <v>0.20841435185185186</v>
      </c>
      <c r="F14" s="11">
        <v>0.24660879629629628</v>
      </c>
      <c r="G14" s="11">
        <v>0.28150462962962963</v>
      </c>
      <c r="H14" s="10" t="s">
        <v>59</v>
      </c>
      <c r="I14" s="10" t="s">
        <v>60</v>
      </c>
      <c r="J14" s="10" t="s">
        <v>61</v>
      </c>
      <c r="K14" s="10" t="s">
        <v>16</v>
      </c>
      <c r="L14" s="10" t="s">
        <v>16</v>
      </c>
      <c r="M14" s="10" t="s">
        <v>16</v>
      </c>
      <c r="N14" s="11">
        <f>MOD(G14-F14,1)</f>
        <v>0.034722222222222224</v>
      </c>
      <c r="O14" s="11">
        <f>MOD(M14-L14,1)</f>
        <v>0</v>
      </c>
    </row>
    <row r="15" ht="23.25" customHeight="1" spans="1:15" x14ac:dyDescent="0.25">
      <c r="A15" s="6" t="s">
        <v>62</v>
      </c>
      <c r="B15" s="7" t="s">
        <v>59</v>
      </c>
      <c r="C15" s="7" t="s">
        <v>60</v>
      </c>
      <c r="D15" s="7" t="s">
        <v>61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63</v>
      </c>
      <c r="B16" s="10" t="s">
        <v>31</v>
      </c>
      <c r="C16" s="10" t="s">
        <v>32</v>
      </c>
      <c r="D16" s="10" t="s">
        <v>33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64</v>
      </c>
      <c r="B17" s="7" t="s">
        <v>65</v>
      </c>
      <c r="C17" s="7" t="s">
        <v>66</v>
      </c>
      <c r="D17" s="7" t="s">
        <v>67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68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69</v>
      </c>
      <c r="I18" s="10" t="s">
        <v>70</v>
      </c>
      <c r="J18" s="10" t="s">
        <v>71</v>
      </c>
      <c r="K18" s="11">
        <v>0.590300925925926</v>
      </c>
      <c r="L18" s="11">
        <v>0.6334027777777778</v>
      </c>
      <c r="M18" s="11">
        <v>0.6816087962962963</v>
      </c>
      <c r="N18" s="11">
        <f>MOD(G18-F18,1)</f>
        <v>0</v>
      </c>
      <c r="O18" s="11">
        <f>MOD(M18-L18,1)</f>
        <v>0.04791666666666667</v>
      </c>
    </row>
    <row r="19" ht="23.25" customHeight="1" spans="1:15" x14ac:dyDescent="0.25">
      <c r="A19" s="6" t="s">
        <v>72</v>
      </c>
      <c r="B19" s="7" t="s">
        <v>73</v>
      </c>
      <c r="C19" s="7" t="s">
        <v>74</v>
      </c>
      <c r="D19" s="7" t="s">
        <v>75</v>
      </c>
      <c r="E19" s="7" t="s">
        <v>16</v>
      </c>
      <c r="F19" s="7" t="s">
        <v>16</v>
      </c>
      <c r="G19" s="7" t="s">
        <v>16</v>
      </c>
      <c r="H19" s="7" t="s">
        <v>22</v>
      </c>
      <c r="I19" s="7" t="s">
        <v>23</v>
      </c>
      <c r="J19" s="7" t="s">
        <v>24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76</v>
      </c>
      <c r="B20" s="10" t="s">
        <v>77</v>
      </c>
      <c r="C20" s="10" t="s">
        <v>78</v>
      </c>
      <c r="D20" s="10" t="s">
        <v>79</v>
      </c>
      <c r="E20" s="10" t="s">
        <v>16</v>
      </c>
      <c r="F20" s="10" t="s">
        <v>16</v>
      </c>
      <c r="G20" s="10" t="s">
        <v>16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80</v>
      </c>
      <c r="B21" s="7" t="s">
        <v>81</v>
      </c>
      <c r="C21" s="7" t="s">
        <v>82</v>
      </c>
      <c r="D21" s="7" t="s">
        <v>83</v>
      </c>
      <c r="E21" s="7" t="s">
        <v>16</v>
      </c>
      <c r="F21" s="7" t="s">
        <v>16</v>
      </c>
      <c r="G21" s="7" t="s">
        <v>16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84</v>
      </c>
      <c r="B22" s="10" t="s">
        <v>85</v>
      </c>
      <c r="C22" s="10" t="s">
        <v>86</v>
      </c>
      <c r="D22" s="10" t="s">
        <v>87</v>
      </c>
      <c r="E22" s="10" t="s">
        <v>16</v>
      </c>
      <c r="F22" s="10" t="s">
        <v>16</v>
      </c>
      <c r="G22" s="10" t="s">
        <v>16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88</v>
      </c>
      <c r="B23" s="7" t="s">
        <v>77</v>
      </c>
      <c r="C23" s="7" t="s">
        <v>78</v>
      </c>
      <c r="D23" s="7" t="s">
        <v>79</v>
      </c>
      <c r="E23" s="7" t="s">
        <v>16</v>
      </c>
      <c r="F23" s="7" t="s">
        <v>16</v>
      </c>
      <c r="G23" s="7" t="s">
        <v>16</v>
      </c>
      <c r="H23" s="7" t="s">
        <v>89</v>
      </c>
      <c r="I23" s="7" t="s">
        <v>90</v>
      </c>
      <c r="J23" s="7" t="s">
        <v>91</v>
      </c>
      <c r="K23" s="8">
        <v>0.1436574074074074</v>
      </c>
      <c r="L23" s="8">
        <v>0.2306712962962963</v>
      </c>
      <c r="M23" s="8">
        <v>0.2779976851851852</v>
      </c>
      <c r="N23" s="8">
        <f>MOD(G23-F23,1)</f>
        <v>0</v>
      </c>
      <c r="O23" s="8">
        <f>MOD(M23-L23,1)</f>
        <v>0.04722222222222222</v>
      </c>
    </row>
    <row r="24" ht="23.25" customHeight="1" spans="1:15" x14ac:dyDescent="0.25">
      <c r="A24" s="9" t="s">
        <v>92</v>
      </c>
      <c r="B24" s="10" t="s">
        <v>93</v>
      </c>
      <c r="C24" s="10" t="s">
        <v>94</v>
      </c>
      <c r="D24" s="10" t="s">
        <v>95</v>
      </c>
      <c r="E24" s="10" t="s">
        <v>16</v>
      </c>
      <c r="F24" s="10" t="s">
        <v>16</v>
      </c>
      <c r="G24" s="10" t="s">
        <v>16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</v>
      </c>
      <c r="O24" s="11">
        <f>MOD(M24-L24,1)</f>
        <v>0</v>
      </c>
    </row>
    <row r="25" ht="23.25" customHeight="1" spans="1:15" x14ac:dyDescent="0.25">
      <c r="A25" s="6" t="s">
        <v>96</v>
      </c>
      <c r="B25" s="7" t="s">
        <v>39</v>
      </c>
      <c r="C25" s="7" t="s">
        <v>40</v>
      </c>
      <c r="D25" s="7" t="s">
        <v>41</v>
      </c>
      <c r="E25" s="8">
        <v>0.18664351851851851</v>
      </c>
      <c r="F25" s="8">
        <v>0.21699074074074073</v>
      </c>
      <c r="G25" s="8">
        <v>0.27721064814814816</v>
      </c>
      <c r="H25" s="7" t="s">
        <v>39</v>
      </c>
      <c r="I25" s="7" t="s">
        <v>40</v>
      </c>
      <c r="J25" s="7" t="s">
        <v>41</v>
      </c>
      <c r="K25" s="8">
        <v>0.18664351851851851</v>
      </c>
      <c r="L25" s="8">
        <v>0.21699074074074073</v>
      </c>
      <c r="M25" s="8">
        <v>0.27721064814814816</v>
      </c>
      <c r="N25" s="8">
        <f>MOD(G25-F25,1)</f>
        <v>0.06041666666666667</v>
      </c>
      <c r="O25" s="8">
        <f>MOD(M25-L25,1)</f>
        <v>0.06041666666666667</v>
      </c>
    </row>
    <row r="26" ht="23.25" customHeight="1" spans="1:15" x14ac:dyDescent="0.25">
      <c r="A26" s="9" t="s">
        <v>97</v>
      </c>
      <c r="B26" s="10" t="s">
        <v>98</v>
      </c>
      <c r="C26" s="10" t="s">
        <v>99</v>
      </c>
      <c r="D26" s="10" t="s">
        <v>100</v>
      </c>
      <c r="E26" s="11">
        <v>0.2068287037037037</v>
      </c>
      <c r="F26" s="11">
        <v>0.24363425925925927</v>
      </c>
      <c r="G26" s="11">
        <v>0.3050115740740741</v>
      </c>
      <c r="H26" s="10" t="s">
        <v>35</v>
      </c>
      <c r="I26" s="10" t="s">
        <v>36</v>
      </c>
      <c r="J26" s="10" t="s">
        <v>37</v>
      </c>
      <c r="K26" s="10" t="s">
        <v>16</v>
      </c>
      <c r="L26" s="10" t="s">
        <v>16</v>
      </c>
      <c r="M26" s="10" t="s">
        <v>16</v>
      </c>
      <c r="N26" s="11">
        <f>MOD(G26-F26,1)</f>
        <v>0.06111111111111111</v>
      </c>
      <c r="O26" s="11">
        <f>MOD(M26-L26,1)</f>
        <v>0</v>
      </c>
    </row>
    <row r="27" ht="23.25" customHeight="1" spans="1:15" x14ac:dyDescent="0.25">
      <c r="A27" s="6" t="s">
        <v>101</v>
      </c>
      <c r="B27" s="7" t="s">
        <v>46</v>
      </c>
      <c r="C27" s="7" t="s">
        <v>47</v>
      </c>
      <c r="D27" s="7" t="s">
        <v>48</v>
      </c>
      <c r="E27" s="7" t="s">
        <v>16</v>
      </c>
      <c r="F27" s="7" t="s">
        <v>16</v>
      </c>
      <c r="G27" s="7" t="s">
        <v>16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102</v>
      </c>
      <c r="B28" s="10" t="s">
        <v>103</v>
      </c>
      <c r="C28" s="10" t="s">
        <v>94</v>
      </c>
      <c r="D28" s="10" t="s">
        <v>104</v>
      </c>
      <c r="E28" s="11">
        <v>0.22458333333333333</v>
      </c>
      <c r="F28" s="11">
        <v>0.2607407407407407</v>
      </c>
      <c r="G28" s="11">
        <v>0.3457060185185185</v>
      </c>
      <c r="H28" s="10" t="s">
        <v>105</v>
      </c>
      <c r="I28" s="10" t="s">
        <v>51</v>
      </c>
      <c r="J28" s="10" t="s">
        <v>106</v>
      </c>
      <c r="K28" s="10" t="s">
        <v>16</v>
      </c>
      <c r="L28" s="10" t="s">
        <v>16</v>
      </c>
      <c r="M28" s="10" t="s">
        <v>16</v>
      </c>
      <c r="N28" s="11">
        <f>MOD(G28-F28,1)</f>
        <v>0.08472222222222223</v>
      </c>
      <c r="O28" s="11">
        <f>MOD(M28-L28,1)</f>
        <v>0</v>
      </c>
    </row>
    <row r="29" ht="23.25" customHeight="1" spans="1:15" x14ac:dyDescent="0.25">
      <c r="A29" s="6" t="s">
        <v>107</v>
      </c>
      <c r="B29" s="7" t="s">
        <v>108</v>
      </c>
      <c r="C29" s="7" t="s">
        <v>109</v>
      </c>
      <c r="D29" s="7" t="s">
        <v>110</v>
      </c>
      <c r="E29" s="7" t="s">
        <v>16</v>
      </c>
      <c r="F29" s="7" t="s">
        <v>16</v>
      </c>
      <c r="G29" s="7" t="s">
        <v>16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111</v>
      </c>
      <c r="B30" s="10" t="s">
        <v>112</v>
      </c>
      <c r="C30" s="10" t="s">
        <v>113</v>
      </c>
      <c r="D30" s="10" t="s">
        <v>114</v>
      </c>
      <c r="E30" s="11">
        <v>0.23077546296296297</v>
      </c>
      <c r="F30" s="11">
        <v>0.2876273148148148</v>
      </c>
      <c r="G30" s="11">
        <v>0.5276736111111111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0.24027777777777778</v>
      </c>
      <c r="O30" s="11">
        <f>MOD(M30-L30,1)</f>
        <v>0</v>
      </c>
    </row>
    <row r="31" ht="23.25" customHeight="1" spans="1:15" x14ac:dyDescent="0.25">
      <c r="A31" s="6" t="s">
        <v>115</v>
      </c>
      <c r="B31" s="7" t="s">
        <v>108</v>
      </c>
      <c r="C31" s="7" t="s">
        <v>109</v>
      </c>
      <c r="D31" s="7" t="s">
        <v>110</v>
      </c>
      <c r="E31" s="7" t="s">
        <v>16</v>
      </c>
      <c r="F31" s="7" t="s">
        <v>16</v>
      </c>
      <c r="G31" s="7" t="s">
        <v>16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116</v>
      </c>
      <c r="B32" s="10" t="s">
        <v>42</v>
      </c>
      <c r="C32" s="10" t="s">
        <v>117</v>
      </c>
      <c r="D32" s="10" t="s">
        <v>118</v>
      </c>
      <c r="E32" s="11">
        <v>0.18450231481481483</v>
      </c>
      <c r="F32" s="11">
        <v>0.21585648148148148</v>
      </c>
      <c r="G32" s="11">
        <v>0.2413773148148148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0.025694444444444443</v>
      </c>
      <c r="O32" s="11">
        <f>MOD(M32-L32,1)</f>
        <v>0</v>
      </c>
    </row>
    <row r="33" ht="23.25" customHeight="1" spans="1:15" x14ac:dyDescent="0.25">
      <c r="A33" s="6" t="s">
        <v>119</v>
      </c>
      <c r="B33" s="7" t="s">
        <v>89</v>
      </c>
      <c r="C33" s="7" t="s">
        <v>90</v>
      </c>
      <c r="D33" s="7" t="s">
        <v>91</v>
      </c>
      <c r="E33" s="8">
        <v>0.1436574074074074</v>
      </c>
      <c r="F33" s="8">
        <v>0.19819444444444445</v>
      </c>
      <c r="G33" s="8">
        <v>0.22253472222222223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0.024305555555555556</v>
      </c>
      <c r="O33" s="8">
        <f>MOD(M33-L33,1)</f>
        <v>0</v>
      </c>
    </row>
    <row r="34" ht="23.25" customHeight="1" spans="1:15" x14ac:dyDescent="0.25">
      <c r="A34" s="9" t="s">
        <v>120</v>
      </c>
      <c r="B34" s="10" t="s">
        <v>89</v>
      </c>
      <c r="C34" s="10" t="s">
        <v>90</v>
      </c>
      <c r="D34" s="10" t="s">
        <v>91</v>
      </c>
      <c r="E34" s="11">
        <v>0.6232291666666666</v>
      </c>
      <c r="F34" s="11">
        <v>0.6648726851851852</v>
      </c>
      <c r="G34" s="11">
        <v>0.6777777777777778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0.013194444444444444</v>
      </c>
      <c r="O34" s="11">
        <f>MOD(M34-L34,1)</f>
        <v>0</v>
      </c>
    </row>
    <row r="35" ht="23.25" customHeight="1" spans="1:15" x14ac:dyDescent="0.25">
      <c r="A35" s="6" t="s">
        <v>121</v>
      </c>
      <c r="B35" s="7" t="s">
        <v>89</v>
      </c>
      <c r="C35" s="7" t="s">
        <v>90</v>
      </c>
      <c r="D35" s="7" t="s">
        <v>91</v>
      </c>
      <c r="E35" s="7" t="s">
        <v>16</v>
      </c>
      <c r="F35" s="7" t="s">
        <v>16</v>
      </c>
      <c r="G35" s="7" t="s">
        <v>16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105</v>
      </c>
      <c r="C36" s="10" t="s">
        <v>51</v>
      </c>
      <c r="D36" s="10" t="s">
        <v>106</v>
      </c>
      <c r="E36" s="10" t="s">
        <v>16</v>
      </c>
      <c r="F36" s="10" t="s">
        <v>16</v>
      </c>
      <c r="G36" s="10" t="s">
        <v>16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13</v>
      </c>
      <c r="C37" s="7" t="s">
        <v>14</v>
      </c>
      <c r="D37" s="7" t="s">
        <v>15</v>
      </c>
      <c r="E37" s="7" t="s">
        <v>16</v>
      </c>
      <c r="F37" s="7" t="s">
        <v>16</v>
      </c>
      <c r="G37" s="7" t="s">
        <v>16</v>
      </c>
      <c r="H37" s="7" t="s">
        <v>124</v>
      </c>
      <c r="I37" s="7" t="s">
        <v>125</v>
      </c>
      <c r="J37" s="7" t="s">
        <v>126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125</v>
      </c>
      <c r="D38" s="10" t="s">
        <v>129</v>
      </c>
      <c r="E38" s="10" t="s">
        <v>16</v>
      </c>
      <c r="F38" s="10" t="s">
        <v>16</v>
      </c>
      <c r="G38" s="10" t="s">
        <v>16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130</v>
      </c>
      <c r="B39" s="7" t="s">
        <v>35</v>
      </c>
      <c r="C39" s="7" t="s">
        <v>36</v>
      </c>
      <c r="D39" s="7" t="s">
        <v>37</v>
      </c>
      <c r="E39" s="8">
        <v>0.20118055555555556</v>
      </c>
      <c r="F39" s="8">
        <v>0.2287847222222222</v>
      </c>
      <c r="G39" s="8">
        <v>0.3277199074074074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0.09861111111111111</v>
      </c>
      <c r="O39" s="8">
        <f>MOD(M39-L39,1)</f>
        <v>0</v>
      </c>
    </row>
    <row r="40" ht="23.25" customHeight="1" spans="1:15" x14ac:dyDescent="0.25">
      <c r="A40" s="9" t="s">
        <v>131</v>
      </c>
      <c r="B40" s="10" t="s">
        <v>132</v>
      </c>
      <c r="C40" s="10" t="s">
        <v>133</v>
      </c>
      <c r="D40" s="10" t="s">
        <v>134</v>
      </c>
      <c r="E40" s="10" t="s">
        <v>16</v>
      </c>
      <c r="F40" s="10" t="s">
        <v>16</v>
      </c>
      <c r="G40" s="10" t="s">
        <v>16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135</v>
      </c>
      <c r="B41" s="7" t="s">
        <v>39</v>
      </c>
      <c r="C41" s="7" t="s">
        <v>40</v>
      </c>
      <c r="D41" s="7" t="s">
        <v>41</v>
      </c>
      <c r="E41" s="8">
        <v>0.5796643518518518</v>
      </c>
      <c r="F41" s="8">
        <v>0.6283564814814815</v>
      </c>
      <c r="G41" s="8">
        <v>0.6552777777777777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0.027083333333333334</v>
      </c>
      <c r="O41" s="8">
        <f>MOD(M41-L41,1)</f>
        <v>0</v>
      </c>
    </row>
    <row r="42" ht="23.25" customHeight="1" spans="1:15" x14ac:dyDescent="0.25">
      <c r="A42" s="9" t="s">
        <v>136</v>
      </c>
      <c r="B42" s="10" t="s">
        <v>103</v>
      </c>
      <c r="C42" s="10" t="s">
        <v>94</v>
      </c>
      <c r="D42" s="10" t="s">
        <v>104</v>
      </c>
      <c r="E42" s="10" t="s">
        <v>16</v>
      </c>
      <c r="F42" s="10" t="s">
        <v>16</v>
      </c>
      <c r="G42" s="10" t="s">
        <v>16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137</v>
      </c>
      <c r="B43" s="7" t="s">
        <v>128</v>
      </c>
      <c r="C43" s="7" t="s">
        <v>125</v>
      </c>
      <c r="D43" s="7" t="s">
        <v>138</v>
      </c>
      <c r="E43" s="7" t="s">
        <v>16</v>
      </c>
      <c r="F43" s="7" t="s">
        <v>16</v>
      </c>
      <c r="G43" s="7" t="s">
        <v>16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</v>
      </c>
      <c r="O43" s="8">
        <f>MOD(M43-L43,1)</f>
        <v>0</v>
      </c>
    </row>
    <row r="44" ht="23.25" customHeight="1" spans="1:15" x14ac:dyDescent="0.25">
      <c r="A44" s="9" t="s">
        <v>139</v>
      </c>
      <c r="B44" s="10" t="s">
        <v>128</v>
      </c>
      <c r="C44" s="10" t="s">
        <v>125</v>
      </c>
      <c r="D44" s="10" t="s">
        <v>129</v>
      </c>
      <c r="E44" s="10" t="s">
        <v>16</v>
      </c>
      <c r="F44" s="10" t="s">
        <v>16</v>
      </c>
      <c r="G44" s="10" t="s">
        <v>16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140</v>
      </c>
      <c r="B45" s="7" t="s">
        <v>141</v>
      </c>
      <c r="C45" s="7" t="s">
        <v>142</v>
      </c>
      <c r="D45" s="7" t="s">
        <v>143</v>
      </c>
      <c r="E45" s="8">
        <v>0.628912037037037</v>
      </c>
      <c r="F45" s="8">
        <v>0.6733101851851852</v>
      </c>
      <c r="G45" s="8">
        <v>0.6809259259259259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0.007638888888888889</v>
      </c>
      <c r="O45" s="8">
        <f>MOD(M45-L45,1)</f>
        <v>0</v>
      </c>
    </row>
    <row r="46" ht="23.25" customHeight="1" spans="1:15" x14ac:dyDescent="0.25">
      <c r="A46" s="9" t="s">
        <v>144</v>
      </c>
      <c r="B46" s="10" t="s">
        <v>145</v>
      </c>
      <c r="C46" s="10" t="s">
        <v>51</v>
      </c>
      <c r="D46" s="10" t="s">
        <v>146</v>
      </c>
      <c r="E46" s="11">
        <v>0.24847222222222223</v>
      </c>
      <c r="F46" s="11">
        <v>0.2978125</v>
      </c>
      <c r="G46" s="11">
        <v>0.34814814814814815</v>
      </c>
      <c r="H46" s="10" t="s">
        <v>17</v>
      </c>
      <c r="I46" s="10" t="s">
        <v>17</v>
      </c>
      <c r="J46" s="10" t="s">
        <v>17</v>
      </c>
      <c r="K46" s="10" t="s">
        <v>17</v>
      </c>
      <c r="L46" s="10" t="s">
        <v>17</v>
      </c>
      <c r="M46" s="10" t="s">
        <v>17</v>
      </c>
      <c r="N46" s="11">
        <f>MOD(G46-F46,1)</f>
        <v>0.05</v>
      </c>
      <c r="O46" s="11">
        <f>MOD(M46-L46,1)</f>
        <v>0</v>
      </c>
    </row>
    <row r="47" ht="23.25" customHeight="1" spans="1:15" x14ac:dyDescent="0.25">
      <c r="A47" s="6" t="s">
        <v>147</v>
      </c>
      <c r="B47" s="7" t="s">
        <v>148</v>
      </c>
      <c r="C47" s="7" t="s">
        <v>149</v>
      </c>
      <c r="D47" s="7" t="s">
        <v>150</v>
      </c>
      <c r="E47" s="8">
        <v>0.6114699074074074</v>
      </c>
      <c r="F47" s="8">
        <v>0.6688078703703704</v>
      </c>
      <c r="G47" s="8">
        <v>0.6805439814814814</v>
      </c>
      <c r="H47" s="7" t="s">
        <v>17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8">
        <f>MOD(G47-F47,1)</f>
        <v>0.011805555555555555</v>
      </c>
      <c r="O47" s="8">
        <f>MOD(M47-L47,1)</f>
        <v>0</v>
      </c>
    </row>
    <row r="48" ht="23.25" customHeight="1" spans="1:15" x14ac:dyDescent="0.25">
      <c r="A48" s="9" t="s">
        <v>151</v>
      </c>
      <c r="B48" s="10" t="s">
        <v>152</v>
      </c>
      <c r="C48" s="10" t="s">
        <v>153</v>
      </c>
      <c r="D48" s="10" t="s">
        <v>154</v>
      </c>
      <c r="E48" s="11">
        <v>0.12189814814814814</v>
      </c>
      <c r="F48" s="11">
        <v>0.3679050925925926</v>
      </c>
      <c r="G48" s="11">
        <v>0.3879513888888889</v>
      </c>
      <c r="H48" s="10" t="s">
        <v>17</v>
      </c>
      <c r="I48" s="10" t="s">
        <v>17</v>
      </c>
      <c r="J48" s="10" t="s">
        <v>17</v>
      </c>
      <c r="K48" s="10" t="s">
        <v>17</v>
      </c>
      <c r="L48" s="10" t="s">
        <v>17</v>
      </c>
      <c r="M48" s="10" t="s">
        <v>17</v>
      </c>
      <c r="N48" s="11">
        <f>MOD(G48-F48,1)</f>
        <v>0.02013888888888889</v>
      </c>
      <c r="O48" s="11">
        <f>MOD(M48-L48,1)</f>
        <v>0</v>
      </c>
    </row>
    <row r="49" ht="23.25" customHeight="1" spans="1:15" x14ac:dyDescent="0.25">
      <c r="A49" s="6" t="s">
        <v>155</v>
      </c>
      <c r="B49" s="7" t="s">
        <v>156</v>
      </c>
      <c r="C49" s="7" t="s">
        <v>51</v>
      </c>
      <c r="D49" s="7" t="s">
        <v>106</v>
      </c>
      <c r="E49" s="7" t="s">
        <v>16</v>
      </c>
      <c r="F49" s="7" t="s">
        <v>16</v>
      </c>
      <c r="G49" s="7" t="s">
        <v>16</v>
      </c>
      <c r="H49" s="7" t="s">
        <v>17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157</v>
      </c>
      <c r="B50" s="10" t="s">
        <v>158</v>
      </c>
      <c r="C50" s="10" t="s">
        <v>159</v>
      </c>
      <c r="D50" s="10" t="s">
        <v>160</v>
      </c>
      <c r="E50" s="10" t="s">
        <v>16</v>
      </c>
      <c r="F50" s="10" t="s">
        <v>16</v>
      </c>
      <c r="G50" s="10" t="s">
        <v>16</v>
      </c>
      <c r="H50" s="10" t="s">
        <v>17</v>
      </c>
      <c r="I50" s="10" t="s">
        <v>17</v>
      </c>
      <c r="J50" s="10" t="s">
        <v>17</v>
      </c>
      <c r="K50" s="10" t="s">
        <v>17</v>
      </c>
      <c r="L50" s="10" t="s">
        <v>17</v>
      </c>
      <c r="M50" s="10" t="s">
        <v>17</v>
      </c>
      <c r="N50" s="11">
        <f>MOD(G50-F50,1)</f>
        <v>0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17</v>
      </c>
      <c r="B1" t="s">
        <v>17</v>
      </c>
      <c r="C1" s="12" t="s">
        <v>161</v>
      </c>
      <c r="D1" s="12" t="s">
        <v>162</v>
      </c>
      <c r="E1" s="12" t="s">
        <v>163</v>
      </c>
      <c r="F1" s="12" t="s">
        <v>164</v>
      </c>
    </row>
    <row r="2" spans="3:6" x14ac:dyDescent="0.25">
      <c r="C2" s="13">
        <v>1</v>
      </c>
      <c r="D2" s="13" t="s">
        <v>30</v>
      </c>
      <c r="F2" s="13">
        <f>IFERROR(VLOOKUP(E2,C:D,2,FALSE),"")</f>
      </c>
    </row>
    <row r="3" spans="3:6" x14ac:dyDescent="0.25">
      <c r="C3" s="13">
        <v>2</v>
      </c>
      <c r="D3" s="13" t="s">
        <v>165</v>
      </c>
      <c r="F3" s="13">
        <f>IFERROR(VLOOKUP(E3,C:D,2,FALSE),"")</f>
      </c>
    </row>
    <row r="4" spans="3:6" x14ac:dyDescent="0.25">
      <c r="C4" s="13">
        <v>3</v>
      </c>
      <c r="D4" s="13" t="s">
        <v>34</v>
      </c>
      <c r="F4" s="13">
        <f>IFERROR(VLOOKUP(E4,C:D,2,FALSE),"")</f>
      </c>
    </row>
    <row r="5" spans="3:6" x14ac:dyDescent="0.25">
      <c r="C5" s="13">
        <v>4</v>
      </c>
      <c r="D5" s="13" t="s">
        <v>38</v>
      </c>
      <c r="F5" s="13">
        <f>IFERROR(VLOOKUP(E5,C:D,2,FALSE),"")</f>
      </c>
    </row>
    <row r="6" spans="3:6" x14ac:dyDescent="0.25">
      <c r="C6" s="13">
        <v>5</v>
      </c>
      <c r="D6" s="13" t="s">
        <v>45</v>
      </c>
      <c r="F6" s="13">
        <f>IFERROR(VLOOKUP(E6,C:D,2,FALSE),"")</f>
      </c>
    </row>
    <row r="7" spans="3:6" x14ac:dyDescent="0.25">
      <c r="C7" s="13">
        <v>6</v>
      </c>
      <c r="D7" s="13" t="s">
        <v>49</v>
      </c>
      <c r="F7" s="13">
        <f>IFERROR(VLOOKUP(E7,C:D,2,FALSE),"")</f>
      </c>
    </row>
    <row r="8" spans="3:6" x14ac:dyDescent="0.25">
      <c r="C8" s="13">
        <v>7</v>
      </c>
      <c r="D8" s="13" t="s">
        <v>55</v>
      </c>
      <c r="F8" s="13">
        <f>IFERROR(VLOOKUP(E8,C:D,2,FALSE),"")</f>
      </c>
    </row>
    <row r="9" spans="3:6" x14ac:dyDescent="0.25">
      <c r="C9" s="13">
        <v>8</v>
      </c>
      <c r="D9" s="13" t="s">
        <v>62</v>
      </c>
      <c r="F9" s="13">
        <f>IFERROR(VLOOKUP(E9,C:D,2,FALSE),"")</f>
      </c>
    </row>
    <row r="10" spans="3:6" x14ac:dyDescent="0.25">
      <c r="C10" s="13">
        <v>9</v>
      </c>
      <c r="D10" s="13" t="s">
        <v>63</v>
      </c>
      <c r="F10" s="13">
        <f>IFERROR(VLOOKUP(E10,C:D,2,FALSE),"")</f>
      </c>
    </row>
    <row r="11" spans="3:6" x14ac:dyDescent="0.25">
      <c r="C11" s="13">
        <v>10</v>
      </c>
      <c r="D11" s="13" t="s">
        <v>64</v>
      </c>
      <c r="F11" s="13">
        <f>IFERROR(VLOOKUP(E11,C:D,2,FALSE),"")</f>
      </c>
    </row>
    <row r="12" spans="3:6" x14ac:dyDescent="0.25">
      <c r="C12" s="13">
        <v>11</v>
      </c>
      <c r="D12" s="13" t="s">
        <v>68</v>
      </c>
      <c r="F12" s="13">
        <f>IFERROR(VLOOKUP(E12,C:D,2,FALSE),"")</f>
      </c>
    </row>
    <row r="13" spans="3:6" x14ac:dyDescent="0.25">
      <c r="C13" s="13">
        <v>12</v>
      </c>
      <c r="D13" s="13" t="s">
        <v>76</v>
      </c>
      <c r="F13" s="13">
        <f>IFERROR(VLOOKUP(E13,C:D,2,FALSE),"")</f>
      </c>
    </row>
    <row r="14" spans="3:6" x14ac:dyDescent="0.25">
      <c r="C14" s="13">
        <v>13</v>
      </c>
      <c r="D14" s="13" t="s">
        <v>80</v>
      </c>
      <c r="F14" s="13">
        <f>IFERROR(VLOOKUP(E14,C:D,2,FALSE),"")</f>
      </c>
    </row>
    <row r="15" spans="3:6" x14ac:dyDescent="0.25">
      <c r="C15" s="13">
        <v>14</v>
      </c>
      <c r="D15" s="13" t="s">
        <v>84</v>
      </c>
      <c r="F15" s="13">
        <f>IFERROR(VLOOKUP(E15,C:D,2,FALSE),"")</f>
      </c>
    </row>
    <row r="16" spans="3:6" x14ac:dyDescent="0.25">
      <c r="C16" s="13">
        <v>15</v>
      </c>
      <c r="D16" s="13" t="s">
        <v>88</v>
      </c>
      <c r="F16" s="13">
        <f>IFERROR(VLOOKUP(E16,C:D,2,FALSE),"")</f>
      </c>
    </row>
    <row r="17" spans="3:6" x14ac:dyDescent="0.25">
      <c r="C17" s="13">
        <v>16</v>
      </c>
      <c r="D17" s="13" t="s">
        <v>166</v>
      </c>
      <c r="F17" s="13">
        <f>IFERROR(VLOOKUP(E17,C:D,2,FALSE),"")</f>
      </c>
    </row>
    <row r="18" spans="3:6" x14ac:dyDescent="0.25">
      <c r="C18" s="13">
        <v>17</v>
      </c>
      <c r="D18" s="13" t="s">
        <v>92</v>
      </c>
      <c r="F18" s="13">
        <f>IFERROR(VLOOKUP(E18,C:D,2,FALSE),"")</f>
      </c>
    </row>
    <row r="19" spans="3:6" x14ac:dyDescent="0.25">
      <c r="C19" s="13">
        <v>18</v>
      </c>
      <c r="D19" s="13" t="s">
        <v>96</v>
      </c>
      <c r="F19" s="13">
        <f>IFERROR(VLOOKUP(E19,C:D,2,FALSE),"")</f>
      </c>
    </row>
    <row r="20" spans="3:6" x14ac:dyDescent="0.25">
      <c r="C20" s="13">
        <v>19</v>
      </c>
      <c r="D20" s="13" t="s">
        <v>97</v>
      </c>
      <c r="F20" s="13">
        <f>IFERROR(VLOOKUP(E20,C:D,2,FALSE),"")</f>
      </c>
    </row>
    <row r="21" spans="3:6" x14ac:dyDescent="0.25">
      <c r="C21" s="13">
        <v>20</v>
      </c>
      <c r="D21" s="13" t="s">
        <v>101</v>
      </c>
      <c r="F21" s="13">
        <f>IFERROR(VLOOKUP(E21,C:D,2,FALSE),"")</f>
      </c>
    </row>
    <row r="22" spans="3:6" x14ac:dyDescent="0.25">
      <c r="C22" s="13">
        <v>21</v>
      </c>
      <c r="D22" s="13" t="s">
        <v>102</v>
      </c>
      <c r="F22" s="13">
        <f>IFERROR(VLOOKUP(E22,C:D,2,FALSE),"")</f>
      </c>
    </row>
    <row r="23" spans="3:6" x14ac:dyDescent="0.25">
      <c r="C23" s="13">
        <v>22</v>
      </c>
      <c r="D23" s="13" t="s">
        <v>107</v>
      </c>
      <c r="F23" s="13">
        <f>IFERROR(VLOOKUP(E23,C:D,2,FALSE),"")</f>
      </c>
    </row>
    <row r="24" spans="3:6" x14ac:dyDescent="0.25">
      <c r="C24" s="13">
        <v>23</v>
      </c>
      <c r="D24" s="13" t="s">
        <v>111</v>
      </c>
      <c r="F24" s="13">
        <f>IFERROR(VLOOKUP(E24,C:D,2,FALSE),"")</f>
      </c>
    </row>
    <row r="25" spans="3:6" x14ac:dyDescent="0.25">
      <c r="C25" s="13">
        <v>24</v>
      </c>
      <c r="D25" s="13" t="s">
        <v>167</v>
      </c>
      <c r="F25" s="13">
        <f>IFERROR(VLOOKUP(E25,C:D,2,FALSE),"")</f>
      </c>
    </row>
    <row r="26" spans="3:6" x14ac:dyDescent="0.25">
      <c r="C26" s="13">
        <v>25</v>
      </c>
      <c r="D26" s="13" t="s">
        <v>115</v>
      </c>
      <c r="F26" s="13">
        <f>IFERROR(VLOOKUP(E26,C:D,2,FALSE),"")</f>
      </c>
    </row>
    <row r="27" spans="3:6" x14ac:dyDescent="0.25">
      <c r="C27" s="13">
        <v>26</v>
      </c>
      <c r="D27" s="13" t="s">
        <v>116</v>
      </c>
      <c r="F27" s="13">
        <f>IFERROR(VLOOKUP(E27,C:D,2,FALSE),"")</f>
      </c>
    </row>
    <row r="28" spans="3:6" x14ac:dyDescent="0.25">
      <c r="C28" s="13">
        <v>27</v>
      </c>
      <c r="D28" s="13" t="s">
        <v>119</v>
      </c>
      <c r="F28" s="13">
        <f>IFERROR(VLOOKUP(E28,C:D,2,FALSE),"")</f>
      </c>
    </row>
    <row r="29" spans="3:6" x14ac:dyDescent="0.25">
      <c r="C29" s="13">
        <v>28</v>
      </c>
      <c r="D29" s="13" t="s">
        <v>120</v>
      </c>
      <c r="F29" s="13">
        <f>IFERROR(VLOOKUP(E29,C:D,2,FALSE),"")</f>
      </c>
    </row>
    <row r="30" spans="3:6" x14ac:dyDescent="0.25">
      <c r="C30" s="13">
        <v>29</v>
      </c>
      <c r="D30" s="13" t="s">
        <v>121</v>
      </c>
      <c r="F30" s="13">
        <f>IFERROR(VLOOKUP(E30,C:D,2,FALSE),"")</f>
      </c>
    </row>
    <row r="31" spans="3:6" x14ac:dyDescent="0.25">
      <c r="C31" s="13">
        <v>30</v>
      </c>
      <c r="D31" s="13" t="s">
        <v>122</v>
      </c>
      <c r="F31" s="13">
        <f>IFERROR(VLOOKUP(E31,C:D,2,FALSE),"")</f>
      </c>
    </row>
    <row r="32" spans="3:6" x14ac:dyDescent="0.25">
      <c r="C32" s="13">
        <v>31</v>
      </c>
      <c r="D32" s="13" t="s">
        <v>123</v>
      </c>
      <c r="F32" s="13">
        <f>IFERROR(VLOOKUP(E32,C:D,2,FALSE),"")</f>
      </c>
    </row>
    <row r="33" spans="3:6" x14ac:dyDescent="0.25">
      <c r="C33" s="13">
        <v>32</v>
      </c>
      <c r="D33" s="13" t="s">
        <v>127</v>
      </c>
      <c r="F33" s="13">
        <f>IFERROR(VLOOKUP(E33,C:D,2,FALSE),"")</f>
      </c>
    </row>
    <row r="34" spans="3:6" x14ac:dyDescent="0.25">
      <c r="C34" s="13">
        <v>33</v>
      </c>
      <c r="D34" s="13" t="s">
        <v>130</v>
      </c>
      <c r="F34" s="13">
        <f>IFERROR(VLOOKUP(E34,C:D,2,FALSE),"")</f>
      </c>
    </row>
    <row r="35" spans="3:6" x14ac:dyDescent="0.25">
      <c r="C35" s="13">
        <v>34</v>
      </c>
      <c r="D35" s="13" t="s">
        <v>131</v>
      </c>
      <c r="F35" s="13">
        <f>IFERROR(VLOOKUP(E35,C:D,2,FALSE),"")</f>
      </c>
    </row>
    <row r="36" spans="3:6" x14ac:dyDescent="0.25">
      <c r="C36" s="13">
        <v>35</v>
      </c>
      <c r="D36" s="13" t="s">
        <v>135</v>
      </c>
      <c r="F36" s="13">
        <f>IFERROR(VLOOKUP(E36,C:D,2,FALSE),"")</f>
      </c>
    </row>
    <row r="37" spans="3:6" x14ac:dyDescent="0.25">
      <c r="C37" s="13">
        <v>36</v>
      </c>
      <c r="D37" s="13" t="s">
        <v>168</v>
      </c>
      <c r="F37" s="13">
        <f>IFERROR(VLOOKUP(E37,C:D,2,FALSE),"")</f>
      </c>
    </row>
    <row r="38" spans="3:6" x14ac:dyDescent="0.25">
      <c r="C38" s="13">
        <v>37</v>
      </c>
      <c r="D38" s="13" t="s">
        <v>169</v>
      </c>
      <c r="F38" s="13">
        <f>IFERROR(VLOOKUP(E38,C:D,2,FALSE),"")</f>
      </c>
    </row>
    <row r="39" spans="3:6" x14ac:dyDescent="0.25">
      <c r="C39" s="13">
        <v>38</v>
      </c>
      <c r="D39" s="13" t="s">
        <v>136</v>
      </c>
      <c r="F39" s="13">
        <f>IFERROR(VLOOKUP(E39,C:D,2,FALSE),"")</f>
      </c>
    </row>
    <row r="40" spans="3:6" x14ac:dyDescent="0.25">
      <c r="C40" s="13">
        <v>39</v>
      </c>
      <c r="D40" s="13" t="s">
        <v>170</v>
      </c>
      <c r="F40" s="13">
        <f>IFERROR(VLOOKUP(E40,C:D,2,FALSE),"")</f>
      </c>
    </row>
    <row r="41" spans="3:6" x14ac:dyDescent="0.25">
      <c r="C41" s="13">
        <v>40</v>
      </c>
      <c r="D41" s="13" t="s">
        <v>137</v>
      </c>
      <c r="F41" s="13">
        <f>IFERROR(VLOOKUP(E41,C:D,2,FALSE),"")</f>
      </c>
    </row>
    <row r="42" spans="3:6" x14ac:dyDescent="0.25">
      <c r="C42" s="13">
        <v>41</v>
      </c>
      <c r="D42" s="13" t="s">
        <v>171</v>
      </c>
      <c r="F42" s="13">
        <f>IFERROR(VLOOKUP(E42,C:D,2,FALSE),"")</f>
      </c>
    </row>
    <row r="43" spans="3:6" x14ac:dyDescent="0.25">
      <c r="C43" s="13">
        <v>42</v>
      </c>
      <c r="D43" s="13" t="s">
        <v>139</v>
      </c>
      <c r="F43" s="13">
        <f>IFERROR(VLOOKUP(E43,C:D,2,FALSE),"")</f>
      </c>
    </row>
    <row r="44" spans="3:6" x14ac:dyDescent="0.25">
      <c r="C44" s="13">
        <v>43</v>
      </c>
      <c r="D44" s="13" t="s">
        <v>140</v>
      </c>
      <c r="F44" s="13">
        <f>IFERROR(VLOOKUP(E44,C:D,2,FALSE),"")</f>
      </c>
    </row>
    <row r="45" spans="3:6" x14ac:dyDescent="0.25">
      <c r="C45" s="13">
        <v>44</v>
      </c>
      <c r="D45" s="13" t="s">
        <v>144</v>
      </c>
      <c r="F45" s="13">
        <f>IFERROR(VLOOKUP(E45,C:D,2,FALSE),"")</f>
      </c>
    </row>
    <row r="46" spans="3:6" x14ac:dyDescent="0.25">
      <c r="C46" s="13">
        <v>45</v>
      </c>
      <c r="D46" s="13" t="s">
        <v>147</v>
      </c>
      <c r="F46" s="13">
        <f>IFERROR(VLOOKUP(E46,C:D,2,FALSE),"")</f>
      </c>
    </row>
    <row r="47" spans="3:6" x14ac:dyDescent="0.25">
      <c r="C47" s="13">
        <v>46</v>
      </c>
      <c r="D47" s="13" t="s">
        <v>151</v>
      </c>
      <c r="F47" s="13">
        <f>IFERROR(VLOOKUP(E47,C:D,2,FALSE),"")</f>
      </c>
    </row>
    <row r="48" spans="3:6" x14ac:dyDescent="0.25">
      <c r="C48" s="13">
        <v>47</v>
      </c>
      <c r="D48" s="13" t="s">
        <v>155</v>
      </c>
      <c r="F48" s="13">
        <f>IFERROR(VLOOKUP(E48,C:D,2,FALSE),"")</f>
      </c>
    </row>
    <row r="49" spans="3:6" x14ac:dyDescent="0.25">
      <c r="C49" s="13">
        <v>48</v>
      </c>
      <c r="D49" s="13" t="s">
        <v>157</v>
      </c>
      <c r="F49" s="13">
        <f>IFERROR(VLOOKUP(E49,C:D,2,FALSE),"")</f>
      </c>
    </row>
    <row r="50" spans="3:6" x14ac:dyDescent="0.25">
      <c r="C50" s="13">
        <v>1129</v>
      </c>
      <c r="D50" s="13" t="s">
        <v>72</v>
      </c>
      <c r="F50" s="13">
        <f>IFERROR(VLOOKUP(E50,C:D,2,FALSE),"")</f>
      </c>
    </row>
    <row r="51" spans="3:6" x14ac:dyDescent="0.25">
      <c r="C51" s="13" t="s">
        <v>172</v>
      </c>
      <c r="D51" s="13" t="s">
        <v>18</v>
      </c>
      <c r="F51" s="13">
        <f>IFERROR(VLOOKUP(E51,C:D,2,FALSE),"")</f>
      </c>
    </row>
    <row r="52" spans="3:6" x14ac:dyDescent="0.25">
      <c r="C52" s="13" t="s">
        <v>173</v>
      </c>
      <c r="D52" s="13" t="s">
        <v>18</v>
      </c>
      <c r="F52" s="13">
        <f>IFERROR(VLOOKUP(E52,C:D,2,FALSE),"")</f>
      </c>
    </row>
    <row r="53" spans="3:6" x14ac:dyDescent="0.25">
      <c r="C53" s="13" t="s">
        <v>174</v>
      </c>
      <c r="D53" s="13" t="s">
        <v>25</v>
      </c>
      <c r="F53" s="13">
        <f>IFERROR(VLOOKUP(E53,C:D,2,FALSE),"")</f>
      </c>
    </row>
    <row r="54" spans="3:6" x14ac:dyDescent="0.25">
      <c r="C54" s="13" t="s">
        <v>175</v>
      </c>
      <c r="D54" s="13" t="s">
        <v>25</v>
      </c>
      <c r="F54" s="13">
        <f>IFERROR(VLOOKUP(E54,C:D,2,FALSE),"")</f>
      </c>
    </row>
    <row r="55" spans="3:6" x14ac:dyDescent="0.25">
      <c r="C55" s="13" t="s">
        <v>176</v>
      </c>
      <c r="D55" s="13" t="s">
        <v>29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