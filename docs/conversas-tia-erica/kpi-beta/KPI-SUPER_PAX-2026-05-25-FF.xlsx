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<sst xmlns="http://schemas.openxmlformats.org/spreadsheetml/2006/main" count="156" uniqueCount="52">
  <si>
    <t xml:space="preserve">RELATÓRIO KPI - SUPERPAX
Segunda-feira, 25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</si>
  <si>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</si>
  <si>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</si>
  <si>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</si>
  <si>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</si>
  <si>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</si>
  <si>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</si>
  <si>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</si>
  <si>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</si>
  <si>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</si>
  <si>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</si>
  <si>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</si>
  <si>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</si>
  <si>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</si>
  <si>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</si>
  <si>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</si>
  <si>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</si>
  <si>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</si>
  <si>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</si>
  <si>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SÉRGIO FIDÉLIS</t>
  </si>
  <si>
    <t>65</t>
  </si>
  <si>
    <t>LOU-9928</t>
  </si>
  <si>
    <t>Guadalupe</t>
  </si>
  <si>
    <t>LUIZ</t>
  </si>
  <si>
    <t>91</t>
  </si>
  <si>
    <t>AKZ-2745</t>
  </si>
  <si>
    <t>Inhauma</t>
  </si>
  <si>
    <t>Lins</t>
  </si>
  <si>
    <t>FABIO</t>
  </si>
  <si>
    <t>353</t>
  </si>
  <si>
    <t>UBF-5G37</t>
  </si>
  <si>
    <t>WILLIAM RODRIGUES</t>
  </si>
  <si>
    <t>UFW-0H63</t>
  </si>
  <si>
    <t>Madureira</t>
  </si>
  <si>
    <t>JAIRO</t>
  </si>
  <si>
    <t>QSS-1E48</t>
  </si>
  <si>
    <t>Oswaldo Cruz</t>
  </si>
  <si>
    <t>Pilares</t>
  </si>
  <si>
    <t>Realengo</t>
  </si>
  <si>
    <t>LUIZ ANTONIO</t>
  </si>
  <si>
    <t>184446</t>
  </si>
  <si>
    <t>KMY-5561</t>
  </si>
  <si>
    <t>Sepetiba</t>
  </si>
  <si>
    <t>DENIS BEZERRA</t>
  </si>
  <si>
    <t>UEH-9193</t>
  </si>
  <si>
    <t>Taquara</t>
  </si>
  <si>
    <t>DENIS</t>
  </si>
  <si>
    <t>UFL-5C85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</si>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</sst>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0.58125</v>
      </c>
      <c r="F6" s="11">
        <v>0.6069444444444444</v>
      </c>
      <c r="G6" s="11">
        <v>0.6208333333333333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0.5770833333333333</v>
      </c>
      <c r="F7" s="8">
        <v>0.5944444444444444</v>
      </c>
      <c r="G7" s="8">
        <v>0.6027777777777777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0.008333333333333333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0.58125</v>
      </c>
      <c r="F8" s="11">
        <v>0.6354166666666666</v>
      </c>
      <c r="G8" s="11">
        <v>0.6604166666666667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8">
        <v>0.5770833333333333</v>
      </c>
      <c r="F9" s="8">
        <v>0.60625</v>
      </c>
      <c r="G9" s="8">
        <v>0.6791666666666667</v>
      </c>
      <c r="H9" s="7" t="s">
        <v>31</v>
      </c>
      <c r="I9" s="7" t="s">
        <v>29</v>
      </c>
      <c r="J9" s="7" t="s">
        <v>32</v>
      </c>
      <c r="K9" s="8">
        <v>0.5770833333333333</v>
      </c>
      <c r="L9" s="8">
        <v>0.6125</v>
      </c>
      <c r="M9" s="8">
        <v>0.6597222222222222</v>
      </c>
      <c r="N9" s="8">
        <f>MOD(G9-F9,1)</f>
        <v>0.07291666666666667</v>
      </c>
      <c r="O9" s="8">
        <f>MOD(M9-L9,1)</f>
        <v>0.04722222222222222</v>
      </c>
    </row>
    <row r="10" ht="23.25" customHeight="1" spans="1:15" x14ac:dyDescent="0.25">
      <c r="A10" s="9" t="s">
        <v>33</v>
      </c>
      <c r="B10" s="10" t="s">
        <v>34</v>
      </c>
      <c r="C10" s="10" t="s">
        <v>29</v>
      </c>
      <c r="D10" s="10" t="s">
        <v>35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34</v>
      </c>
      <c r="C11" s="7" t="s">
        <v>29</v>
      </c>
      <c r="D11" s="7" t="s">
        <v>35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37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39</v>
      </c>
      <c r="C13" s="7" t="s">
        <v>40</v>
      </c>
      <c r="D13" s="7" t="s">
        <v>41</v>
      </c>
      <c r="E13" s="8">
        <v>0.5833333333333334</v>
      </c>
      <c r="F13" s="8">
        <v>0.6076388888888888</v>
      </c>
      <c r="G13" s="8">
        <v>0.6458333333333334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0.03819444444444445</v>
      </c>
      <c r="O13" s="8">
        <f>MOD(M13-L13,1)</f>
        <v>0</v>
      </c>
    </row>
    <row r="14" ht="23.25" customHeight="1" spans="1:15" x14ac:dyDescent="0.25">
      <c r="A14" s="9" t="s">
        <v>42</v>
      </c>
      <c r="B14" s="10" t="s">
        <v>43</v>
      </c>
      <c r="C14" s="10" t="s">
        <v>29</v>
      </c>
      <c r="D14" s="10" t="s">
        <v>44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29</v>
      </c>
      <c r="D15" s="7" t="s">
        <v>47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