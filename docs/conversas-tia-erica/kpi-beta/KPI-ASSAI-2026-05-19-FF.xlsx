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<sst xmlns="http://schemas.openxmlformats.org/spreadsheetml/2006/main" count="464" uniqueCount="156">
  <si>
    <t xml:space="preserve">RELATÓRIO KPI - ASSAÍ
Terça-feira, 19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</si>
  <si>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</si>
  <si>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</si>
  <si>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</si>
  <si>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</si>
  <si>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</si>
  <si>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</si>
  <si>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</si>
  <si>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</si>
  <si>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</si>
  <si>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</si>
  <si>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</si>
  <si>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</si>
  <si>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Paulo Henrique Cod Placa</t>
  </si>
  <si>
    <t>807</t>
  </si>
  <si>
    <t>DBB-8D19</t>
  </si>
  <si>
    <t/>
  </si>
  <si>
    <t>Assaí - Alcântara II - Loja 293</t>
  </si>
  <si>
    <t>LUIZ CARLOS</t>
  </si>
  <si>
    <t>294</t>
  </si>
  <si>
    <t>FQN-6J72</t>
  </si>
  <si>
    <t>SEM RASTREADOR</t>
  </si>
  <si>
    <t>Assaí - Araruama - Loja 221</t>
  </si>
  <si>
    <t>ADILSON</t>
  </si>
  <si>
    <t>91</t>
  </si>
  <si>
    <t>KZU-4C37</t>
  </si>
  <si>
    <t>Assaí - Bangu I - Loja 55</t>
  </si>
  <si>
    <t>JEFERSON BATALHA</t>
  </si>
  <si>
    <t>353</t>
  </si>
  <si>
    <t>UBO-5E01</t>
  </si>
  <si>
    <t>Assaí - Bangu II - Loja 332</t>
  </si>
  <si>
    <t>LUIZ CESAR</t>
  </si>
  <si>
    <t>184621</t>
  </si>
  <si>
    <t>LMF-2049</t>
  </si>
  <si>
    <t>Assaí - Barra I (Senna) - Loja 133</t>
  </si>
  <si>
    <t>Felipe Diego Cod Placa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</si>
  <si>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</si>
  <si>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</si>
  <si>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</si>
  <si>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</si>
  <si>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</si>
  <si>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</si>
  <si>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</si>
  <si>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</si>
  <si>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</si>
  <si>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</si>
  <si>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</si>
  <si>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RICARDO</t>
  </si>
  <si>
    <t>775</t>
  </si>
  <si>
    <t>KXB-6E57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</si>
  <si>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</si>
  <si>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</si>
  <si>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</si>
  <si>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</si>
  <si>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</si>
  <si>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</si>
  <si>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</si>
  <si>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</si>
  <si>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</si>
  <si>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</si>
  <si>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</si>
  <si>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</si>
  <si>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</si>
  <si>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</si>
  <si>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</si>
  <si>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</si>
  <si>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</si>
  <si>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</si>
  <si>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</si>
  <si>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</si>
  <si>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</si>
  <si>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</si>
  <si>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</si>
  <si>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</si>
  <si>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</si>
  <si>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</si>
  <si>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</si>
  <si>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</si>
  <si>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JOSE M</t>
  </si>
  <si>
    <t>UBF-5G32</t>
  </si>
  <si>
    <t>Assaí - Macaé - Loja 232</t>
  </si>
  <si>
    <t>RODRIGO</t>
  </si>
  <si>
    <t>KZJ-0E14</t>
  </si>
  <si>
    <t>Assaí - Maracanã - Loja 286</t>
  </si>
  <si>
    <t>CRISTIANO</t>
  </si>
  <si>
    <t>GAR-0802</t>
  </si>
  <si>
    <t>Assaí - Mendanha (Campo Grande) - Loja 65</t>
  </si>
  <si>
    <t>ANTÔNIO</t>
  </si>
  <si>
    <t>180</t>
  </si>
  <si>
    <t>LFJ-8442</t>
  </si>
  <si>
    <t>Assaí - Mesquita (Dutra) - Loja 142</t>
  </si>
  <si>
    <t>FLAVIANO</t>
  </si>
  <si>
    <t>SFG-2F73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</si>
  <si>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</si>
  <si>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</si>
  <si>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</si>
  <si>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</si>
  <si>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</si>
  <si>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</si>
  <si>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</si>
  <si>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</si>
  <si>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BRUNO</t>
  </si>
  <si>
    <t>UBF-5G33</t>
  </si>
  <si>
    <t>Assaí - Niterói Ponte - Loja 292</t>
  </si>
  <si>
    <t>Luiz Ferreira Cod Placa</t>
  </si>
  <si>
    <t>789</t>
  </si>
  <si>
    <t>LAU-1I64</t>
  </si>
  <si>
    <t>Assaí - Nova Iguaçu - Loja 30</t>
  </si>
  <si>
    <t>ROBERTO</t>
  </si>
  <si>
    <t>516</t>
  </si>
  <si>
    <t>LSL-9670</t>
  </si>
  <si>
    <t>Assaí - Nova Iguaçu 2 - Loja 291</t>
  </si>
  <si>
    <t>WANDERLEY</t>
  </si>
  <si>
    <t>782</t>
  </si>
  <si>
    <t>AFY-7J99</t>
  </si>
  <si>
    <t>Assaí - Petrópolis- Loja 181</t>
  </si>
  <si>
    <t>CARLINHOS</t>
  </si>
  <si>
    <t>15</t>
  </si>
  <si>
    <t>KMZ-7057</t>
  </si>
  <si>
    <t>Assaí - Pilares - Loja 128</t>
  </si>
  <si>
    <t>ADRIANO</t>
  </si>
  <si>
    <t>138</t>
  </si>
  <si>
    <t>CEJ-3426</t>
  </si>
  <si>
    <t>Assaí - Sabão Rio (Benfica) - Loja 136</t>
  </si>
  <si>
    <t>EDVALDO</t>
  </si>
  <si>
    <t>104</t>
  </si>
  <si>
    <t>LKA-3935</t>
  </si>
  <si>
    <t>Assaí - Santa Cruz - Loja 201</t>
  </si>
  <si>
    <t>FERNANDO</t>
  </si>
  <si>
    <t>184041</t>
  </si>
  <si>
    <t>KGO-5E65</t>
  </si>
  <si>
    <t>Assaí - Santa Cruz 2 - Loja 338</t>
  </si>
  <si>
    <t>ANTÔNIO FREITAS</t>
  </si>
  <si>
    <t>16</t>
  </si>
  <si>
    <t>LNG-7110</t>
  </si>
  <si>
    <t>Assaí - São Gonçalo Camil - Loja 211</t>
  </si>
  <si>
    <t>Messias Cod Placa</t>
  </si>
  <si>
    <t>141</t>
  </si>
  <si>
    <t>AMW-3424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</si>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</sst>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0.5381944444444444</v>
      </c>
      <c r="F5" s="8">
        <v>0.5819444444444445</v>
      </c>
      <c r="G5" s="8">
        <v>0.5909722222222222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0.009027777777777777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0.15694444444444444</v>
      </c>
      <c r="F7" s="8">
        <v>0.25069444444444444</v>
      </c>
      <c r="G7" s="8">
        <v>0.4041666666666667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0.15347222222222223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0.20555555555555555</v>
      </c>
      <c r="F8" s="11">
        <v>0.23819444444444443</v>
      </c>
      <c r="G8" s="11">
        <v>0.3548611111111111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0.11666666666666667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21</v>
      </c>
      <c r="F9" s="7" t="s">
        <v>21</v>
      </c>
      <c r="G9" s="7" t="s">
        <v>21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28</v>
      </c>
      <c r="D10" s="10" t="s">
        <v>29</v>
      </c>
      <c r="E10" s="11">
        <v>0.20555555555555555</v>
      </c>
      <c r="F10" s="11">
        <v>0.001388888888888889</v>
      </c>
      <c r="G10" s="11">
        <v>0.21597222222222223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0.21458333333333332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28</v>
      </c>
      <c r="D11" s="7" t="s">
        <v>38</v>
      </c>
      <c r="E11" s="8">
        <v>0.20555555555555555</v>
      </c>
      <c r="F11" s="8">
        <v>0.41041666666666665</v>
      </c>
      <c r="G11" s="8">
        <v>0.41388888888888886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0.003472222222222222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40</v>
      </c>
      <c r="C12" s="10" t="s">
        <v>28</v>
      </c>
      <c r="D12" s="10" t="s">
        <v>41</v>
      </c>
      <c r="E12" s="11">
        <v>0.2388888888888889</v>
      </c>
      <c r="F12" s="11">
        <v>0.2902777777777778</v>
      </c>
      <c r="G12" s="11">
        <v>0.5291666666666667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0.2388888888888889</v>
      </c>
      <c r="O12" s="11">
        <f>MOD(M12-L12,1)</f>
        <v>0</v>
      </c>
    </row>
    <row r="13" ht="23.25" customHeight="1" spans="1:15" x14ac:dyDescent="0.25">
      <c r="A13" s="6" t="s">
        <v>42</v>
      </c>
      <c r="B13" s="7" t="s">
        <v>43</v>
      </c>
      <c r="C13" s="7" t="s">
        <v>44</v>
      </c>
      <c r="D13" s="7" t="s">
        <v>45</v>
      </c>
      <c r="E13" s="8">
        <v>0.11527777777777778</v>
      </c>
      <c r="F13" s="8">
        <v>0.24166666666666667</v>
      </c>
      <c r="G13" s="8">
        <v>0.4826388888888889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0.24097222222222223</v>
      </c>
      <c r="O13" s="8">
        <f>MOD(M13-L13,1)</f>
        <v>0</v>
      </c>
    </row>
    <row r="14" ht="23.25" customHeight="1" spans="1:15" x14ac:dyDescent="0.25">
      <c r="A14" s="9" t="s">
        <v>46</v>
      </c>
      <c r="B14" s="10" t="s">
        <v>47</v>
      </c>
      <c r="C14" s="10" t="s">
        <v>48</v>
      </c>
      <c r="D14" s="10" t="s">
        <v>49</v>
      </c>
      <c r="E14" s="10" t="s">
        <v>21</v>
      </c>
      <c r="F14" s="10" t="s">
        <v>21</v>
      </c>
      <c r="G14" s="10" t="s">
        <v>21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50</v>
      </c>
      <c r="B15" s="7" t="s">
        <v>51</v>
      </c>
      <c r="C15" s="7" t="s">
        <v>52</v>
      </c>
      <c r="D15" s="7" t="s">
        <v>53</v>
      </c>
      <c r="E15" s="8">
        <v>0.03819444444444445</v>
      </c>
      <c r="F15" s="8">
        <v>0.28125</v>
      </c>
      <c r="G15" s="8">
        <v>0.675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0.39375</v>
      </c>
      <c r="O15" s="8">
        <f>MOD(M15-L15,1)</f>
        <v>0</v>
      </c>
    </row>
    <row r="16" ht="23.25" customHeight="1" spans="1:15" x14ac:dyDescent="0.25">
      <c r="A16" s="9" t="s">
        <v>54</v>
      </c>
      <c r="B16" s="10" t="s">
        <v>55</v>
      </c>
      <c r="C16" s="10" t="s">
        <v>28</v>
      </c>
      <c r="D16" s="10" t="s">
        <v>56</v>
      </c>
      <c r="E16" s="11">
        <v>0.21944444444444444</v>
      </c>
      <c r="F16" s="11">
        <v>0.23402777777777778</v>
      </c>
      <c r="G16" s="11">
        <v>0.5986111111111111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0.3645833333333333</v>
      </c>
      <c r="O16" s="11">
        <f>MOD(M16-L16,1)</f>
        <v>0</v>
      </c>
    </row>
    <row r="17" ht="23.25" customHeight="1" spans="1:15" x14ac:dyDescent="0.25">
      <c r="A17" s="6" t="s">
        <v>57</v>
      </c>
      <c r="B17" s="7" t="s">
        <v>58</v>
      </c>
      <c r="C17" s="7" t="s">
        <v>19</v>
      </c>
      <c r="D17" s="7" t="s">
        <v>59</v>
      </c>
      <c r="E17" s="8">
        <v>0.19722222222222222</v>
      </c>
      <c r="F17" s="8">
        <v>0.21180555555555555</v>
      </c>
      <c r="G17" s="8">
        <v>0.5215277777777778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0.30972222222222223</v>
      </c>
      <c r="O17" s="8">
        <f>MOD(M17-L17,1)</f>
        <v>0</v>
      </c>
    </row>
    <row r="18" ht="23.25" customHeight="1" spans="1:15" x14ac:dyDescent="0.25">
      <c r="A18" s="9" t="s">
        <v>60</v>
      </c>
      <c r="B18" s="10" t="s">
        <v>61</v>
      </c>
      <c r="C18" s="10" t="s">
        <v>28</v>
      </c>
      <c r="D18" s="10" t="s">
        <v>62</v>
      </c>
      <c r="E18" s="11">
        <v>0.4756944444444444</v>
      </c>
      <c r="F18" s="11">
        <v>0.49722222222222223</v>
      </c>
      <c r="G18" s="11">
        <v>0.5638888888888889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0.06666666666666667</v>
      </c>
      <c r="O18" s="11">
        <f>MOD(M18-L18,1)</f>
        <v>0</v>
      </c>
    </row>
    <row r="19" ht="23.25" customHeight="1" spans="1:15" x14ac:dyDescent="0.25">
      <c r="A19" s="6" t="s">
        <v>63</v>
      </c>
      <c r="B19" s="7" t="s">
        <v>64</v>
      </c>
      <c r="C19" s="7" t="s">
        <v>19</v>
      </c>
      <c r="D19" s="7" t="s">
        <v>65</v>
      </c>
      <c r="E19" s="7" t="s">
        <v>21</v>
      </c>
      <c r="F19" s="7" t="s">
        <v>21</v>
      </c>
      <c r="G19" s="7" t="s">
        <v>21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66</v>
      </c>
      <c r="B20" s="10" t="s">
        <v>67</v>
      </c>
      <c r="C20" s="10" t="s">
        <v>68</v>
      </c>
      <c r="D20" s="10" t="s">
        <v>69</v>
      </c>
      <c r="E20" s="11">
        <v>0.18541666666666667</v>
      </c>
      <c r="F20" s="11">
        <v>0.21597222222222223</v>
      </c>
      <c r="G20" s="11">
        <v>0.42430555555555555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0.20833333333333334</v>
      </c>
      <c r="O20" s="11">
        <f>MOD(M20-L20,1)</f>
        <v>0</v>
      </c>
    </row>
    <row r="21" ht="23.25" customHeight="1" spans="1:15" x14ac:dyDescent="0.25">
      <c r="A21" s="6" t="s">
        <v>70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71</v>
      </c>
      <c r="B22" s="10" t="s">
        <v>72</v>
      </c>
      <c r="C22" s="10" t="s">
        <v>24</v>
      </c>
      <c r="D22" s="10" t="s">
        <v>73</v>
      </c>
      <c r="E22" s="11">
        <v>0.1625</v>
      </c>
      <c r="F22" s="11">
        <v>0.19444444444444445</v>
      </c>
      <c r="G22" s="11">
        <v>0.3416666666666667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0.14722222222222223</v>
      </c>
      <c r="O22" s="11">
        <f>MOD(M22-L22,1)</f>
        <v>0</v>
      </c>
    </row>
    <row r="23" ht="23.25" customHeight="1" spans="1:15" x14ac:dyDescent="0.25">
      <c r="A23" s="6" t="s">
        <v>74</v>
      </c>
      <c r="B23" s="7" t="s">
        <v>75</v>
      </c>
      <c r="C23" s="7" t="s">
        <v>28</v>
      </c>
      <c r="D23" s="7" t="s">
        <v>76</v>
      </c>
      <c r="E23" s="8">
        <v>0.21666666666666667</v>
      </c>
      <c r="F23" s="8">
        <v>0.23819444444444443</v>
      </c>
      <c r="G23" s="8">
        <v>0.4840277777777778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0.24583333333333332</v>
      </c>
      <c r="O23" s="8">
        <f>MOD(M23-L23,1)</f>
        <v>0</v>
      </c>
    </row>
    <row r="24" ht="23.25" customHeight="1" spans="1:15" x14ac:dyDescent="0.25">
      <c r="A24" s="9" t="s">
        <v>77</v>
      </c>
      <c r="B24" s="10" t="s">
        <v>78</v>
      </c>
      <c r="C24" s="10" t="s">
        <v>28</v>
      </c>
      <c r="D24" s="10" t="s">
        <v>79</v>
      </c>
      <c r="E24" s="11">
        <v>0.21736111111111112</v>
      </c>
      <c r="F24" s="11">
        <v>0.24166666666666667</v>
      </c>
      <c r="G24" s="11">
        <v>0.5534722222222223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0.31180555555555556</v>
      </c>
      <c r="O24" s="11">
        <f>MOD(M24-L24,1)</f>
        <v>0</v>
      </c>
    </row>
    <row r="25" ht="23.25" customHeight="1" spans="1:15" x14ac:dyDescent="0.25">
      <c r="A25" s="6" t="s">
        <v>80</v>
      </c>
      <c r="B25" s="7" t="s">
        <v>81</v>
      </c>
      <c r="C25" s="7" t="s">
        <v>52</v>
      </c>
      <c r="D25" s="7" t="s">
        <v>82</v>
      </c>
      <c r="E25" s="8">
        <v>0.03819444444444445</v>
      </c>
      <c r="F25" s="8">
        <v>0.17152777777777778</v>
      </c>
      <c r="G25" s="8">
        <v>0.43680555555555556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0.2652777777777778</v>
      </c>
      <c r="O25" s="8">
        <f>MOD(M25-L25,1)</f>
        <v>0</v>
      </c>
    </row>
    <row r="26" ht="23.25" customHeight="1" spans="1:15" x14ac:dyDescent="0.25">
      <c r="A26" s="9" t="s">
        <v>83</v>
      </c>
      <c r="B26" s="10" t="s">
        <v>84</v>
      </c>
      <c r="C26" s="10" t="s">
        <v>19</v>
      </c>
      <c r="D26" s="10" t="s">
        <v>85</v>
      </c>
      <c r="E26" s="10" t="s">
        <v>21</v>
      </c>
      <c r="F26" s="10" t="s">
        <v>21</v>
      </c>
      <c r="G26" s="10" t="s">
        <v>21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86</v>
      </c>
      <c r="B27" s="7" t="s">
        <v>87</v>
      </c>
      <c r="C27" s="7" t="s">
        <v>88</v>
      </c>
      <c r="D27" s="7" t="s">
        <v>89</v>
      </c>
      <c r="E27" s="8">
        <v>0.18958333333333333</v>
      </c>
      <c r="F27" s="8">
        <v>0.22708333333333333</v>
      </c>
      <c r="G27" s="8">
        <v>0.47291666666666665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0.24583333333333332</v>
      </c>
      <c r="O27" s="8">
        <f>MOD(M27-L27,1)</f>
        <v>0</v>
      </c>
    </row>
    <row r="28" ht="23.25" customHeight="1" spans="1:15" x14ac:dyDescent="0.25">
      <c r="A28" s="9" t="s">
        <v>90</v>
      </c>
      <c r="B28" s="10" t="s">
        <v>91</v>
      </c>
      <c r="C28" s="10" t="s">
        <v>28</v>
      </c>
      <c r="D28" s="10" t="s">
        <v>92</v>
      </c>
      <c r="E28" s="11">
        <v>0.1840277777777778</v>
      </c>
      <c r="F28" s="11">
        <v>0.20416666666666666</v>
      </c>
      <c r="G28" s="11">
        <v>0.4375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0.23333333333333334</v>
      </c>
      <c r="O28" s="11">
        <f>MOD(M28-L28,1)</f>
        <v>0</v>
      </c>
    </row>
    <row r="29" ht="23.25" customHeight="1" spans="1:15" x14ac:dyDescent="0.25">
      <c r="A29" s="6" t="s">
        <v>93</v>
      </c>
      <c r="B29" s="7" t="s">
        <v>94</v>
      </c>
      <c r="C29" s="7" t="s">
        <v>24</v>
      </c>
      <c r="D29" s="7" t="s">
        <v>95</v>
      </c>
      <c r="E29" s="8">
        <v>0.20069444444444445</v>
      </c>
      <c r="F29" s="8">
        <v>0.2326388888888889</v>
      </c>
      <c r="G29" s="8">
        <v>0.2791666666666667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0.04652777777777778</v>
      </c>
      <c r="O29" s="8">
        <f>MOD(M29-L29,1)</f>
        <v>0</v>
      </c>
    </row>
    <row r="30" ht="23.25" customHeight="1" spans="1:15" x14ac:dyDescent="0.25">
      <c r="A30" s="9" t="s">
        <v>96</v>
      </c>
      <c r="B30" s="10" t="s">
        <v>97</v>
      </c>
      <c r="C30" s="10" t="s">
        <v>98</v>
      </c>
      <c r="D30" s="10" t="s">
        <v>99</v>
      </c>
      <c r="E30" s="11">
        <v>0.22152777777777777</v>
      </c>
      <c r="F30" s="11">
        <v>0.2375</v>
      </c>
      <c r="G30" s="11">
        <v>0.4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0.1625</v>
      </c>
      <c r="O30" s="11">
        <f>MOD(M30-L30,1)</f>
        <v>0</v>
      </c>
    </row>
    <row r="31" ht="23.25" customHeight="1" spans="1:15" x14ac:dyDescent="0.25">
      <c r="A31" s="6" t="s">
        <v>100</v>
      </c>
      <c r="B31" s="7" t="s">
        <v>101</v>
      </c>
      <c r="C31" s="7" t="s">
        <v>28</v>
      </c>
      <c r="D31" s="7" t="s">
        <v>102</v>
      </c>
      <c r="E31" s="8">
        <v>0.20277777777777778</v>
      </c>
      <c r="F31" s="8">
        <v>0.2326388888888889</v>
      </c>
      <c r="G31" s="8">
        <v>0.41805555555555557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0.18541666666666667</v>
      </c>
      <c r="O31" s="8">
        <f>MOD(M31-L31,1)</f>
        <v>0</v>
      </c>
    </row>
    <row r="32" ht="23.25" customHeight="1" spans="1:15" x14ac:dyDescent="0.25">
      <c r="A32" s="9" t="s">
        <v>103</v>
      </c>
      <c r="B32" s="10" t="s">
        <v>104</v>
      </c>
      <c r="C32" s="10" t="s">
        <v>105</v>
      </c>
      <c r="D32" s="10" t="s">
        <v>106</v>
      </c>
      <c r="E32" s="10" t="s">
        <v>21</v>
      </c>
      <c r="F32" s="10" t="s">
        <v>21</v>
      </c>
      <c r="G32" s="10" t="s">
        <v>21</v>
      </c>
      <c r="H32" s="10" t="s">
        <v>16</v>
      </c>
      <c r="I32" s="10" t="s">
        <v>16</v>
      </c>
      <c r="J32" s="10" t="s">
        <v>16</v>
      </c>
      <c r="K32" s="10" t="s">
        <v>16</v>
      </c>
      <c r="L32" s="10" t="s">
        <v>16</v>
      </c>
      <c r="M32" s="10" t="s">
        <v>16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107</v>
      </c>
      <c r="B33" s="7" t="s">
        <v>108</v>
      </c>
      <c r="C33" s="7" t="s">
        <v>109</v>
      </c>
      <c r="D33" s="7" t="s">
        <v>110</v>
      </c>
      <c r="E33" s="8">
        <v>0.17777777777777778</v>
      </c>
      <c r="F33" s="8">
        <v>0.20625</v>
      </c>
      <c r="G33" s="8">
        <v>0.27361111111111114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0.06736111111111111</v>
      </c>
      <c r="O33" s="8">
        <f>MOD(M33-L33,1)</f>
        <v>0</v>
      </c>
    </row>
    <row r="34" ht="23.25" customHeight="1" spans="1:15" x14ac:dyDescent="0.25">
      <c r="A34" s="9" t="s">
        <v>111</v>
      </c>
      <c r="B34" s="10" t="s">
        <v>112</v>
      </c>
      <c r="C34" s="10" t="s">
        <v>113</v>
      </c>
      <c r="D34" s="10" t="s">
        <v>114</v>
      </c>
      <c r="E34" s="11">
        <v>0.23402777777777778</v>
      </c>
      <c r="F34" s="11">
        <v>0.2534722222222222</v>
      </c>
      <c r="G34" s="11">
        <v>0.4895833333333333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0.2361111111111111</v>
      </c>
      <c r="O34" s="11">
        <f>MOD(M34-L34,1)</f>
        <v>0</v>
      </c>
    </row>
    <row r="35" ht="23.25" customHeight="1" spans="1:15" x14ac:dyDescent="0.25">
      <c r="A35" s="6" t="s">
        <v>115</v>
      </c>
      <c r="B35" s="7" t="s">
        <v>116</v>
      </c>
      <c r="C35" s="7" t="s">
        <v>117</v>
      </c>
      <c r="D35" s="7" t="s">
        <v>118</v>
      </c>
      <c r="E35" s="8">
        <v>0.11597222222222223</v>
      </c>
      <c r="F35" s="8">
        <v>0.18541666666666667</v>
      </c>
      <c r="G35" s="8">
        <v>0.24930555555555556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0.06388888888888888</v>
      </c>
      <c r="O35" s="8">
        <f>MOD(M35-L35,1)</f>
        <v>0</v>
      </c>
    </row>
    <row r="36" ht="23.25" customHeight="1" spans="1:15" x14ac:dyDescent="0.25">
      <c r="A36" s="9" t="s">
        <v>119</v>
      </c>
      <c r="B36" s="10" t="s">
        <v>120</v>
      </c>
      <c r="C36" s="10" t="s">
        <v>121</v>
      </c>
      <c r="D36" s="10" t="s">
        <v>122</v>
      </c>
      <c r="E36" s="10" t="s">
        <v>21</v>
      </c>
      <c r="F36" s="10" t="s">
        <v>21</v>
      </c>
      <c r="G36" s="10" t="s">
        <v>21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124</v>
      </c>
      <c r="C37" s="7" t="s">
        <v>125</v>
      </c>
      <c r="D37" s="7" t="s">
        <v>126</v>
      </c>
      <c r="E37" s="7" t="s">
        <v>21</v>
      </c>
      <c r="F37" s="7" t="s">
        <v>21</v>
      </c>
      <c r="G37" s="7" t="s">
        <v>21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9" t="s">
        <v>127</v>
      </c>
      <c r="B38" s="10" t="s">
        <v>128</v>
      </c>
      <c r="C38" s="10" t="s">
        <v>129</v>
      </c>
      <c r="D38" s="10" t="s">
        <v>130</v>
      </c>
      <c r="E38" s="10" t="s">
        <v>21</v>
      </c>
      <c r="F38" s="10" t="s">
        <v>21</v>
      </c>
      <c r="G38" s="10" t="s">
        <v>21</v>
      </c>
      <c r="H38" s="10" t="s">
        <v>16</v>
      </c>
      <c r="I38" s="10" t="s">
        <v>16</v>
      </c>
      <c r="J38" s="10" t="s">
        <v>16</v>
      </c>
      <c r="K38" s="10" t="s">
        <v>16</v>
      </c>
      <c r="L38" s="10" t="s">
        <v>16</v>
      </c>
      <c r="M38" s="10" t="s">
        <v>16</v>
      </c>
      <c r="N38" s="11">
        <f>MOD(G38-F38,1)</f>
        <v>0</v>
      </c>
      <c r="O38" s="11">
        <f>MOD(M38-L38,1)</f>
        <v>0</v>
      </c>
    </row>
    <row r="39" ht="23.25" customHeight="1" spans="1:15" x14ac:dyDescent="0.25">
      <c r="A39" s="6" t="s">
        <v>131</v>
      </c>
      <c r="B39" s="7" t="s">
        <v>132</v>
      </c>
      <c r="C39" s="7" t="s">
        <v>133</v>
      </c>
      <c r="D39" s="7" t="s">
        <v>134</v>
      </c>
      <c r="E39" s="8">
        <v>0.46805555555555556</v>
      </c>
      <c r="F39" s="8">
        <v>0.5229166666666667</v>
      </c>
      <c r="G39" s="8">
        <v>0.6381944444444444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0.11527777777777778</v>
      </c>
      <c r="O39" s="8">
        <f>MOD(M39-L39,1)</f>
        <v>0</v>
      </c>
    </row>
    <row r="40" ht="23.25" customHeight="1" spans="1:15" x14ac:dyDescent="0.25">
      <c r="A40" s="9" t="s">
        <v>135</v>
      </c>
      <c r="B40" s="10" t="s">
        <v>136</v>
      </c>
      <c r="C40" s="10" t="s">
        <v>137</v>
      </c>
      <c r="D40" s="10" t="s">
        <v>138</v>
      </c>
      <c r="E40" s="10" t="s">
        <v>21</v>
      </c>
      <c r="F40" s="10" t="s">
        <v>21</v>
      </c>
      <c r="G40" s="10" t="s">
        <v>21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139</v>
      </c>
      <c r="B41" s="7" t="s">
        <v>140</v>
      </c>
      <c r="C41" s="7" t="s">
        <v>141</v>
      </c>
      <c r="D41" s="7" t="s">
        <v>142</v>
      </c>
      <c r="E41" s="8">
        <v>0.23055555555555557</v>
      </c>
      <c r="F41" s="8">
        <v>0.2875</v>
      </c>
      <c r="G41" s="8">
        <v>0.5270833333333333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0.23958333333333334</v>
      </c>
      <c r="O41" s="8">
        <f>MOD(M41-L41,1)</f>
        <v>0</v>
      </c>
    </row>
    <row r="42" ht="23.25" customHeight="1" spans="1:15" x14ac:dyDescent="0.25">
      <c r="A42" s="9" t="s">
        <v>143</v>
      </c>
      <c r="B42" s="10" t="s">
        <v>144</v>
      </c>
      <c r="C42" s="10" t="s">
        <v>145</v>
      </c>
      <c r="D42" s="10" t="s">
        <v>146</v>
      </c>
      <c r="E42" s="11">
        <v>0.1909722222222222</v>
      </c>
      <c r="F42" s="11">
        <v>0.24444444444444444</v>
      </c>
      <c r="G42" s="11">
        <v>0.49583333333333335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0.2513888888888889</v>
      </c>
      <c r="O42" s="11">
        <f>MOD(M42-L42,1)</f>
        <v>0</v>
      </c>
    </row>
    <row r="43" ht="23.25" customHeight="1" spans="1:15" x14ac:dyDescent="0.25">
      <c r="A43" s="6" t="s">
        <v>147</v>
      </c>
      <c r="B43" s="7" t="s">
        <v>148</v>
      </c>
      <c r="C43" s="7" t="s">
        <v>28</v>
      </c>
      <c r="D43" s="7" t="s">
        <v>149</v>
      </c>
      <c r="E43" s="8">
        <v>0.2777777777777778</v>
      </c>
      <c r="F43" s="8">
        <v>0.31319444444444444</v>
      </c>
      <c r="G43" s="8">
        <v>0.5395833333333333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0.2263888888888889</v>
      </c>
      <c r="O43" s="8">
        <f>MOD(M43-L43,1)</f>
        <v>0</v>
      </c>
    </row>
    <row r="44" ht="23.25" customHeight="1" spans="1:15" x14ac:dyDescent="0.25">
      <c r="A44" s="9" t="s">
        <v>150</v>
      </c>
      <c r="B44" s="10" t="s">
        <v>151</v>
      </c>
      <c r="C44" s="10" t="s">
        <v>121</v>
      </c>
      <c r="D44" s="10" t="s">
        <v>152</v>
      </c>
      <c r="E44" s="11">
        <v>0.1875</v>
      </c>
      <c r="F44" s="11">
        <v>0.21041666666666667</v>
      </c>
      <c r="G44" s="11">
        <v>0.5361111111111111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0.32569444444444445</v>
      </c>
      <c r="O44" s="11">
        <f>MOD(M44-L44,1)</f>
        <v>0</v>
      </c>
    </row>
    <row r="45" ht="23.25" customHeight="1" spans="1:15" x14ac:dyDescent="0.25">
      <c r="A45" s="6" t="s">
        <v>153</v>
      </c>
      <c r="B45" s="7" t="s">
        <v>154</v>
      </c>
      <c r="C45" s="7" t="s">
        <v>105</v>
      </c>
      <c r="D45" s="7" t="s">
        <v>155</v>
      </c>
      <c r="E45" s="7" t="s">
        <v>21</v>
      </c>
      <c r="F45" s="7" t="s">
        <v>21</v>
      </c>
      <c r="G45" s="7" t="s">
        <v>21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